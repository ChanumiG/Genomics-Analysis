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b72cd7e9b9f6f/MSt Healthcare Data Science/Module 3/"/>
    </mc:Choice>
  </mc:AlternateContent>
  <xr:revisionPtr revIDLastSave="0" documentId="8_{894EC63D-32AF-47DE-9967-3502CD9BAA82}" xr6:coauthVersionLast="47" xr6:coauthVersionMax="47" xr10:uidLastSave="{00000000-0000-0000-0000-000000000000}"/>
  <bookViews>
    <workbookView xWindow="-98" yWindow="-98" windowWidth="21795" windowHeight="12975" xr2:uid="{98CA5E69-1D99-43F2-BA9B-FF894D084DF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10" i="1" l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2" i="1"/>
  <c r="N2482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20" i="1"/>
  <c r="N2420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8" i="1"/>
  <c r="N2358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6" i="1"/>
  <c r="N2296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4" i="1"/>
  <c r="N2234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10" i="1"/>
  <c r="N2110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6" i="1"/>
  <c r="N1986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2" i="1"/>
  <c r="N1862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6" i="1"/>
  <c r="N1676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<sst xmlns="http://schemas.openxmlformats.org/spreadsheetml/2006/main" count="21663" uniqueCount="2546">
  <si>
    <t>patient_id</t>
  </si>
  <si>
    <t>age_at_diagnosis</t>
  </si>
  <si>
    <t>sex</t>
  </si>
  <si>
    <t>menopausal_state</t>
  </si>
  <si>
    <t>er_status_ihc</t>
  </si>
  <si>
    <t>her2_status_snp6</t>
  </si>
  <si>
    <t>chemotherapy</t>
  </si>
  <si>
    <t>hormone_therapy</t>
  </si>
  <si>
    <t>radiotherapy</t>
  </si>
  <si>
    <t>pam50_subtype</t>
  </si>
  <si>
    <t>intclust_subtype</t>
  </si>
  <si>
    <t>os_months</t>
  </si>
  <si>
    <t>os_status</t>
  </si>
  <si>
    <t>tumor_size</t>
  </si>
  <si>
    <t>tumor_grade</t>
  </si>
  <si>
    <t>MB-0000</t>
  </si>
  <si>
    <t>Female</t>
  </si>
  <si>
    <t>Post</t>
  </si>
  <si>
    <t>Positve</t>
  </si>
  <si>
    <t>NEUTRAL</t>
  </si>
  <si>
    <t>NO</t>
  </si>
  <si>
    <t>YES</t>
  </si>
  <si>
    <t>claudin-low</t>
  </si>
  <si>
    <t>4ER+</t>
  </si>
  <si>
    <t>0:LIVING</t>
  </si>
  <si>
    <t>MB-0002</t>
  </si>
  <si>
    <t>Pre</t>
  </si>
  <si>
    <t>LumA</t>
  </si>
  <si>
    <t>MB-0005</t>
  </si>
  <si>
    <t>LumB</t>
  </si>
  <si>
    <t>1:DECEASED</t>
  </si>
  <si>
    <t>MB-0006</t>
  </si>
  <si>
    <t>MB-0008</t>
  </si>
  <si>
    <t>MB-0010</t>
  </si>
  <si>
    <t>MB-0014</t>
  </si>
  <si>
    <t>LOSS</t>
  </si>
  <si>
    <t>MB-0020</t>
  </si>
  <si>
    <t>Negative</t>
  </si>
  <si>
    <t>Normal</t>
  </si>
  <si>
    <t>4ER-</t>
  </si>
  <si>
    <t>MB-0022</t>
  </si>
  <si>
    <t>MB-0025</t>
  </si>
  <si>
    <t>MB-0028</t>
  </si>
  <si>
    <t>GAIN</t>
  </si>
  <si>
    <t>MB-0035</t>
  </si>
  <si>
    <t>Her2</t>
  </si>
  <si>
    <t>MB-0036</t>
  </si>
  <si>
    <t>MB-0039</t>
  </si>
  <si>
    <t>MB-0045</t>
  </si>
  <si>
    <t>MB-0046</t>
  </si>
  <si>
    <t>MB-0048</t>
  </si>
  <si>
    <t>MB-0050</t>
  </si>
  <si>
    <t>MB-0053</t>
  </si>
  <si>
    <t>MB-0054</t>
  </si>
  <si>
    <t>MB-0056</t>
  </si>
  <si>
    <t>MB-0059</t>
  </si>
  <si>
    <t>MB-0060</t>
  </si>
  <si>
    <t>MB-0062</t>
  </si>
  <si>
    <t>Basal</t>
  </si>
  <si>
    <t>MB-0064</t>
  </si>
  <si>
    <t>MB-0066</t>
  </si>
  <si>
    <t>MB-0068</t>
  </si>
  <si>
    <t>MB-0071</t>
  </si>
  <si>
    <t>MB-0079</t>
  </si>
  <si>
    <t>MB-0081</t>
  </si>
  <si>
    <t>MB-0083</t>
  </si>
  <si>
    <t>MB-0093</t>
  </si>
  <si>
    <t>MB-0095</t>
  </si>
  <si>
    <t>MB-0097</t>
  </si>
  <si>
    <t>MB-0099</t>
  </si>
  <si>
    <t>MB-0100</t>
  </si>
  <si>
    <t>MB-0101</t>
  </si>
  <si>
    <t>MB-0102</t>
  </si>
  <si>
    <t>MB-0106</t>
  </si>
  <si>
    <t>MB-0107</t>
  </si>
  <si>
    <t>MB-0108</t>
  </si>
  <si>
    <t>MB-0109</t>
  </si>
  <si>
    <t>MB-0110</t>
  </si>
  <si>
    <t>MB-0111</t>
  </si>
  <si>
    <t>MB-0112</t>
  </si>
  <si>
    <t>MB-0113</t>
  </si>
  <si>
    <t>MB-0114</t>
  </si>
  <si>
    <t>MB-0115</t>
  </si>
  <si>
    <t>MB-0116</t>
  </si>
  <si>
    <t>MB-0117</t>
  </si>
  <si>
    <t>MB-0119</t>
  </si>
  <si>
    <t>MB-0120</t>
  </si>
  <si>
    <t>MB-0121</t>
  </si>
  <si>
    <t>MB-0122</t>
  </si>
  <si>
    <t>MB-0123</t>
  </si>
  <si>
    <t>MB-0124</t>
  </si>
  <si>
    <t>MB-0125</t>
  </si>
  <si>
    <t>MB-0126</t>
  </si>
  <si>
    <t>MB-0127</t>
  </si>
  <si>
    <t>MB-0128</t>
  </si>
  <si>
    <t>MB-0129</t>
  </si>
  <si>
    <t>MB-0130</t>
  </si>
  <si>
    <t>MB-0131</t>
  </si>
  <si>
    <t>MB-0133</t>
  </si>
  <si>
    <t>MB-0134</t>
  </si>
  <si>
    <t>MB-0135</t>
  </si>
  <si>
    <t>MB-0136</t>
  </si>
  <si>
    <t>MB-0138</t>
  </si>
  <si>
    <t>MB-0139</t>
  </si>
  <si>
    <t>MB-0140</t>
  </si>
  <si>
    <t>MB-0142</t>
  </si>
  <si>
    <t>MB-0143</t>
  </si>
  <si>
    <t>MB-0144</t>
  </si>
  <si>
    <t>MB-0145</t>
  </si>
  <si>
    <t>MB-0146</t>
  </si>
  <si>
    <t>MB-0147</t>
  </si>
  <si>
    <t>MB-0148</t>
  </si>
  <si>
    <t>MB-0149</t>
  </si>
  <si>
    <t>MB-0150</t>
  </si>
  <si>
    <t>MB-0151</t>
  </si>
  <si>
    <t>MB-0152</t>
  </si>
  <si>
    <t>MB-0153</t>
  </si>
  <si>
    <t>MB-0154</t>
  </si>
  <si>
    <t>MB-0155</t>
  </si>
  <si>
    <t>MB-0156</t>
  </si>
  <si>
    <t>MB-0157</t>
  </si>
  <si>
    <t>MB-0158</t>
  </si>
  <si>
    <t>MB-0159</t>
  </si>
  <si>
    <t>MB-0160</t>
  </si>
  <si>
    <t>MB-0162</t>
  </si>
  <si>
    <t>MB-0163</t>
  </si>
  <si>
    <t>MB-0164</t>
  </si>
  <si>
    <t>MB-0165</t>
  </si>
  <si>
    <t>MB-0166</t>
  </si>
  <si>
    <t>MB-0167</t>
  </si>
  <si>
    <t>MB-0168</t>
  </si>
  <si>
    <t>MB-0169</t>
  </si>
  <si>
    <t>MB-0170</t>
  </si>
  <si>
    <t>MB-0171</t>
  </si>
  <si>
    <t>MB-0172</t>
  </si>
  <si>
    <t>MB-0173</t>
  </si>
  <si>
    <t>MB-0174</t>
  </si>
  <si>
    <t>MB-0175</t>
  </si>
  <si>
    <t>MB-0176</t>
  </si>
  <si>
    <t>MB-0177</t>
  </si>
  <si>
    <t>MB-0178</t>
  </si>
  <si>
    <t>MB-0179</t>
  </si>
  <si>
    <t>MB-0180</t>
  </si>
  <si>
    <t>MB-0181</t>
  </si>
  <si>
    <t>MB-0184</t>
  </si>
  <si>
    <t>MB-0185</t>
  </si>
  <si>
    <t>MB-0188</t>
  </si>
  <si>
    <t>MB-0189</t>
  </si>
  <si>
    <t>MB-0191</t>
  </si>
  <si>
    <t>MB-0192</t>
  </si>
  <si>
    <t>MB-0193</t>
  </si>
  <si>
    <t>MB-0194</t>
  </si>
  <si>
    <t>MB-0195</t>
  </si>
  <si>
    <t>MB-0197</t>
  </si>
  <si>
    <t>MB-0198</t>
  </si>
  <si>
    <t>MB-0199</t>
  </si>
  <si>
    <t>MB-0200</t>
  </si>
  <si>
    <t>MB-0201</t>
  </si>
  <si>
    <t>MB-0202</t>
  </si>
  <si>
    <t>MB-0203</t>
  </si>
  <si>
    <t>MB-0204</t>
  </si>
  <si>
    <t>MB-0205</t>
  </si>
  <si>
    <t>MB-0206</t>
  </si>
  <si>
    <t>MB-0207</t>
  </si>
  <si>
    <t>MB-0209</t>
  </si>
  <si>
    <t>MB-0210</t>
  </si>
  <si>
    <t>MB-0211</t>
  </si>
  <si>
    <t>MB-0214</t>
  </si>
  <si>
    <t>MB-0215</t>
  </si>
  <si>
    <t>MB-0218</t>
  </si>
  <si>
    <t>MB-0220</t>
  </si>
  <si>
    <t>MB-0221</t>
  </si>
  <si>
    <t>MB-0222</t>
  </si>
  <si>
    <t>MB-0223</t>
  </si>
  <si>
    <t>MB-0224</t>
  </si>
  <si>
    <t>MB-0225</t>
  </si>
  <si>
    <t>MB-0226</t>
  </si>
  <si>
    <t>MB-0227</t>
  </si>
  <si>
    <t>MB-0228</t>
  </si>
  <si>
    <t>MB-0229</t>
  </si>
  <si>
    <t>MB-0230</t>
  </si>
  <si>
    <t>MB-0231</t>
  </si>
  <si>
    <t>MB-0232</t>
  </si>
  <si>
    <t>MB-0233</t>
  </si>
  <si>
    <t>MB-0234</t>
  </si>
  <si>
    <t>MB-0235</t>
  </si>
  <si>
    <t>MB-0236</t>
  </si>
  <si>
    <t>MB-0238</t>
  </si>
  <si>
    <t>MB-0239</t>
  </si>
  <si>
    <t>MB-0241</t>
  </si>
  <si>
    <t>MB-0242</t>
  </si>
  <si>
    <t>MB-0243</t>
  </si>
  <si>
    <t>MB-0244</t>
  </si>
  <si>
    <t>MB-0245</t>
  </si>
  <si>
    <t>MB-0247</t>
  </si>
  <si>
    <t>MB-0248</t>
  </si>
  <si>
    <t>MB-0249</t>
  </si>
  <si>
    <t>MB-0253</t>
  </si>
  <si>
    <t>MB-0256</t>
  </si>
  <si>
    <t>MB-0257</t>
  </si>
  <si>
    <t>MB-0258</t>
  </si>
  <si>
    <t>MB-0259</t>
  </si>
  <si>
    <t>MB-0260</t>
  </si>
  <si>
    <t>MB-0261</t>
  </si>
  <si>
    <t>MB-0262</t>
  </si>
  <si>
    <t>MB-0263</t>
  </si>
  <si>
    <t>MB-0264</t>
  </si>
  <si>
    <t>MB-0265</t>
  </si>
  <si>
    <t>MB-0266</t>
  </si>
  <si>
    <t>MB-0268</t>
  </si>
  <si>
    <t>MB-0269</t>
  </si>
  <si>
    <t>MB-0270</t>
  </si>
  <si>
    <t>MB-0272</t>
  </si>
  <si>
    <t>MB-0273</t>
  </si>
  <si>
    <t>MB-0275</t>
  </si>
  <si>
    <t>MB-0278</t>
  </si>
  <si>
    <t>MB-0279</t>
  </si>
  <si>
    <t>MB-0280</t>
  </si>
  <si>
    <t>MB-0281</t>
  </si>
  <si>
    <t>MB-0282</t>
  </si>
  <si>
    <t>MB-0283</t>
  </si>
  <si>
    <t>MB-0284</t>
  </si>
  <si>
    <t>MB-0285</t>
  </si>
  <si>
    <t>MB-0286</t>
  </si>
  <si>
    <t>MB-0287</t>
  </si>
  <si>
    <t>MB-0288</t>
  </si>
  <si>
    <t>MB-0289</t>
  </si>
  <si>
    <t>MB-0290</t>
  </si>
  <si>
    <t>MB-0291</t>
  </si>
  <si>
    <t>MB-0292</t>
  </si>
  <si>
    <t>MB-0293</t>
  </si>
  <si>
    <t>MB-0294</t>
  </si>
  <si>
    <t>MB-0295</t>
  </si>
  <si>
    <t>MB-0299</t>
  </si>
  <si>
    <t>MB-0301</t>
  </si>
  <si>
    <t>MB-0302</t>
  </si>
  <si>
    <t>MB-0303</t>
  </si>
  <si>
    <t>MB-0304</t>
  </si>
  <si>
    <t>MB-0305</t>
  </si>
  <si>
    <t>MB-0306</t>
  </si>
  <si>
    <t>MB-0307</t>
  </si>
  <si>
    <t>MB-0308</t>
  </si>
  <si>
    <t>MB-0309</t>
  </si>
  <si>
    <t>MB-0310</t>
  </si>
  <si>
    <t>MB-0311</t>
  </si>
  <si>
    <t>MB-0312</t>
  </si>
  <si>
    <t>MB-0313</t>
  </si>
  <si>
    <t>MB-0314</t>
  </si>
  <si>
    <t>MB-0315</t>
  </si>
  <si>
    <t>MB-0316</t>
  </si>
  <si>
    <t>MB-0317</t>
  </si>
  <si>
    <t>MB-0318</t>
  </si>
  <si>
    <t>MB-0319</t>
  </si>
  <si>
    <t>MB-0320</t>
  </si>
  <si>
    <t>MB-0321</t>
  </si>
  <si>
    <t>MB-0322</t>
  </si>
  <si>
    <t>MB-0324</t>
  </si>
  <si>
    <t>MB-0325</t>
  </si>
  <si>
    <t>MB-0326</t>
  </si>
  <si>
    <t>MB-0327</t>
  </si>
  <si>
    <t>MB-0328</t>
  </si>
  <si>
    <t>MB-0329</t>
  </si>
  <si>
    <t>MB-0333</t>
  </si>
  <si>
    <t>MB-0336</t>
  </si>
  <si>
    <t>MB-0339</t>
  </si>
  <si>
    <t>MB-0340</t>
  </si>
  <si>
    <t>MB-0341</t>
  </si>
  <si>
    <t>MB-0342</t>
  </si>
  <si>
    <t>MB-0343</t>
  </si>
  <si>
    <t>MB-0344</t>
  </si>
  <si>
    <t>MB-0345</t>
  </si>
  <si>
    <t>MB-0346</t>
  </si>
  <si>
    <t>MB-0347</t>
  </si>
  <si>
    <t>MB-0348</t>
  </si>
  <si>
    <t>MB-0349</t>
  </si>
  <si>
    <t>MB-0350</t>
  </si>
  <si>
    <t>MB-0351</t>
  </si>
  <si>
    <t>MB-0352</t>
  </si>
  <si>
    <t>MB-0353</t>
  </si>
  <si>
    <t>MB-0354</t>
  </si>
  <si>
    <t>MB-0356</t>
  </si>
  <si>
    <t>MB-0358</t>
  </si>
  <si>
    <t>MB-0359</t>
  </si>
  <si>
    <t>MB-0360</t>
  </si>
  <si>
    <t>MB-0361</t>
  </si>
  <si>
    <t>MB-0362</t>
  </si>
  <si>
    <t>MB-0363</t>
  </si>
  <si>
    <t>MB-0364</t>
  </si>
  <si>
    <t>MB-0365</t>
  </si>
  <si>
    <t>MB-0366</t>
  </si>
  <si>
    <t>MB-0367</t>
  </si>
  <si>
    <t>MB-0368</t>
  </si>
  <si>
    <t>MB-0369</t>
  </si>
  <si>
    <t>MB-0370</t>
  </si>
  <si>
    <t>MB-0371</t>
  </si>
  <si>
    <t>MB-0372</t>
  </si>
  <si>
    <t>MB-0373</t>
  </si>
  <si>
    <t>MB-0374</t>
  </si>
  <si>
    <t>MB-0375</t>
  </si>
  <si>
    <t>MB-0377</t>
  </si>
  <si>
    <t>MB-0378</t>
  </si>
  <si>
    <t>MB-0379</t>
  </si>
  <si>
    <t>MB-0380</t>
  </si>
  <si>
    <t>MB-0381</t>
  </si>
  <si>
    <t>MB-0382</t>
  </si>
  <si>
    <t>MB-0383</t>
  </si>
  <si>
    <t>MB-0384</t>
  </si>
  <si>
    <t>MB-0385</t>
  </si>
  <si>
    <t>MB-0386</t>
  </si>
  <si>
    <t>MB-0388</t>
  </si>
  <si>
    <t>MB-0389</t>
  </si>
  <si>
    <t>MB-0390</t>
  </si>
  <si>
    <t>MB-0391</t>
  </si>
  <si>
    <t>MB-0392</t>
  </si>
  <si>
    <t>MB-0393</t>
  </si>
  <si>
    <t>MB-0394</t>
  </si>
  <si>
    <t>MB-0395</t>
  </si>
  <si>
    <t>MB-0396</t>
  </si>
  <si>
    <t>MB-0397</t>
  </si>
  <si>
    <t>MB-0398</t>
  </si>
  <si>
    <t>MB-0399</t>
  </si>
  <si>
    <t>MB-0400</t>
  </si>
  <si>
    <t>MB-0401</t>
  </si>
  <si>
    <t>MB-0402</t>
  </si>
  <si>
    <t>MB-0403</t>
  </si>
  <si>
    <t>MB-0404</t>
  </si>
  <si>
    <t>MB-0405</t>
  </si>
  <si>
    <t>MB-0406</t>
  </si>
  <si>
    <t>MB-0408</t>
  </si>
  <si>
    <t>MB-0410</t>
  </si>
  <si>
    <t>MB-0411</t>
  </si>
  <si>
    <t>MB-0412</t>
  </si>
  <si>
    <t>MB-0413</t>
  </si>
  <si>
    <t>MB-0414</t>
  </si>
  <si>
    <t>MB-0417</t>
  </si>
  <si>
    <t>MB-0418</t>
  </si>
  <si>
    <t>MB-0419</t>
  </si>
  <si>
    <t>MB-0420</t>
  </si>
  <si>
    <t>MB-0421</t>
  </si>
  <si>
    <t>MB-0422</t>
  </si>
  <si>
    <t>MB-0423</t>
  </si>
  <si>
    <t>MB-0424</t>
  </si>
  <si>
    <t>MB-0425</t>
  </si>
  <si>
    <t>MB-0426</t>
  </si>
  <si>
    <t>MB-0427</t>
  </si>
  <si>
    <t>MB-0428</t>
  </si>
  <si>
    <t>MB-0429</t>
  </si>
  <si>
    <t>MB-0431</t>
  </si>
  <si>
    <t>MB-0432</t>
  </si>
  <si>
    <t>MB-0434</t>
  </si>
  <si>
    <t>MB-0435</t>
  </si>
  <si>
    <t>MB-0436</t>
  </si>
  <si>
    <t>MB-0437</t>
  </si>
  <si>
    <t>MB-0438</t>
  </si>
  <si>
    <t>MB-0439</t>
  </si>
  <si>
    <t>MB-0440</t>
  </si>
  <si>
    <t>MB-0442</t>
  </si>
  <si>
    <t>MB-0443</t>
  </si>
  <si>
    <t>MB-0444</t>
  </si>
  <si>
    <t>MB-0445</t>
  </si>
  <si>
    <t>MB-0446</t>
  </si>
  <si>
    <t>MB-0448</t>
  </si>
  <si>
    <t>MB-0449</t>
  </si>
  <si>
    <t>MB-0451</t>
  </si>
  <si>
    <t>MB-0452</t>
  </si>
  <si>
    <t>MB-0453</t>
  </si>
  <si>
    <t>MB-0454</t>
  </si>
  <si>
    <t>MB-0455</t>
  </si>
  <si>
    <t>MB-0458</t>
  </si>
  <si>
    <t>MB-0459</t>
  </si>
  <si>
    <t>MB-0460</t>
  </si>
  <si>
    <t>MB-0462</t>
  </si>
  <si>
    <t>MB-0463</t>
  </si>
  <si>
    <t>MB-0464</t>
  </si>
  <si>
    <t>MB-0465</t>
  </si>
  <si>
    <t>MB-0466</t>
  </si>
  <si>
    <t>MB-0467</t>
  </si>
  <si>
    <t>MB-0468</t>
  </si>
  <si>
    <t>MB-0469</t>
  </si>
  <si>
    <t>MB-0470</t>
  </si>
  <si>
    <t>MB-0471</t>
  </si>
  <si>
    <t>MB-0472</t>
  </si>
  <si>
    <t>MB-0474</t>
  </si>
  <si>
    <t>MB-0475</t>
  </si>
  <si>
    <t>MB-0476</t>
  </si>
  <si>
    <t>MB-0478</t>
  </si>
  <si>
    <t>MB-0479</t>
  </si>
  <si>
    <t>MB-0480</t>
  </si>
  <si>
    <t>MB-0481</t>
  </si>
  <si>
    <t>MB-0482</t>
  </si>
  <si>
    <t>MB-0483</t>
  </si>
  <si>
    <t>MB-0484</t>
  </si>
  <si>
    <t>MB-0485</t>
  </si>
  <si>
    <t>MB-0486</t>
  </si>
  <si>
    <t>MB-0487</t>
  </si>
  <si>
    <t>MB-0488</t>
  </si>
  <si>
    <t>MB-0489</t>
  </si>
  <si>
    <t>MB-0490</t>
  </si>
  <si>
    <t>MB-0491</t>
  </si>
  <si>
    <t>MB-0492</t>
  </si>
  <si>
    <t>MB-0494</t>
  </si>
  <si>
    <t>MB-0495</t>
  </si>
  <si>
    <t>MB-0496</t>
  </si>
  <si>
    <t>MB-0497</t>
  </si>
  <si>
    <t>MB-0499</t>
  </si>
  <si>
    <t>MB-0500</t>
  </si>
  <si>
    <t>MB-0501</t>
  </si>
  <si>
    <t>MB-0502</t>
  </si>
  <si>
    <t>MB-0503</t>
  </si>
  <si>
    <t>MB-0504</t>
  </si>
  <si>
    <t>MB-0505</t>
  </si>
  <si>
    <t>MB-0506</t>
  </si>
  <si>
    <t>MB-0507</t>
  </si>
  <si>
    <t>MB-0508</t>
  </si>
  <si>
    <t>MB-0509</t>
  </si>
  <si>
    <t>MB-0510</t>
  </si>
  <si>
    <t>MB-0511</t>
  </si>
  <si>
    <t>MB-0512</t>
  </si>
  <si>
    <t>MB-0513</t>
  </si>
  <si>
    <t>MB-0514</t>
  </si>
  <si>
    <t>MB-0516</t>
  </si>
  <si>
    <t>MB-0517</t>
  </si>
  <si>
    <t>MB-0519</t>
  </si>
  <si>
    <t>MB-0521</t>
  </si>
  <si>
    <t>MB-0522</t>
  </si>
  <si>
    <t>MB-0524</t>
  </si>
  <si>
    <t>MB-0525</t>
  </si>
  <si>
    <t>MB-0526</t>
  </si>
  <si>
    <t>MB-0527</t>
  </si>
  <si>
    <t>MB-0528</t>
  </si>
  <si>
    <t>MB-0529</t>
  </si>
  <si>
    <t>MB-0531</t>
  </si>
  <si>
    <t>MB-0532</t>
  </si>
  <si>
    <t>MB-0534</t>
  </si>
  <si>
    <t>MB-0535</t>
  </si>
  <si>
    <t>MB-0536</t>
  </si>
  <si>
    <t>MB-0537</t>
  </si>
  <si>
    <t>MB-0538</t>
  </si>
  <si>
    <t>MB-0539</t>
  </si>
  <si>
    <t>MB-0540</t>
  </si>
  <si>
    <t>MB-0541</t>
  </si>
  <si>
    <t>MB-0542</t>
  </si>
  <si>
    <t>MB-0543</t>
  </si>
  <si>
    <t>MB-0544</t>
  </si>
  <si>
    <t>MB-0545</t>
  </si>
  <si>
    <t>MB-0546</t>
  </si>
  <si>
    <t>MB-0547</t>
  </si>
  <si>
    <t>MB-0549</t>
  </si>
  <si>
    <t>MB-0550</t>
  </si>
  <si>
    <t>MB-0551</t>
  </si>
  <si>
    <t>MB-0552</t>
  </si>
  <si>
    <t>MB-0553</t>
  </si>
  <si>
    <t>MB-0554</t>
  </si>
  <si>
    <t>MB-0558</t>
  </si>
  <si>
    <t>MB-0559</t>
  </si>
  <si>
    <t>MB-0564</t>
  </si>
  <si>
    <t>MB-0568</t>
  </si>
  <si>
    <t>MB-0569</t>
  </si>
  <si>
    <t>MB-0570</t>
  </si>
  <si>
    <t>MB-0571</t>
  </si>
  <si>
    <t>MB-0573</t>
  </si>
  <si>
    <t>MB-0574</t>
  </si>
  <si>
    <t>MB-0575</t>
  </si>
  <si>
    <t>MB-0576</t>
  </si>
  <si>
    <t>MB-0577</t>
  </si>
  <si>
    <t>MB-0578</t>
  </si>
  <si>
    <t>MB-0579</t>
  </si>
  <si>
    <t>MB-0580</t>
  </si>
  <si>
    <t>MB-0581</t>
  </si>
  <si>
    <t>MB-0582</t>
  </si>
  <si>
    <t>MB-0583</t>
  </si>
  <si>
    <t>MB-0584</t>
  </si>
  <si>
    <t>MB-0585</t>
  </si>
  <si>
    <t>MB-0586</t>
  </si>
  <si>
    <t>MB-0587</t>
  </si>
  <si>
    <t>MB-0588</t>
  </si>
  <si>
    <t>MB-0589</t>
  </si>
  <si>
    <t>MB-0590</t>
  </si>
  <si>
    <t>MB-0591</t>
  </si>
  <si>
    <t>MB-0592</t>
  </si>
  <si>
    <t>MB-0593</t>
  </si>
  <si>
    <t>MB-0594</t>
  </si>
  <si>
    <t>MB-0596</t>
  </si>
  <si>
    <t>MB-0597</t>
  </si>
  <si>
    <t>MB-0598</t>
  </si>
  <si>
    <t>MB-0599</t>
  </si>
  <si>
    <t>MB-0600</t>
  </si>
  <si>
    <t>MB-0601</t>
  </si>
  <si>
    <t>MB-0603</t>
  </si>
  <si>
    <t>MB-0605</t>
  </si>
  <si>
    <t>MB-0606</t>
  </si>
  <si>
    <t>MB-0607</t>
  </si>
  <si>
    <t>MB-0608</t>
  </si>
  <si>
    <t>MB-0609</t>
  </si>
  <si>
    <t>MB-0610</t>
  </si>
  <si>
    <t>MB-0611</t>
  </si>
  <si>
    <t>MB-0613</t>
  </si>
  <si>
    <t>MB-0614</t>
  </si>
  <si>
    <t>MB-0615</t>
  </si>
  <si>
    <t>MB-0616</t>
  </si>
  <si>
    <t>MB-0617</t>
  </si>
  <si>
    <t>MB-0618</t>
  </si>
  <si>
    <t>MB-0619</t>
  </si>
  <si>
    <t>MB-0620</t>
  </si>
  <si>
    <t>MB-0621</t>
  </si>
  <si>
    <t>MB-0623</t>
  </si>
  <si>
    <t>MB-0624</t>
  </si>
  <si>
    <t>MB-0626</t>
  </si>
  <si>
    <t>MB-0627</t>
  </si>
  <si>
    <t>MB-0628</t>
  </si>
  <si>
    <t>MB-0630</t>
  </si>
  <si>
    <t>MB-0631</t>
  </si>
  <si>
    <t>MB-0632</t>
  </si>
  <si>
    <t>MB-0634</t>
  </si>
  <si>
    <t>MB-0635</t>
  </si>
  <si>
    <t>MB-0636</t>
  </si>
  <si>
    <t>MB-0637</t>
  </si>
  <si>
    <t>MB-0638</t>
  </si>
  <si>
    <t>MB-0639</t>
  </si>
  <si>
    <t>MB-0640</t>
  </si>
  <si>
    <t>MB-0641</t>
  </si>
  <si>
    <t>MB-0642</t>
  </si>
  <si>
    <t>MB-0643</t>
  </si>
  <si>
    <t>MB-0644</t>
  </si>
  <si>
    <t>MB-0646</t>
  </si>
  <si>
    <t>MB-0649</t>
  </si>
  <si>
    <t>MB-0650</t>
  </si>
  <si>
    <t>MB-0652</t>
  </si>
  <si>
    <t>MB-0653</t>
  </si>
  <si>
    <t>MB-0654</t>
  </si>
  <si>
    <t>MB-0655</t>
  </si>
  <si>
    <t>MB-0656</t>
  </si>
  <si>
    <t>MB-0657</t>
  </si>
  <si>
    <t>MB-0658</t>
  </si>
  <si>
    <t>MB-0659</t>
  </si>
  <si>
    <t>MB-0660</t>
  </si>
  <si>
    <t>MB-0661</t>
  </si>
  <si>
    <t>MB-0662</t>
  </si>
  <si>
    <t>MB-0663</t>
  </si>
  <si>
    <t>MB-0664</t>
  </si>
  <si>
    <t>MB-0666</t>
  </si>
  <si>
    <t>MB-0667</t>
  </si>
  <si>
    <t>MB-0869</t>
  </si>
  <si>
    <t>MB-0872</t>
  </si>
  <si>
    <t>MB-0874</t>
  </si>
  <si>
    <t>MB-0876</t>
  </si>
  <si>
    <t>MB-0877</t>
  </si>
  <si>
    <t>MB-0880</t>
  </si>
  <si>
    <t>MB-0882</t>
  </si>
  <si>
    <t>MB-0884</t>
  </si>
  <si>
    <t>MB-0885</t>
  </si>
  <si>
    <t>MB-0891</t>
  </si>
  <si>
    <t>MB-0893</t>
  </si>
  <si>
    <t>MB-0895</t>
  </si>
  <si>
    <t>MB-0897</t>
  </si>
  <si>
    <t>MB-0899</t>
  </si>
  <si>
    <t>MB-0901</t>
  </si>
  <si>
    <t>MB-0904</t>
  </si>
  <si>
    <t>MB-0906</t>
  </si>
  <si>
    <t>MB-0907</t>
  </si>
  <si>
    <t>MB-2513</t>
  </si>
  <si>
    <t>MB-2517</t>
  </si>
  <si>
    <t>MB-2536</t>
  </si>
  <si>
    <t>MB-2556</t>
  </si>
  <si>
    <t>MB-2564</t>
  </si>
  <si>
    <t>MB-2610</t>
  </si>
  <si>
    <t>MB-2613</t>
  </si>
  <si>
    <t>MB-2614</t>
  </si>
  <si>
    <t>MB-2616</t>
  </si>
  <si>
    <t>MB-2617</t>
  </si>
  <si>
    <t>MB-2618</t>
  </si>
  <si>
    <t>MB-2624</t>
  </si>
  <si>
    <t>MB-2626</t>
  </si>
  <si>
    <t>MB-2629</t>
  </si>
  <si>
    <t>MB-2632</t>
  </si>
  <si>
    <t>MB-2634</t>
  </si>
  <si>
    <t>MB-2642</t>
  </si>
  <si>
    <t>MB-2643</t>
  </si>
  <si>
    <t>MB-2645</t>
  </si>
  <si>
    <t>MB-2669</t>
  </si>
  <si>
    <t>MB-2686</t>
  </si>
  <si>
    <t>MB-2705</t>
  </si>
  <si>
    <t>MB-2708</t>
  </si>
  <si>
    <t>MB-2711</t>
  </si>
  <si>
    <t>MB-2712</t>
  </si>
  <si>
    <t>MB-2718</t>
  </si>
  <si>
    <t>MB-2721</t>
  </si>
  <si>
    <t>MB-2724</t>
  </si>
  <si>
    <t>MB-2725</t>
  </si>
  <si>
    <t>MB-2728</t>
  </si>
  <si>
    <t>MB-2730</t>
  </si>
  <si>
    <t>MB-2735</t>
  </si>
  <si>
    <t>MB-2742</t>
  </si>
  <si>
    <t>MB-2744</t>
  </si>
  <si>
    <t>MB-2745</t>
  </si>
  <si>
    <t>MB-2747</t>
  </si>
  <si>
    <t>MB-2749</t>
  </si>
  <si>
    <t>MB-2750</t>
  </si>
  <si>
    <t>MB-2752</t>
  </si>
  <si>
    <t>MB-2753</t>
  </si>
  <si>
    <t>MB-2754</t>
  </si>
  <si>
    <t>MB-2758</t>
  </si>
  <si>
    <t>MB-2760</t>
  </si>
  <si>
    <t>MB-2763</t>
  </si>
  <si>
    <t>MB-2764</t>
  </si>
  <si>
    <t>MB-2765</t>
  </si>
  <si>
    <t>MB-2767</t>
  </si>
  <si>
    <t>MB-2769</t>
  </si>
  <si>
    <t>MB-2770</t>
  </si>
  <si>
    <t>MB-2771</t>
  </si>
  <si>
    <t>MB-2772</t>
  </si>
  <si>
    <t>MB-2774</t>
  </si>
  <si>
    <t>MB-2778</t>
  </si>
  <si>
    <t>NC</t>
  </si>
  <si>
    <t>MB-2779</t>
  </si>
  <si>
    <t>MB-2781</t>
  </si>
  <si>
    <t>MB-2786</t>
  </si>
  <si>
    <t>MB-2790</t>
  </si>
  <si>
    <t>MB-2791</t>
  </si>
  <si>
    <t>MB-2792</t>
  </si>
  <si>
    <t>MB-2793</t>
  </si>
  <si>
    <t>MB-2795</t>
  </si>
  <si>
    <t>MB-2796</t>
  </si>
  <si>
    <t>MB-2797</t>
  </si>
  <si>
    <t>MB-2801</t>
  </si>
  <si>
    <t>MB-2803</t>
  </si>
  <si>
    <t>MB-2814</t>
  </si>
  <si>
    <t>MB-2815</t>
  </si>
  <si>
    <t>MB-2819</t>
  </si>
  <si>
    <t>MB-2820</t>
  </si>
  <si>
    <t>MB-2821</t>
  </si>
  <si>
    <t>MB-2823</t>
  </si>
  <si>
    <t>MB-2827</t>
  </si>
  <si>
    <t>MB-2833</t>
  </si>
  <si>
    <t>MB-2834</t>
  </si>
  <si>
    <t>MB-2835</t>
  </si>
  <si>
    <t>MB-2838</t>
  </si>
  <si>
    <t>MB-2840</t>
  </si>
  <si>
    <t>MB-2842</t>
  </si>
  <si>
    <t>MB-2843</t>
  </si>
  <si>
    <t>MB-2844</t>
  </si>
  <si>
    <t>MB-2845</t>
  </si>
  <si>
    <t>MB-2846</t>
  </si>
  <si>
    <t>MB-2847</t>
  </si>
  <si>
    <t>MB-2848</t>
  </si>
  <si>
    <t>MB-2849</t>
  </si>
  <si>
    <t>MB-2850</t>
  </si>
  <si>
    <t>MB-2851</t>
  </si>
  <si>
    <t>MB-2853</t>
  </si>
  <si>
    <t>MB-2854</t>
  </si>
  <si>
    <t>MB-2857</t>
  </si>
  <si>
    <t>MB-2858</t>
  </si>
  <si>
    <t>MB-2863</t>
  </si>
  <si>
    <t>MB-2867</t>
  </si>
  <si>
    <t>MB-2895</t>
  </si>
  <si>
    <t>MB-2896</t>
  </si>
  <si>
    <t>MB-2900</t>
  </si>
  <si>
    <t>MB-2901</t>
  </si>
  <si>
    <t>MB-2904</t>
  </si>
  <si>
    <t>MB-2912</t>
  </si>
  <si>
    <t>MB-2916</t>
  </si>
  <si>
    <t>MB-2917</t>
  </si>
  <si>
    <t>MB-2919</t>
  </si>
  <si>
    <t>MB-2922</t>
  </si>
  <si>
    <t>MB-2923</t>
  </si>
  <si>
    <t>MB-2927</t>
  </si>
  <si>
    <t>MB-2929</t>
  </si>
  <si>
    <t>MB-2931</t>
  </si>
  <si>
    <t>MB-2932</t>
  </si>
  <si>
    <t>MB-2933</t>
  </si>
  <si>
    <t>MB-2939</t>
  </si>
  <si>
    <t>MB-2944</t>
  </si>
  <si>
    <t>MB-2947</t>
  </si>
  <si>
    <t>MB-2951</t>
  </si>
  <si>
    <t>MB-2952</t>
  </si>
  <si>
    <t>MB-2953</t>
  </si>
  <si>
    <t>MB-2954</t>
  </si>
  <si>
    <t>MB-2957</t>
  </si>
  <si>
    <t>MB-2960</t>
  </si>
  <si>
    <t>MB-2963</t>
  </si>
  <si>
    <t>MB-2964</t>
  </si>
  <si>
    <t>MB-2966</t>
  </si>
  <si>
    <t>MB-2969</t>
  </si>
  <si>
    <t>MB-2970</t>
  </si>
  <si>
    <t>MB-2971</t>
  </si>
  <si>
    <t>MB-2977</t>
  </si>
  <si>
    <t>MB-2983</t>
  </si>
  <si>
    <t>MB-2984</t>
  </si>
  <si>
    <t>MB-2990</t>
  </si>
  <si>
    <t>MB-2993</t>
  </si>
  <si>
    <t>MB-2994</t>
  </si>
  <si>
    <t>MB-2996</t>
  </si>
  <si>
    <t>MB-2999</t>
  </si>
  <si>
    <t>MB-3001</t>
  </si>
  <si>
    <t>MB-3002</t>
  </si>
  <si>
    <t>MB-3005</t>
  </si>
  <si>
    <t>MB-3006</t>
  </si>
  <si>
    <t>MB-3007</t>
  </si>
  <si>
    <t>MB-3008</t>
  </si>
  <si>
    <t>MB-3013</t>
  </si>
  <si>
    <t>MB-3014</t>
  </si>
  <si>
    <t>MB-3016</t>
  </si>
  <si>
    <t>MB-3021</t>
  </si>
  <si>
    <t>MB-3025</t>
  </si>
  <si>
    <t>MB-3026</t>
  </si>
  <si>
    <t>MB-3028</t>
  </si>
  <si>
    <t>MB-3031</t>
  </si>
  <si>
    <t>MB-3032</t>
  </si>
  <si>
    <t>MB-3033</t>
  </si>
  <si>
    <t>MB-3035</t>
  </si>
  <si>
    <t>MB-3037</t>
  </si>
  <si>
    <t>MB-3046</t>
  </si>
  <si>
    <t>MB-3049</t>
  </si>
  <si>
    <t>MB-3050</t>
  </si>
  <si>
    <t>MB-3057</t>
  </si>
  <si>
    <t>MB-3058</t>
  </si>
  <si>
    <t>MB-3060</t>
  </si>
  <si>
    <t>MB-3062</t>
  </si>
  <si>
    <t>MB-3063</t>
  </si>
  <si>
    <t>MB-3064</t>
  </si>
  <si>
    <t>MB-3067</t>
  </si>
  <si>
    <t>MB-3079</t>
  </si>
  <si>
    <t>MB-3083</t>
  </si>
  <si>
    <t>MB-3085</t>
  </si>
  <si>
    <t>MB-3088</t>
  </si>
  <si>
    <t>MB-3092</t>
  </si>
  <si>
    <t>MB-3102</t>
  </si>
  <si>
    <t>MB-3103</t>
  </si>
  <si>
    <t>MB-3104</t>
  </si>
  <si>
    <t>MB-3105</t>
  </si>
  <si>
    <t>MB-3110</t>
  </si>
  <si>
    <t>MB-3121</t>
  </si>
  <si>
    <t>MB-3122</t>
  </si>
  <si>
    <t>MB-3123</t>
  </si>
  <si>
    <t>MB-3153</t>
  </si>
  <si>
    <t>MB-3165</t>
  </si>
  <si>
    <t>MB-3167</t>
  </si>
  <si>
    <t>MB-3171</t>
  </si>
  <si>
    <t>MB-3181</t>
  </si>
  <si>
    <t>MB-3211</t>
  </si>
  <si>
    <t>MB-3218</t>
  </si>
  <si>
    <t>MB-3222</t>
  </si>
  <si>
    <t>MB-3228</t>
  </si>
  <si>
    <t>MB-3235</t>
  </si>
  <si>
    <t>MB-3252</t>
  </si>
  <si>
    <t>MB-3253</t>
  </si>
  <si>
    <t>MB-3254</t>
  </si>
  <si>
    <t>MB-3266</t>
  </si>
  <si>
    <t>MB-3271</t>
  </si>
  <si>
    <t>MB-3272</t>
  </si>
  <si>
    <t>MB-3275</t>
  </si>
  <si>
    <t>MB-3277</t>
  </si>
  <si>
    <t>MB-3292</t>
  </si>
  <si>
    <t>MB-3295</t>
  </si>
  <si>
    <t>MB-3297</t>
  </si>
  <si>
    <t>MB-3298</t>
  </si>
  <si>
    <t>MB-3300</t>
  </si>
  <si>
    <t>MB-3301</t>
  </si>
  <si>
    <t>MB-3303</t>
  </si>
  <si>
    <t>MB-3328</t>
  </si>
  <si>
    <t>MB-3329</t>
  </si>
  <si>
    <t>MB-3341</t>
  </si>
  <si>
    <t>MB-3344</t>
  </si>
  <si>
    <t>MB-3350</t>
  </si>
  <si>
    <t>MB-3351</t>
  </si>
  <si>
    <t>MB-3355</t>
  </si>
  <si>
    <t>MB-3357</t>
  </si>
  <si>
    <t>MB-3360</t>
  </si>
  <si>
    <t>MB-3361</t>
  </si>
  <si>
    <t>MB-3363</t>
  </si>
  <si>
    <t>MB-3365</t>
  </si>
  <si>
    <t>MB-3367</t>
  </si>
  <si>
    <t>MB-3371</t>
  </si>
  <si>
    <t>MB-3378</t>
  </si>
  <si>
    <t>MB-3379</t>
  </si>
  <si>
    <t>MB-3381</t>
  </si>
  <si>
    <t>MB-3382</t>
  </si>
  <si>
    <t>MB-3383</t>
  </si>
  <si>
    <t>MB-3386</t>
  </si>
  <si>
    <t>MB-3388</t>
  </si>
  <si>
    <t>MB-3389</t>
  </si>
  <si>
    <t>MB-3395</t>
  </si>
  <si>
    <t>MB-3396</t>
  </si>
  <si>
    <t>MB-3402</t>
  </si>
  <si>
    <t>MB-3403</t>
  </si>
  <si>
    <t>MB-3412</t>
  </si>
  <si>
    <t>MB-3417</t>
  </si>
  <si>
    <t>MB-3429</t>
  </si>
  <si>
    <t>MB-3430</t>
  </si>
  <si>
    <t>MB-3435</t>
  </si>
  <si>
    <t>MB-3436</t>
  </si>
  <si>
    <t>MB-3437</t>
  </si>
  <si>
    <t>MB-3439</t>
  </si>
  <si>
    <t>MB-3450</t>
  </si>
  <si>
    <t>MB-3452</t>
  </si>
  <si>
    <t>MB-3453</t>
  </si>
  <si>
    <t>MB-3459</t>
  </si>
  <si>
    <t>MB-3462</t>
  </si>
  <si>
    <t>MB-3466</t>
  </si>
  <si>
    <t>MB-3467</t>
  </si>
  <si>
    <t>MB-3470</t>
  </si>
  <si>
    <t>MB-3476</t>
  </si>
  <si>
    <t>MB-3479</t>
  </si>
  <si>
    <t>MB-3487</t>
  </si>
  <si>
    <t>MB-3488</t>
  </si>
  <si>
    <t>MB-3490</t>
  </si>
  <si>
    <t>MB-3492</t>
  </si>
  <si>
    <t>MB-3497</t>
  </si>
  <si>
    <t>MB-3500</t>
  </si>
  <si>
    <t>MB-3502</t>
  </si>
  <si>
    <t>MB-3506</t>
  </si>
  <si>
    <t>MB-3510</t>
  </si>
  <si>
    <t>MB-3525</t>
  </si>
  <si>
    <t>MB-3526</t>
  </si>
  <si>
    <t>MB-3528</t>
  </si>
  <si>
    <t>MB-3530</t>
  </si>
  <si>
    <t>MB-3536</t>
  </si>
  <si>
    <t>UNDEF</t>
  </si>
  <si>
    <t>MB-3545</t>
  </si>
  <si>
    <t>MB-3547</t>
  </si>
  <si>
    <t>MB-3548</t>
  </si>
  <si>
    <t>MB-3556</t>
  </si>
  <si>
    <t>MB-3567</t>
  </si>
  <si>
    <t>MB-3576</t>
  </si>
  <si>
    <t>MB-3582</t>
  </si>
  <si>
    <t>MB-3600</t>
  </si>
  <si>
    <t>MB-3606</t>
  </si>
  <si>
    <t>MB-3614</t>
  </si>
  <si>
    <t>MB-3702</t>
  </si>
  <si>
    <t>MB-3706</t>
  </si>
  <si>
    <t>MB-3707</t>
  </si>
  <si>
    <t>MB-3711</t>
  </si>
  <si>
    <t>MB-3748</t>
  </si>
  <si>
    <t>MB-3752</t>
  </si>
  <si>
    <t>MB-3754</t>
  </si>
  <si>
    <t>MB-3781</t>
  </si>
  <si>
    <t>MB-3797</t>
  </si>
  <si>
    <t>MB-3823</t>
  </si>
  <si>
    <t>MB-3824</t>
  </si>
  <si>
    <t>MB-3838</t>
  </si>
  <si>
    <t>MB-3840</t>
  </si>
  <si>
    <t>MB-3842</t>
  </si>
  <si>
    <t>MB-3850</t>
  </si>
  <si>
    <t>MB-3852</t>
  </si>
  <si>
    <t>MB-3854</t>
  </si>
  <si>
    <t>MB-3865</t>
  </si>
  <si>
    <t>MB-3866</t>
  </si>
  <si>
    <t>MB-3871</t>
  </si>
  <si>
    <t>MB-3874</t>
  </si>
  <si>
    <t>MB-3978</t>
  </si>
  <si>
    <t>MB-4000</t>
  </si>
  <si>
    <t>MB-4001</t>
  </si>
  <si>
    <t>MB-4003</t>
  </si>
  <si>
    <t>MB-4004</t>
  </si>
  <si>
    <t>MB-4005</t>
  </si>
  <si>
    <t>MB-4008</t>
  </si>
  <si>
    <t>MB-4010</t>
  </si>
  <si>
    <t>MB-4011</t>
  </si>
  <si>
    <t>MB-4012</t>
  </si>
  <si>
    <t>MB-4015</t>
  </si>
  <si>
    <t>MB-4017</t>
  </si>
  <si>
    <t>MB-4018</t>
  </si>
  <si>
    <t>MB-4024</t>
  </si>
  <si>
    <t>MB-4033</t>
  </si>
  <si>
    <t>MB-4046</t>
  </si>
  <si>
    <t>MB-4059</t>
  </si>
  <si>
    <t>MB-4079</t>
  </si>
  <si>
    <t>MB-4091</t>
  </si>
  <si>
    <t>MB-4098</t>
  </si>
  <si>
    <t>MB-4119</t>
  </si>
  <si>
    <t>MB-4120</t>
  </si>
  <si>
    <t>MB-4126</t>
  </si>
  <si>
    <t>MB-4127</t>
  </si>
  <si>
    <t>MB-4139</t>
  </si>
  <si>
    <t>MB-4140</t>
  </si>
  <si>
    <t>MB-4141</t>
  </si>
  <si>
    <t>MB-4145</t>
  </si>
  <si>
    <t>MB-4146</t>
  </si>
  <si>
    <t>MB-4148</t>
  </si>
  <si>
    <t>MB-4154</t>
  </si>
  <si>
    <t>MB-4171</t>
  </si>
  <si>
    <t>MB-4173</t>
  </si>
  <si>
    <t>MB-4189</t>
  </si>
  <si>
    <t>MB-4212</t>
  </si>
  <si>
    <t>MB-4213</t>
  </si>
  <si>
    <t>MB-4222</t>
  </si>
  <si>
    <t>MB-4224</t>
  </si>
  <si>
    <t>MB-4230</t>
  </si>
  <si>
    <t>MB-4233</t>
  </si>
  <si>
    <t>MB-4234</t>
  </si>
  <si>
    <t>MB-4235</t>
  </si>
  <si>
    <t>MB-4236</t>
  </si>
  <si>
    <t>MB-4250</t>
  </si>
  <si>
    <t>MB-4254</t>
  </si>
  <si>
    <t>MB-4264</t>
  </si>
  <si>
    <t>MB-4266</t>
  </si>
  <si>
    <t>MB-4270</t>
  </si>
  <si>
    <t>MB-4274</t>
  </si>
  <si>
    <t>MB-4276</t>
  </si>
  <si>
    <t>MB-4278</t>
  </si>
  <si>
    <t>MB-4281</t>
  </si>
  <si>
    <t>MB-4282</t>
  </si>
  <si>
    <t>MB-4283</t>
  </si>
  <si>
    <t>MB-4289</t>
  </si>
  <si>
    <t>MB-4292</t>
  </si>
  <si>
    <t>MB-4293</t>
  </si>
  <si>
    <t>MB-4298</t>
  </si>
  <si>
    <t>MB-4300</t>
  </si>
  <si>
    <t>MB-4303</t>
  </si>
  <si>
    <t>MB-4306</t>
  </si>
  <si>
    <t>MB-4310</t>
  </si>
  <si>
    <t>MB-4313</t>
  </si>
  <si>
    <t>MB-4317</t>
  </si>
  <si>
    <t>MB-4318</t>
  </si>
  <si>
    <t>MB-4322</t>
  </si>
  <si>
    <t>MB-4323</t>
  </si>
  <si>
    <t>MB-4324</t>
  </si>
  <si>
    <t>MB-4328</t>
  </si>
  <si>
    <t>MB-4329</t>
  </si>
  <si>
    <t>MB-4331</t>
  </si>
  <si>
    <t>MB-4332</t>
  </si>
  <si>
    <t>MB-4333</t>
  </si>
  <si>
    <t>MB-4339</t>
  </si>
  <si>
    <t>MB-4341</t>
  </si>
  <si>
    <t>MB-4342</t>
  </si>
  <si>
    <t>MB-4343</t>
  </si>
  <si>
    <t>MB-4348</t>
  </si>
  <si>
    <t>MB-4350</t>
  </si>
  <si>
    <t>MB-4351</t>
  </si>
  <si>
    <t>MB-4353</t>
  </si>
  <si>
    <t>MB-4354</t>
  </si>
  <si>
    <t>MB-4357</t>
  </si>
  <si>
    <t>MB-4360</t>
  </si>
  <si>
    <t>MB-4362</t>
  </si>
  <si>
    <t>MB-4368</t>
  </si>
  <si>
    <t>MB-4374</t>
  </si>
  <si>
    <t>MB-4375</t>
  </si>
  <si>
    <t>MB-4381</t>
  </si>
  <si>
    <t>MB-4390</t>
  </si>
  <si>
    <t>MB-4395</t>
  </si>
  <si>
    <t>MB-4407</t>
  </si>
  <si>
    <t>MB-4408</t>
  </si>
  <si>
    <t>MB-4416</t>
  </si>
  <si>
    <t>MB-4417</t>
  </si>
  <si>
    <t>MB-4418</t>
  </si>
  <si>
    <t>MB-4421</t>
  </si>
  <si>
    <t>MB-4426</t>
  </si>
  <si>
    <t>MB-4434</t>
  </si>
  <si>
    <t>MB-4442</t>
  </si>
  <si>
    <t>MB-4484</t>
  </si>
  <si>
    <t>MB-4529</t>
  </si>
  <si>
    <t>MB-4548</t>
  </si>
  <si>
    <t>MB-4557</t>
  </si>
  <si>
    <t>MB-4564</t>
  </si>
  <si>
    <t>MB-4578</t>
  </si>
  <si>
    <t>MB-4591</t>
  </si>
  <si>
    <t>MB-4593</t>
  </si>
  <si>
    <t>MB-4598</t>
  </si>
  <si>
    <t>MB-4599</t>
  </si>
  <si>
    <t>MB-4601</t>
  </si>
  <si>
    <t>MB-4602</t>
  </si>
  <si>
    <t>MB-4603</t>
  </si>
  <si>
    <t>MB-4607</t>
  </si>
  <si>
    <t>MB-4616</t>
  </si>
  <si>
    <t>MB-4618</t>
  </si>
  <si>
    <t>MB-4621</t>
  </si>
  <si>
    <t>MB-4622</t>
  </si>
  <si>
    <t>MB-4623</t>
  </si>
  <si>
    <t>MB-4626</t>
  </si>
  <si>
    <t>MB-4627</t>
  </si>
  <si>
    <t>MB-4630</t>
  </si>
  <si>
    <t>MB-4633</t>
  </si>
  <si>
    <t>MB-4634</t>
  </si>
  <si>
    <t>MB-4639</t>
  </si>
  <si>
    <t>MB-4640</t>
  </si>
  <si>
    <t>MB-4641</t>
  </si>
  <si>
    <t>MB-4642</t>
  </si>
  <si>
    <t>MB-4643</t>
  </si>
  <si>
    <t>MB-4644</t>
  </si>
  <si>
    <t>MB-4648</t>
  </si>
  <si>
    <t>MB-4649</t>
  </si>
  <si>
    <t>MB-4651</t>
  </si>
  <si>
    <t>MB-4653</t>
  </si>
  <si>
    <t>MB-4654</t>
  </si>
  <si>
    <t>MB-4655</t>
  </si>
  <si>
    <t>MB-4660</t>
  </si>
  <si>
    <t>MB-4661</t>
  </si>
  <si>
    <t>MB-4663</t>
  </si>
  <si>
    <t>MB-4665</t>
  </si>
  <si>
    <t>MB-4666</t>
  </si>
  <si>
    <t>MB-4667</t>
  </si>
  <si>
    <t>MB-4669</t>
  </si>
  <si>
    <t>MB-4670</t>
  </si>
  <si>
    <t>MB-4671</t>
  </si>
  <si>
    <t>MB-4672</t>
  </si>
  <si>
    <t>MB-4673</t>
  </si>
  <si>
    <t>MB-4674</t>
  </si>
  <si>
    <t>MB-4675</t>
  </si>
  <si>
    <t>MB-4679</t>
  </si>
  <si>
    <t>MB-4681</t>
  </si>
  <si>
    <t>MB-4682</t>
  </si>
  <si>
    <t>MB-4685</t>
  </si>
  <si>
    <t>MB-4686</t>
  </si>
  <si>
    <t>MB-4687</t>
  </si>
  <si>
    <t>MB-4688</t>
  </si>
  <si>
    <t>MB-4691</t>
  </si>
  <si>
    <t>MB-4692</t>
  </si>
  <si>
    <t>MB-4694</t>
  </si>
  <si>
    <t>MB-4695</t>
  </si>
  <si>
    <t>MB-4696</t>
  </si>
  <si>
    <t>MB-4697</t>
  </si>
  <si>
    <t>MB-4698</t>
  </si>
  <si>
    <t>MB-4701</t>
  </si>
  <si>
    <t>MB-4702</t>
  </si>
  <si>
    <t>MB-4704</t>
  </si>
  <si>
    <t>MB-4705</t>
  </si>
  <si>
    <t>MB-4706</t>
  </si>
  <si>
    <t>MB-4707</t>
  </si>
  <si>
    <t>MB-4708</t>
  </si>
  <si>
    <t>MB-4709</t>
  </si>
  <si>
    <t>MB-4710</t>
  </si>
  <si>
    <t>MB-4711</t>
  </si>
  <si>
    <t>MB-4712</t>
  </si>
  <si>
    <t>MB-4714</t>
  </si>
  <si>
    <t>MB-4715</t>
  </si>
  <si>
    <t>MB-4716</t>
  </si>
  <si>
    <t>MB-4717</t>
  </si>
  <si>
    <t>MB-4718</t>
  </si>
  <si>
    <t>MB-4719</t>
  </si>
  <si>
    <t>MB-4721</t>
  </si>
  <si>
    <t>MB-4722</t>
  </si>
  <si>
    <t>MB-4723</t>
  </si>
  <si>
    <t>MB-4724</t>
  </si>
  <si>
    <t>MB-4725</t>
  </si>
  <si>
    <t>MB-4729</t>
  </si>
  <si>
    <t>MB-4730</t>
  </si>
  <si>
    <t>MB-4731</t>
  </si>
  <si>
    <t>MB-4732</t>
  </si>
  <si>
    <t>MB-4733</t>
  </si>
  <si>
    <t>MB-4735</t>
  </si>
  <si>
    <t>MB-4737</t>
  </si>
  <si>
    <t>MB-4738</t>
  </si>
  <si>
    <t>MB-4739</t>
  </si>
  <si>
    <t>MB-4741</t>
  </si>
  <si>
    <t>MB-4742</t>
  </si>
  <si>
    <t>MB-4743</t>
  </si>
  <si>
    <t>MB-4744</t>
  </si>
  <si>
    <t>MB-4745</t>
  </si>
  <si>
    <t>MB-4746</t>
  </si>
  <si>
    <t>MB-4749</t>
  </si>
  <si>
    <t>MB-4750</t>
  </si>
  <si>
    <t>MB-4752</t>
  </si>
  <si>
    <t>MB-4757</t>
  </si>
  <si>
    <t>MB-4758</t>
  </si>
  <si>
    <t>MB-4760</t>
  </si>
  <si>
    <t>MB-4762</t>
  </si>
  <si>
    <t>MB-4763</t>
  </si>
  <si>
    <t>MB-4764</t>
  </si>
  <si>
    <t>MB-4767</t>
  </si>
  <si>
    <t>MB-4769</t>
  </si>
  <si>
    <t>MB-4770</t>
  </si>
  <si>
    <t>MB-4771</t>
  </si>
  <si>
    <t>MB-4778</t>
  </si>
  <si>
    <t>MB-4779</t>
  </si>
  <si>
    <t>MB-4782</t>
  </si>
  <si>
    <t>MB-4784</t>
  </si>
  <si>
    <t>MB-4785</t>
  </si>
  <si>
    <t>MB-4787</t>
  </si>
  <si>
    <t>MB-4790</t>
  </si>
  <si>
    <t>MB-4791</t>
  </si>
  <si>
    <t>MB-4792</t>
  </si>
  <si>
    <t>MB-4793</t>
  </si>
  <si>
    <t>MB-4794</t>
  </si>
  <si>
    <t>MB-4796</t>
  </si>
  <si>
    <t>MB-4797</t>
  </si>
  <si>
    <t>MB-4798</t>
  </si>
  <si>
    <t>MB-4800</t>
  </si>
  <si>
    <t>MB-4801</t>
  </si>
  <si>
    <t>MB-4802</t>
  </si>
  <si>
    <t>MB-4805</t>
  </si>
  <si>
    <t>MB-4806</t>
  </si>
  <si>
    <t>MB-4809</t>
  </si>
  <si>
    <t>MB-4814</t>
  </si>
  <si>
    <t>MB-4818</t>
  </si>
  <si>
    <t>MB-4820</t>
  </si>
  <si>
    <t>MB-4822</t>
  </si>
  <si>
    <t>MB-4823</t>
  </si>
  <si>
    <t>MB-4825</t>
  </si>
  <si>
    <t>MB-4827</t>
  </si>
  <si>
    <t>MB-4828</t>
  </si>
  <si>
    <t>MB-4829</t>
  </si>
  <si>
    <t>MB-4832</t>
  </si>
  <si>
    <t>MB-4834</t>
  </si>
  <si>
    <t>MB-4836</t>
  </si>
  <si>
    <t>MB-4838</t>
  </si>
  <si>
    <t>MB-4839</t>
  </si>
  <si>
    <t>MB-4843</t>
  </si>
  <si>
    <t>MB-4845</t>
  </si>
  <si>
    <t>MB-4846</t>
  </si>
  <si>
    <t>MB-4849</t>
  </si>
  <si>
    <t>MB-4851</t>
  </si>
  <si>
    <t>MB-4853</t>
  </si>
  <si>
    <t>MB-4855</t>
  </si>
  <si>
    <t>MB-4858</t>
  </si>
  <si>
    <t>MB-4859</t>
  </si>
  <si>
    <t>MB-4860</t>
  </si>
  <si>
    <t>MB-4862</t>
  </si>
  <si>
    <t>MB-4865</t>
  </si>
  <si>
    <t>MB-4866</t>
  </si>
  <si>
    <t>MB-4867</t>
  </si>
  <si>
    <t>MB-4869</t>
  </si>
  <si>
    <t>MB-4870</t>
  </si>
  <si>
    <t>MB-4871</t>
  </si>
  <si>
    <t>MB-4872</t>
  </si>
  <si>
    <t>MB-4873</t>
  </si>
  <si>
    <t>MB-4876</t>
  </si>
  <si>
    <t>MB-4878</t>
  </si>
  <si>
    <t>MB-4879</t>
  </si>
  <si>
    <t>MB-4880</t>
  </si>
  <si>
    <t>MB-4881</t>
  </si>
  <si>
    <t>MB-4882</t>
  </si>
  <si>
    <t>MB-4883</t>
  </si>
  <si>
    <t>MB-4886</t>
  </si>
  <si>
    <t>MB-4887</t>
  </si>
  <si>
    <t>MB-4888</t>
  </si>
  <si>
    <t>MB-4893</t>
  </si>
  <si>
    <t>MB-4894</t>
  </si>
  <si>
    <t>MB-4896</t>
  </si>
  <si>
    <t>MB-4897</t>
  </si>
  <si>
    <t>MB-4898</t>
  </si>
  <si>
    <t>MB-4899</t>
  </si>
  <si>
    <t>MB-4900</t>
  </si>
  <si>
    <t>MB-4904</t>
  </si>
  <si>
    <t>MB-4906</t>
  </si>
  <si>
    <t>MB-4908</t>
  </si>
  <si>
    <t>MB-4911</t>
  </si>
  <si>
    <t>MB-4912</t>
  </si>
  <si>
    <t>MB-4925</t>
  </si>
  <si>
    <t>MB-4928</t>
  </si>
  <si>
    <t>MB-4929</t>
  </si>
  <si>
    <t>MB-4930</t>
  </si>
  <si>
    <t>MB-4931</t>
  </si>
  <si>
    <t>MB-4933</t>
  </si>
  <si>
    <t>MB-4934</t>
  </si>
  <si>
    <t>MB-4935</t>
  </si>
  <si>
    <t>MB-4937</t>
  </si>
  <si>
    <t>MB-4938</t>
  </si>
  <si>
    <t>MB-4941</t>
  </si>
  <si>
    <t>MB-4942</t>
  </si>
  <si>
    <t>MB-4944</t>
  </si>
  <si>
    <t>MB-4945</t>
  </si>
  <si>
    <t>MB-4949</t>
  </si>
  <si>
    <t>MB-4950</t>
  </si>
  <si>
    <t>MB-4952</t>
  </si>
  <si>
    <t>MB-4956</t>
  </si>
  <si>
    <t>MB-4957</t>
  </si>
  <si>
    <t>MB-4959</t>
  </si>
  <si>
    <t>MB-4961</t>
  </si>
  <si>
    <t>MB-4962</t>
  </si>
  <si>
    <t>MB-4965</t>
  </si>
  <si>
    <t>MB-4966</t>
  </si>
  <si>
    <t>MB-4967</t>
  </si>
  <si>
    <t>MB-4968</t>
  </si>
  <si>
    <t>MB-4969</t>
  </si>
  <si>
    <t>MB-4970</t>
  </si>
  <si>
    <t>MB-4974</t>
  </si>
  <si>
    <t>MB-4976</t>
  </si>
  <si>
    <t>MB-4977</t>
  </si>
  <si>
    <t>MB-4978</t>
  </si>
  <si>
    <t>MB-4981</t>
  </si>
  <si>
    <t>MB-4982</t>
  </si>
  <si>
    <t>MB-4986</t>
  </si>
  <si>
    <t>MB-4987</t>
  </si>
  <si>
    <t>MB-4991</t>
  </si>
  <si>
    <t>MB-4992</t>
  </si>
  <si>
    <t>MB-4993</t>
  </si>
  <si>
    <t>MB-4994</t>
  </si>
  <si>
    <t>MB-4996</t>
  </si>
  <si>
    <t>MB-4998</t>
  </si>
  <si>
    <t>MB-4999</t>
  </si>
  <si>
    <t>MB-5001</t>
  </si>
  <si>
    <t>MB-5004</t>
  </si>
  <si>
    <t>MB-5008</t>
  </si>
  <si>
    <t>MB-5011</t>
  </si>
  <si>
    <t>MB-5013</t>
  </si>
  <si>
    <t>MB-5014</t>
  </si>
  <si>
    <t>MB-5015</t>
  </si>
  <si>
    <t>MB-5017</t>
  </si>
  <si>
    <t>MB-5018</t>
  </si>
  <si>
    <t>MB-5019</t>
  </si>
  <si>
    <t>MB-5020</t>
  </si>
  <si>
    <t>MB-5022</t>
  </si>
  <si>
    <t>MB-5027</t>
  </si>
  <si>
    <t>MB-5033</t>
  </si>
  <si>
    <t>MB-5035</t>
  </si>
  <si>
    <t>MB-5039</t>
  </si>
  <si>
    <t>MB-5040</t>
  </si>
  <si>
    <t>MB-5041</t>
  </si>
  <si>
    <t>MB-5043</t>
  </si>
  <si>
    <t>MB-5044</t>
  </si>
  <si>
    <t>MB-5045</t>
  </si>
  <si>
    <t>MB-5048</t>
  </si>
  <si>
    <t>MB-5049</t>
  </si>
  <si>
    <t>MB-5050</t>
  </si>
  <si>
    <t>MB-5052</t>
  </si>
  <si>
    <t>MB-5053</t>
  </si>
  <si>
    <t>MB-5054</t>
  </si>
  <si>
    <t>MB-5057</t>
  </si>
  <si>
    <t>MB-5058</t>
  </si>
  <si>
    <t>MB-5059</t>
  </si>
  <si>
    <t>MB-5060</t>
  </si>
  <si>
    <t>MB-5061</t>
  </si>
  <si>
    <t>MB-5062</t>
  </si>
  <si>
    <t>MB-5063</t>
  </si>
  <si>
    <t>MB-5064</t>
  </si>
  <si>
    <t>MB-5065</t>
  </si>
  <si>
    <t>MB-5066</t>
  </si>
  <si>
    <t>MB-5068</t>
  </si>
  <si>
    <t>MB-5070</t>
  </si>
  <si>
    <t>MB-5072</t>
  </si>
  <si>
    <t>MB-5073</t>
  </si>
  <si>
    <t>MB-5074</t>
  </si>
  <si>
    <t>MB-5076</t>
  </si>
  <si>
    <t>MB-5078</t>
  </si>
  <si>
    <t>MB-5079</t>
  </si>
  <si>
    <t>MB-5081</t>
  </si>
  <si>
    <t>MB-5084</t>
  </si>
  <si>
    <t>MB-5086</t>
  </si>
  <si>
    <t>MB-5088</t>
  </si>
  <si>
    <t>MB-5092</t>
  </si>
  <si>
    <t>MB-5093</t>
  </si>
  <si>
    <t>MB-5097</t>
  </si>
  <si>
    <t>MB-5098</t>
  </si>
  <si>
    <t>MB-5100</t>
  </si>
  <si>
    <t>MB-5101</t>
  </si>
  <si>
    <t>MB-5102</t>
  </si>
  <si>
    <t>MB-5104</t>
  </si>
  <si>
    <t>MB-5105</t>
  </si>
  <si>
    <t>MB-5106</t>
  </si>
  <si>
    <t>MB-5107</t>
  </si>
  <si>
    <t>MB-5109</t>
  </si>
  <si>
    <t>MB-5110</t>
  </si>
  <si>
    <t>MB-5113</t>
  </si>
  <si>
    <t>MB-5114</t>
  </si>
  <si>
    <t>MB-5115</t>
  </si>
  <si>
    <t>MB-5116</t>
  </si>
  <si>
    <t>MB-5117</t>
  </si>
  <si>
    <t>MB-5118</t>
  </si>
  <si>
    <t>MB-5119</t>
  </si>
  <si>
    <t>MB-5120</t>
  </si>
  <si>
    <t>MB-5121</t>
  </si>
  <si>
    <t>MB-5122</t>
  </si>
  <si>
    <t>MB-5123</t>
  </si>
  <si>
    <t>MB-5124</t>
  </si>
  <si>
    <t>MB-5126</t>
  </si>
  <si>
    <t>MB-5127</t>
  </si>
  <si>
    <t>MB-5130</t>
  </si>
  <si>
    <t>MB-5131</t>
  </si>
  <si>
    <t>MB-5134</t>
  </si>
  <si>
    <t>MB-5135</t>
  </si>
  <si>
    <t>MB-5136</t>
  </si>
  <si>
    <t>MB-5137</t>
  </si>
  <si>
    <t>MB-5138</t>
  </si>
  <si>
    <t>MB-5139</t>
  </si>
  <si>
    <t>MB-5140</t>
  </si>
  <si>
    <t>MB-5143</t>
  </si>
  <si>
    <t>MB-5144</t>
  </si>
  <si>
    <t>MB-5145</t>
  </si>
  <si>
    <t>MB-5147</t>
  </si>
  <si>
    <t>MB-5148</t>
  </si>
  <si>
    <t>MB-5150</t>
  </si>
  <si>
    <t>MB-5152</t>
  </si>
  <si>
    <t>MB-5154</t>
  </si>
  <si>
    <t>MB-5155</t>
  </si>
  <si>
    <t>MB-5157</t>
  </si>
  <si>
    <t>MB-5158</t>
  </si>
  <si>
    <t>MB-5160</t>
  </si>
  <si>
    <t>MB-5161</t>
  </si>
  <si>
    <t>MB-5162</t>
  </si>
  <si>
    <t>MB-5163</t>
  </si>
  <si>
    <t>MB-5164</t>
  </si>
  <si>
    <t>MB-5166</t>
  </si>
  <si>
    <t>MB-5167</t>
  </si>
  <si>
    <t>MB-5169</t>
  </si>
  <si>
    <t>MB-5171</t>
  </si>
  <si>
    <t>MB-5172</t>
  </si>
  <si>
    <t>MB-5173</t>
  </si>
  <si>
    <t>MB-5174</t>
  </si>
  <si>
    <t>MB-5175</t>
  </si>
  <si>
    <t>MB-5176</t>
  </si>
  <si>
    <t>MB-5177</t>
  </si>
  <si>
    <t>MB-5178</t>
  </si>
  <si>
    <t>MB-5179</t>
  </si>
  <si>
    <t>MB-5182</t>
  </si>
  <si>
    <t>MB-5183</t>
  </si>
  <si>
    <t>MB-5184</t>
  </si>
  <si>
    <t>MB-5185</t>
  </si>
  <si>
    <t>MB-5186</t>
  </si>
  <si>
    <t>MB-5188</t>
  </si>
  <si>
    <t>MB-5189</t>
  </si>
  <si>
    <t>MB-5190</t>
  </si>
  <si>
    <t>MB-5191</t>
  </si>
  <si>
    <t>MB-5193</t>
  </si>
  <si>
    <t>MB-5195</t>
  </si>
  <si>
    <t>MB-5196</t>
  </si>
  <si>
    <t>MB-5197</t>
  </si>
  <si>
    <t>MB-5199</t>
  </si>
  <si>
    <t>MB-5200</t>
  </si>
  <si>
    <t>MB-5201</t>
  </si>
  <si>
    <t>MB-5204</t>
  </si>
  <si>
    <t>MB-5205</t>
  </si>
  <si>
    <t>MB-5206</t>
  </si>
  <si>
    <t>MB-5208</t>
  </si>
  <si>
    <t>MB-5209</t>
  </si>
  <si>
    <t>MB-5211</t>
  </si>
  <si>
    <t>MB-5212</t>
  </si>
  <si>
    <t>MB-5213</t>
  </si>
  <si>
    <t>MB-5214</t>
  </si>
  <si>
    <t>MB-5215</t>
  </si>
  <si>
    <t>MB-5218</t>
  </si>
  <si>
    <t>MB-5219</t>
  </si>
  <si>
    <t>MB-5221</t>
  </si>
  <si>
    <t>MB-5222</t>
  </si>
  <si>
    <t>MB-5223</t>
  </si>
  <si>
    <t>MB-5224</t>
  </si>
  <si>
    <t>MB-5225</t>
  </si>
  <si>
    <t>MB-5226</t>
  </si>
  <si>
    <t>MB-5227</t>
  </si>
  <si>
    <t>MB-5228</t>
  </si>
  <si>
    <t>MB-5229</t>
  </si>
  <si>
    <t>MB-5230</t>
  </si>
  <si>
    <t>MB-5231</t>
  </si>
  <si>
    <t>MB-5232</t>
  </si>
  <si>
    <t>MB-5233</t>
  </si>
  <si>
    <t>MB-5235</t>
  </si>
  <si>
    <t>MB-5236</t>
  </si>
  <si>
    <t>MB-5238</t>
  </si>
  <si>
    <t>MB-5239</t>
  </si>
  <si>
    <t>MB-5240</t>
  </si>
  <si>
    <t>MB-5243</t>
  </si>
  <si>
    <t>MB-5244</t>
  </si>
  <si>
    <t>MB-5251</t>
  </si>
  <si>
    <t>MB-5253</t>
  </si>
  <si>
    <t>MB-5255</t>
  </si>
  <si>
    <t>MB-5256</t>
  </si>
  <si>
    <t>MB-5258</t>
  </si>
  <si>
    <t>MB-5259</t>
  </si>
  <si>
    <t>MB-5260</t>
  </si>
  <si>
    <t>MB-5261</t>
  </si>
  <si>
    <t>MB-5264</t>
  </si>
  <si>
    <t>MB-5266</t>
  </si>
  <si>
    <t>MB-5267</t>
  </si>
  <si>
    <t>MB-5268</t>
  </si>
  <si>
    <t>MB-5270</t>
  </si>
  <si>
    <t>MB-5271</t>
  </si>
  <si>
    <t>MB-5272</t>
  </si>
  <si>
    <t>MB-5273</t>
  </si>
  <si>
    <t>MB-5275</t>
  </si>
  <si>
    <t>MB-5277</t>
  </si>
  <si>
    <t>MB-5278</t>
  </si>
  <si>
    <t>MB-5279</t>
  </si>
  <si>
    <t>MB-5280</t>
  </si>
  <si>
    <t>MB-5281</t>
  </si>
  <si>
    <t>MB-5284</t>
  </si>
  <si>
    <t>MB-5287</t>
  </si>
  <si>
    <t>MB-5288</t>
  </si>
  <si>
    <t>MB-5289</t>
  </si>
  <si>
    <t>MB-5290</t>
  </si>
  <si>
    <t>MB-5291</t>
  </si>
  <si>
    <t>MB-5292</t>
  </si>
  <si>
    <t>MB-5293</t>
  </si>
  <si>
    <t>MB-5294</t>
  </si>
  <si>
    <t>MB-5295</t>
  </si>
  <si>
    <t>MB-5296</t>
  </si>
  <si>
    <t>MB-5298</t>
  </si>
  <si>
    <t>MB-5299</t>
  </si>
  <si>
    <t>MB-5300</t>
  </si>
  <si>
    <t>MB-5301</t>
  </si>
  <si>
    <t>MB-5302</t>
  </si>
  <si>
    <t>MB-5305</t>
  </si>
  <si>
    <t>MB-5306</t>
  </si>
  <si>
    <t>MB-5308</t>
  </si>
  <si>
    <t>MB-5310</t>
  </si>
  <si>
    <t>MB-5311</t>
  </si>
  <si>
    <t>MB-5312</t>
  </si>
  <si>
    <t>MB-5313</t>
  </si>
  <si>
    <t>MB-5315</t>
  </si>
  <si>
    <t>MB-5317</t>
  </si>
  <si>
    <t>MB-5318</t>
  </si>
  <si>
    <t>MB-5322</t>
  </si>
  <si>
    <t>MB-5323</t>
  </si>
  <si>
    <t>MB-5324</t>
  </si>
  <si>
    <t>MB-5325</t>
  </si>
  <si>
    <t>MB-5326</t>
  </si>
  <si>
    <t>MB-5327</t>
  </si>
  <si>
    <t>MB-5328</t>
  </si>
  <si>
    <t>MB-5329</t>
  </si>
  <si>
    <t>MB-5330</t>
  </si>
  <si>
    <t>MB-5331</t>
  </si>
  <si>
    <t>MB-5332</t>
  </si>
  <si>
    <t>MB-5334</t>
  </si>
  <si>
    <t>MB-5335</t>
  </si>
  <si>
    <t>MB-5338</t>
  </si>
  <si>
    <t>MB-5339</t>
  </si>
  <si>
    <t>MB-5341</t>
  </si>
  <si>
    <t>MB-5345</t>
  </si>
  <si>
    <t>MB-5346</t>
  </si>
  <si>
    <t>MB-5347</t>
  </si>
  <si>
    <t>MB-5348</t>
  </si>
  <si>
    <t>MB-5349</t>
  </si>
  <si>
    <t>MB-5350</t>
  </si>
  <si>
    <t>MB-5351</t>
  </si>
  <si>
    <t>MB-5358</t>
  </si>
  <si>
    <t>MB-5360</t>
  </si>
  <si>
    <t>MB-5361</t>
  </si>
  <si>
    <t>MB-5364</t>
  </si>
  <si>
    <t>MB-5365</t>
  </si>
  <si>
    <t>MB-5366</t>
  </si>
  <si>
    <t>MB-5368</t>
  </si>
  <si>
    <t>MB-5369</t>
  </si>
  <si>
    <t>MB-5370</t>
  </si>
  <si>
    <t>MB-5373</t>
  </si>
  <si>
    <t>MB-5377</t>
  </si>
  <si>
    <t>MB-5378</t>
  </si>
  <si>
    <t>MB-5381</t>
  </si>
  <si>
    <t>MB-5382</t>
  </si>
  <si>
    <t>MB-5383</t>
  </si>
  <si>
    <t>MB-5384</t>
  </si>
  <si>
    <t>MB-5385</t>
  </si>
  <si>
    <t>MB-5386</t>
  </si>
  <si>
    <t>MB-5387</t>
  </si>
  <si>
    <t>MB-5388</t>
  </si>
  <si>
    <t>MB-5389</t>
  </si>
  <si>
    <t>MB-5390</t>
  </si>
  <si>
    <t>MB-5392</t>
  </si>
  <si>
    <t>MB-5393</t>
  </si>
  <si>
    <t>MB-5394</t>
  </si>
  <si>
    <t>MB-5395</t>
  </si>
  <si>
    <t>MB-5396</t>
  </si>
  <si>
    <t>MB-5397</t>
  </si>
  <si>
    <t>MB-5398</t>
  </si>
  <si>
    <t>MB-5399</t>
  </si>
  <si>
    <t>MB-5401</t>
  </si>
  <si>
    <t>MB-5402</t>
  </si>
  <si>
    <t>MB-5403</t>
  </si>
  <si>
    <t>MB-5404</t>
  </si>
  <si>
    <t>MB-5405</t>
  </si>
  <si>
    <t>MB-5406</t>
  </si>
  <si>
    <t>MB-5407</t>
  </si>
  <si>
    <t>MB-5408</t>
  </si>
  <si>
    <t>MB-5409</t>
  </si>
  <si>
    <t>MB-5410</t>
  </si>
  <si>
    <t>MB-5411</t>
  </si>
  <si>
    <t>MB-5412</t>
  </si>
  <si>
    <t>MB-5413</t>
  </si>
  <si>
    <t>MB-5414</t>
  </si>
  <si>
    <t>MB-5417</t>
  </si>
  <si>
    <t>MB-5418</t>
  </si>
  <si>
    <t>MB-5420</t>
  </si>
  <si>
    <t>MB-5421</t>
  </si>
  <si>
    <t>MB-5422</t>
  </si>
  <si>
    <t>MB-5424</t>
  </si>
  <si>
    <t>MB-5425</t>
  </si>
  <si>
    <t>MB-5426</t>
  </si>
  <si>
    <t>MB-5427</t>
  </si>
  <si>
    <t>MB-5428</t>
  </si>
  <si>
    <t>MB-5429</t>
  </si>
  <si>
    <t>MB-5431</t>
  </si>
  <si>
    <t>MB-5432</t>
  </si>
  <si>
    <t>MB-5433</t>
  </si>
  <si>
    <t>MB-5434</t>
  </si>
  <si>
    <t>MB-5435</t>
  </si>
  <si>
    <t>MB-5440</t>
  </si>
  <si>
    <t>MB-5441</t>
  </si>
  <si>
    <t>MB-5442</t>
  </si>
  <si>
    <t>MB-5444</t>
  </si>
  <si>
    <t>MB-5446</t>
  </si>
  <si>
    <t>MB-5447</t>
  </si>
  <si>
    <t>MB-5450</t>
  </si>
  <si>
    <t>MB-5451</t>
  </si>
  <si>
    <t>MB-5452</t>
  </si>
  <si>
    <t>MB-5453</t>
  </si>
  <si>
    <t>MB-5454</t>
  </si>
  <si>
    <t>MB-5455</t>
  </si>
  <si>
    <t>MB-5457</t>
  </si>
  <si>
    <t>MB-5458</t>
  </si>
  <si>
    <t>MB-5459</t>
  </si>
  <si>
    <t>MB-5460</t>
  </si>
  <si>
    <t>MB-5463</t>
  </si>
  <si>
    <t>MB-5464</t>
  </si>
  <si>
    <t>MB-5465</t>
  </si>
  <si>
    <t>MB-5467</t>
  </si>
  <si>
    <t>MB-5468</t>
  </si>
  <si>
    <t>MB-5470</t>
  </si>
  <si>
    <t>MB-5471</t>
  </si>
  <si>
    <t>MB-5472</t>
  </si>
  <si>
    <t>MB-5473</t>
  </si>
  <si>
    <t>MB-5474</t>
  </si>
  <si>
    <t>MB-5475</t>
  </si>
  <si>
    <t>MB-5477</t>
  </si>
  <si>
    <t>MB-5478</t>
  </si>
  <si>
    <t>MB-5481</t>
  </si>
  <si>
    <t>MB-5482</t>
  </si>
  <si>
    <t>MB-5483</t>
  </si>
  <si>
    <t>MB-5484</t>
  </si>
  <si>
    <t>MB-5485</t>
  </si>
  <si>
    <t>MB-5486</t>
  </si>
  <si>
    <t>MB-5489</t>
  </si>
  <si>
    <t>MB-5490</t>
  </si>
  <si>
    <t>MB-5491</t>
  </si>
  <si>
    <t>MB-5492</t>
  </si>
  <si>
    <t>MB-5493</t>
  </si>
  <si>
    <t>MB-5495</t>
  </si>
  <si>
    <t>MB-5497</t>
  </si>
  <si>
    <t>MB-5498</t>
  </si>
  <si>
    <t>MB-5499</t>
  </si>
  <si>
    <t>MB-5502</t>
  </si>
  <si>
    <t>MB-5505</t>
  </si>
  <si>
    <t>MB-5510</t>
  </si>
  <si>
    <t>MB-5511</t>
  </si>
  <si>
    <t>MB-5513</t>
  </si>
  <si>
    <t>MB-5514</t>
  </si>
  <si>
    <t>MB-5518</t>
  </si>
  <si>
    <t>MB-5519</t>
  </si>
  <si>
    <t>MB-5520</t>
  </si>
  <si>
    <t>MB-5521</t>
  </si>
  <si>
    <t>MB-5525</t>
  </si>
  <si>
    <t>MB-5526</t>
  </si>
  <si>
    <t>MB-5527</t>
  </si>
  <si>
    <t>MB-5529</t>
  </si>
  <si>
    <t>MB-5530</t>
  </si>
  <si>
    <t>MB-5531</t>
  </si>
  <si>
    <t>MB-5532</t>
  </si>
  <si>
    <t>MB-5533</t>
  </si>
  <si>
    <t>MB-5534</t>
  </si>
  <si>
    <t>MB-5535</t>
  </si>
  <si>
    <t>MB-5540</t>
  </si>
  <si>
    <t>MB-5541</t>
  </si>
  <si>
    <t>MB-5543</t>
  </si>
  <si>
    <t>MB-5546</t>
  </si>
  <si>
    <t>MB-5547</t>
  </si>
  <si>
    <t>MB-5548</t>
  </si>
  <si>
    <t>MB-5549</t>
  </si>
  <si>
    <t>MB-5550</t>
  </si>
  <si>
    <t>MB-5551</t>
  </si>
  <si>
    <t>MB-5552</t>
  </si>
  <si>
    <t>MB-5553</t>
  </si>
  <si>
    <t>MB-5554</t>
  </si>
  <si>
    <t>MB-5556</t>
  </si>
  <si>
    <t>MB-5558</t>
  </si>
  <si>
    <t>MB-5559</t>
  </si>
  <si>
    <t>MB-5560</t>
  </si>
  <si>
    <t>MB-5562</t>
  </si>
  <si>
    <t>MB-5563</t>
  </si>
  <si>
    <t>MB-5565</t>
  </si>
  <si>
    <t>MB-5566</t>
  </si>
  <si>
    <t>MB-5567</t>
  </si>
  <si>
    <t>MB-5571</t>
  </si>
  <si>
    <t>MB-5572</t>
  </si>
  <si>
    <t>MB-5575</t>
  </si>
  <si>
    <t>MB-5576</t>
  </si>
  <si>
    <t>MB-5577</t>
  </si>
  <si>
    <t>MB-5579</t>
  </si>
  <si>
    <t>MB-5580</t>
  </si>
  <si>
    <t>MB-5582</t>
  </si>
  <si>
    <t>MB-5583</t>
  </si>
  <si>
    <t>MB-5584</t>
  </si>
  <si>
    <t>MB-5585</t>
  </si>
  <si>
    <t>MB-5588</t>
  </si>
  <si>
    <t>MB-5589</t>
  </si>
  <si>
    <t>MB-5590</t>
  </si>
  <si>
    <t>MB-5591</t>
  </si>
  <si>
    <t>MB-5592</t>
  </si>
  <si>
    <t>MB-5593</t>
  </si>
  <si>
    <t>MB-5596</t>
  </si>
  <si>
    <t>MB-5597</t>
  </si>
  <si>
    <t>MB-5599</t>
  </si>
  <si>
    <t>MB-5601</t>
  </si>
  <si>
    <t>MB-5602</t>
  </si>
  <si>
    <t>MB-5603</t>
  </si>
  <si>
    <t>MB-5604</t>
  </si>
  <si>
    <t>MB-5605</t>
  </si>
  <si>
    <t>MB-5613</t>
  </si>
  <si>
    <t>MB-5614</t>
  </si>
  <si>
    <t>MB-5616</t>
  </si>
  <si>
    <t>MB-5617</t>
  </si>
  <si>
    <t>MB-5620</t>
  </si>
  <si>
    <t>MB-5622</t>
  </si>
  <si>
    <t>MB-5623</t>
  </si>
  <si>
    <t>MB-5624</t>
  </si>
  <si>
    <t>MB-5625</t>
  </si>
  <si>
    <t>MB-5626</t>
  </si>
  <si>
    <t>MB-5628</t>
  </si>
  <si>
    <t>MB-5629</t>
  </si>
  <si>
    <t>MB-5632</t>
  </si>
  <si>
    <t>MB-5633</t>
  </si>
  <si>
    <t>MB-5634</t>
  </si>
  <si>
    <t>MB-5635</t>
  </si>
  <si>
    <t>MB-5636</t>
  </si>
  <si>
    <t>MB-5638</t>
  </si>
  <si>
    <t>MB-5640</t>
  </si>
  <si>
    <t>MB-5641</t>
  </si>
  <si>
    <t>MB-5642</t>
  </si>
  <si>
    <t>MB-5645</t>
  </si>
  <si>
    <t>MB-5646</t>
  </si>
  <si>
    <t>MB-5647</t>
  </si>
  <si>
    <t>MB-5648</t>
  </si>
  <si>
    <t>MB-5651</t>
  </si>
  <si>
    <t>MB-5652</t>
  </si>
  <si>
    <t>MB-5653</t>
  </si>
  <si>
    <t>MB-5654</t>
  </si>
  <si>
    <t>MB-5655</t>
  </si>
  <si>
    <t>MB-5656</t>
  </si>
  <si>
    <t>MB-6001</t>
  </si>
  <si>
    <t>MB-6006</t>
  </si>
  <si>
    <t>MB-6007</t>
  </si>
  <si>
    <t>MB-6008</t>
  </si>
  <si>
    <t>MB-6010</t>
  </si>
  <si>
    <t>MB-6011</t>
  </si>
  <si>
    <t>MB-6012</t>
  </si>
  <si>
    <t>MB-6014</t>
  </si>
  <si>
    <t>MB-6016</t>
  </si>
  <si>
    <t>MB-6017</t>
  </si>
  <si>
    <t>MB-6018</t>
  </si>
  <si>
    <t>MB-6019</t>
  </si>
  <si>
    <t>MB-6020</t>
  </si>
  <si>
    <t>MB-6021</t>
  </si>
  <si>
    <t>MB-6022</t>
  </si>
  <si>
    <t>MB-6023</t>
  </si>
  <si>
    <t>MB-6024</t>
  </si>
  <si>
    <t>MB-6026</t>
  </si>
  <si>
    <t>MB-6029</t>
  </si>
  <si>
    <t>MB-6030</t>
  </si>
  <si>
    <t>MB-6036</t>
  </si>
  <si>
    <t>MB-6039</t>
  </si>
  <si>
    <t>MB-6042</t>
  </si>
  <si>
    <t>MB-6044</t>
  </si>
  <si>
    <t>MB-6047</t>
  </si>
  <si>
    <t>MB-6048</t>
  </si>
  <si>
    <t>MB-6049</t>
  </si>
  <si>
    <t>MB-6050</t>
  </si>
  <si>
    <t>MB-6051</t>
  </si>
  <si>
    <t>MB-6052</t>
  </si>
  <si>
    <t>MB-6053</t>
  </si>
  <si>
    <t>MB-6055</t>
  </si>
  <si>
    <t>MB-6058</t>
  </si>
  <si>
    <t>MB-6059</t>
  </si>
  <si>
    <t>MB-6060</t>
  </si>
  <si>
    <t>MB-6062</t>
  </si>
  <si>
    <t>MB-6063</t>
  </si>
  <si>
    <t>MB-6065</t>
  </si>
  <si>
    <t>MB-6068</t>
  </si>
  <si>
    <t>MB-6069</t>
  </si>
  <si>
    <t>MB-6071</t>
  </si>
  <si>
    <t>MB-6075</t>
  </si>
  <si>
    <t>MB-6077</t>
  </si>
  <si>
    <t>MB-6079</t>
  </si>
  <si>
    <t>MB-6080</t>
  </si>
  <si>
    <t>MB-6082</t>
  </si>
  <si>
    <t>MB-6083</t>
  </si>
  <si>
    <t>MB-6085</t>
  </si>
  <si>
    <t>MB-6092</t>
  </si>
  <si>
    <t>MB-6097</t>
  </si>
  <si>
    <t>MB-6098</t>
  </si>
  <si>
    <t>MB-6100</t>
  </si>
  <si>
    <t>MB-6101</t>
  </si>
  <si>
    <t>MB-6103</t>
  </si>
  <si>
    <t>MB-6105</t>
  </si>
  <si>
    <t>MB-6107</t>
  </si>
  <si>
    <t>MB-6108</t>
  </si>
  <si>
    <t>MB-6113</t>
  </si>
  <si>
    <t>MB-6114</t>
  </si>
  <si>
    <t>MB-6116</t>
  </si>
  <si>
    <t>MB-6118</t>
  </si>
  <si>
    <t>MB-6122</t>
  </si>
  <si>
    <t>MB-6124</t>
  </si>
  <si>
    <t>MB-6125</t>
  </si>
  <si>
    <t>MB-6131</t>
  </si>
  <si>
    <t>MB-6133</t>
  </si>
  <si>
    <t>MB-6135</t>
  </si>
  <si>
    <t>MB-6138</t>
  </si>
  <si>
    <t>MB-6141</t>
  </si>
  <si>
    <t>MB-6143</t>
  </si>
  <si>
    <t>MB-6144</t>
  </si>
  <si>
    <t>MB-6145</t>
  </si>
  <si>
    <t>MB-6146</t>
  </si>
  <si>
    <t>MB-6147</t>
  </si>
  <si>
    <t>MB-6149</t>
  </si>
  <si>
    <t>MB-6150</t>
  </si>
  <si>
    <t>MB-6152</t>
  </si>
  <si>
    <t>MB-6154</t>
  </si>
  <si>
    <t>MB-6156</t>
  </si>
  <si>
    <t>MB-6157</t>
  </si>
  <si>
    <t>MB-6160</t>
  </si>
  <si>
    <t>MB-6163</t>
  </si>
  <si>
    <t>MB-6164</t>
  </si>
  <si>
    <t>MB-6167</t>
  </si>
  <si>
    <t>MB-6168</t>
  </si>
  <si>
    <t>MB-6169</t>
  </si>
  <si>
    <t>MB-6171</t>
  </si>
  <si>
    <t>MB-6178</t>
  </si>
  <si>
    <t>MB-6179</t>
  </si>
  <si>
    <t>MB-6181</t>
  </si>
  <si>
    <t>MB-6182</t>
  </si>
  <si>
    <t>MB-6183</t>
  </si>
  <si>
    <t>MB-6184</t>
  </si>
  <si>
    <t>MB-6185</t>
  </si>
  <si>
    <t>MB-6187</t>
  </si>
  <si>
    <t>MB-6188</t>
  </si>
  <si>
    <t>MB-6189</t>
  </si>
  <si>
    <t>MB-6190</t>
  </si>
  <si>
    <t>MB-6192</t>
  </si>
  <si>
    <t>MB-6194</t>
  </si>
  <si>
    <t>MB-6195</t>
  </si>
  <si>
    <t>MB-6200</t>
  </si>
  <si>
    <t>MB-6201</t>
  </si>
  <si>
    <t>MB-6204</t>
  </si>
  <si>
    <t>MB-6206</t>
  </si>
  <si>
    <t>MB-6207</t>
  </si>
  <si>
    <t>MB-6208</t>
  </si>
  <si>
    <t>MB-6211</t>
  </si>
  <si>
    <t>MB-6212</t>
  </si>
  <si>
    <t>MB-6213</t>
  </si>
  <si>
    <t>MB-6214</t>
  </si>
  <si>
    <t>MB-6217</t>
  </si>
  <si>
    <t>MB-6218</t>
  </si>
  <si>
    <t>MB-6223</t>
  </si>
  <si>
    <t>MB-6224</t>
  </si>
  <si>
    <t>MB-6225</t>
  </si>
  <si>
    <t>MB-6226</t>
  </si>
  <si>
    <t>MB-6228</t>
  </si>
  <si>
    <t>MB-6229</t>
  </si>
  <si>
    <t>MB-6230</t>
  </si>
  <si>
    <t>MB-6231</t>
  </si>
  <si>
    <t>MB-6232</t>
  </si>
  <si>
    <t>MB-6233</t>
  </si>
  <si>
    <t>MB-6234</t>
  </si>
  <si>
    <t>MB-6237</t>
  </si>
  <si>
    <t>MB-6238</t>
  </si>
  <si>
    <t>MB-6239</t>
  </si>
  <si>
    <t>MB-6242</t>
  </si>
  <si>
    <t>MB-6245</t>
  </si>
  <si>
    <t>MB-6246</t>
  </si>
  <si>
    <t>MB-6248</t>
  </si>
  <si>
    <t>MB-6251</t>
  </si>
  <si>
    <t>MB-6253</t>
  </si>
  <si>
    <t>MB-6254</t>
  </si>
  <si>
    <t>MB-6256</t>
  </si>
  <si>
    <t>MB-6257</t>
  </si>
  <si>
    <t>MB-6263</t>
  </si>
  <si>
    <t>MB-6271</t>
  </si>
  <si>
    <t>MB-6272</t>
  </si>
  <si>
    <t>MB-6273</t>
  </si>
  <si>
    <t>MB-6280</t>
  </si>
  <si>
    <t>MB-6281</t>
  </si>
  <si>
    <t>MB-6283</t>
  </si>
  <si>
    <t>MB-6284</t>
  </si>
  <si>
    <t>MB-6286</t>
  </si>
  <si>
    <t>MB-6287</t>
  </si>
  <si>
    <t>MB-6288</t>
  </si>
  <si>
    <t>MB-6297</t>
  </si>
  <si>
    <t>MB-6300</t>
  </si>
  <si>
    <t>MB-6302</t>
  </si>
  <si>
    <t>MB-6305</t>
  </si>
  <si>
    <t>MB-6306</t>
  </si>
  <si>
    <t>MB-6308</t>
  </si>
  <si>
    <t>MB-6312</t>
  </si>
  <si>
    <t>MB-6314</t>
  </si>
  <si>
    <t>MB-6317</t>
  </si>
  <si>
    <t>MB-6318</t>
  </si>
  <si>
    <t>MB-6319</t>
  </si>
  <si>
    <t>MB-6322</t>
  </si>
  <si>
    <t>MB-6327</t>
  </si>
  <si>
    <t>MB-6328</t>
  </si>
  <si>
    <t>MB-6329</t>
  </si>
  <si>
    <t>MB-6330</t>
  </si>
  <si>
    <t>MB-6334</t>
  </si>
  <si>
    <t>MB-6336</t>
  </si>
  <si>
    <t>MB-6337</t>
  </si>
  <si>
    <t>MB-6344</t>
  </si>
  <si>
    <t>MB-6346</t>
  </si>
  <si>
    <t>MB-6358</t>
  </si>
  <si>
    <t>MB-6359</t>
  </si>
  <si>
    <t>MB-6363</t>
  </si>
  <si>
    <t>MB-7000</t>
  </si>
  <si>
    <t>MB-7001</t>
  </si>
  <si>
    <t>MB-7002</t>
  </si>
  <si>
    <t>MB-7003</t>
  </si>
  <si>
    <t>MB-7004</t>
  </si>
  <si>
    <t>MB-7005</t>
  </si>
  <si>
    <t>MB-7006</t>
  </si>
  <si>
    <t>MB-7007</t>
  </si>
  <si>
    <t>MB-7008</t>
  </si>
  <si>
    <t>MB-7009</t>
  </si>
  <si>
    <t>MB-7010</t>
  </si>
  <si>
    <t>MB-7011</t>
  </si>
  <si>
    <t>MB-7012</t>
  </si>
  <si>
    <t>MB-7013</t>
  </si>
  <si>
    <t>MB-7014</t>
  </si>
  <si>
    <t>MB-7015</t>
  </si>
  <si>
    <t>MB-7017</t>
  </si>
  <si>
    <t>MB-7018</t>
  </si>
  <si>
    <t>MB-7019</t>
  </si>
  <si>
    <t>MB-7020</t>
  </si>
  <si>
    <t>MB-7022</t>
  </si>
  <si>
    <t>MB-7023</t>
  </si>
  <si>
    <t>MB-7024</t>
  </si>
  <si>
    <t>MB-7025</t>
  </si>
  <si>
    <t>MB-7026</t>
  </si>
  <si>
    <t>MB-7027</t>
  </si>
  <si>
    <t>MB-7028</t>
  </si>
  <si>
    <t>MB-7029</t>
  </si>
  <si>
    <t>MB-7030</t>
  </si>
  <si>
    <t>MB-7031</t>
  </si>
  <si>
    <t>MB-7032</t>
  </si>
  <si>
    <t>MB-7034</t>
  </si>
  <si>
    <t>MB-7035</t>
  </si>
  <si>
    <t>MB-7036</t>
  </si>
  <si>
    <t>MB-7037</t>
  </si>
  <si>
    <t>MB-7038</t>
  </si>
  <si>
    <t>MB-7039</t>
  </si>
  <si>
    <t>MB-7040</t>
  </si>
  <si>
    <t>MB-7041</t>
  </si>
  <si>
    <t>MB-7042</t>
  </si>
  <si>
    <t>MB-7043</t>
  </si>
  <si>
    <t>MB-7044</t>
  </si>
  <si>
    <t>MB-7045</t>
  </si>
  <si>
    <t>MB-7046</t>
  </si>
  <si>
    <t>MB-7048</t>
  </si>
  <si>
    <t>MB-7049</t>
  </si>
  <si>
    <t>MB-7050</t>
  </si>
  <si>
    <t>MB-7051</t>
  </si>
  <si>
    <t>MB-7052</t>
  </si>
  <si>
    <t>MB-7053</t>
  </si>
  <si>
    <t>MB-7054</t>
  </si>
  <si>
    <t>MB-7055</t>
  </si>
  <si>
    <t>MB-7056</t>
  </si>
  <si>
    <t>MB-7057</t>
  </si>
  <si>
    <t>MB-7058</t>
  </si>
  <si>
    <t>MB-7059</t>
  </si>
  <si>
    <t>MB-7060</t>
  </si>
  <si>
    <t>MB-7061</t>
  </si>
  <si>
    <t>MB-7062</t>
  </si>
  <si>
    <t>MB-7063</t>
  </si>
  <si>
    <t>MB-7065</t>
  </si>
  <si>
    <t>MB-7066</t>
  </si>
  <si>
    <t>MB-7067</t>
  </si>
  <si>
    <t>MB-7068</t>
  </si>
  <si>
    <t>MB-7069</t>
  </si>
  <si>
    <t>MB-7070</t>
  </si>
  <si>
    <t>MB-7071</t>
  </si>
  <si>
    <t>MB-7072</t>
  </si>
  <si>
    <t>MB-7073</t>
  </si>
  <si>
    <t>MB-7074</t>
  </si>
  <si>
    <t>MB-7075</t>
  </si>
  <si>
    <t>MB-7076</t>
  </si>
  <si>
    <t>MB-7077</t>
  </si>
  <si>
    <t>MB-7078</t>
  </si>
  <si>
    <t>MB-7079</t>
  </si>
  <si>
    <t>MB-7080</t>
  </si>
  <si>
    <t>MB-7081</t>
  </si>
  <si>
    <t>MB-7082</t>
  </si>
  <si>
    <t>MB-7083</t>
  </si>
  <si>
    <t>MB-7084</t>
  </si>
  <si>
    <t>MB-7085</t>
  </si>
  <si>
    <t>MB-7086</t>
  </si>
  <si>
    <t>MB-7087</t>
  </si>
  <si>
    <t>MB-7088</t>
  </si>
  <si>
    <t>MB-7089</t>
  </si>
  <si>
    <t>MB-7090</t>
  </si>
  <si>
    <t>MB-7091</t>
  </si>
  <si>
    <t>MB-7092</t>
  </si>
  <si>
    <t>MB-7093</t>
  </si>
  <si>
    <t>MB-7094</t>
  </si>
  <si>
    <t>MB-7095</t>
  </si>
  <si>
    <t>MB-7096</t>
  </si>
  <si>
    <t>MB-7097</t>
  </si>
  <si>
    <t>MB-7099</t>
  </si>
  <si>
    <t>MB-7100</t>
  </si>
  <si>
    <t>MB-7101</t>
  </si>
  <si>
    <t>MB-7102</t>
  </si>
  <si>
    <t>MB-7104</t>
  </si>
  <si>
    <t>MB-7106</t>
  </si>
  <si>
    <t>MB-7107</t>
  </si>
  <si>
    <t>MB-7109</t>
  </si>
  <si>
    <t>MB-7111</t>
  </si>
  <si>
    <t>MB-7112</t>
  </si>
  <si>
    <t>MB-7113</t>
  </si>
  <si>
    <t>MB-7114</t>
  </si>
  <si>
    <t>MB-7115</t>
  </si>
  <si>
    <t>MB-7116</t>
  </si>
  <si>
    <t>MB-7118</t>
  </si>
  <si>
    <t>MB-7119</t>
  </si>
  <si>
    <t>MB-7121</t>
  </si>
  <si>
    <t>MB-7122</t>
  </si>
  <si>
    <t>MB-7123</t>
  </si>
  <si>
    <t>MB-7124</t>
  </si>
  <si>
    <t>MB-7127</t>
  </si>
  <si>
    <t>MB-7128</t>
  </si>
  <si>
    <t>MB-7130</t>
  </si>
  <si>
    <t>MB-7131</t>
  </si>
  <si>
    <t>MB-7132</t>
  </si>
  <si>
    <t>MB-7133</t>
  </si>
  <si>
    <t>MB-7135</t>
  </si>
  <si>
    <t>MB-7137</t>
  </si>
  <si>
    <t>MB-7138</t>
  </si>
  <si>
    <t>MB-7140</t>
  </si>
  <si>
    <t>MB-7141</t>
  </si>
  <si>
    <t>MB-7142</t>
  </si>
  <si>
    <t>MB-7143</t>
  </si>
  <si>
    <t>MB-7144</t>
  </si>
  <si>
    <t>MB-7145</t>
  </si>
  <si>
    <t>MB-7147</t>
  </si>
  <si>
    <t>MB-7148</t>
  </si>
  <si>
    <t>MB-7149</t>
  </si>
  <si>
    <t>MB-7150</t>
  </si>
  <si>
    <t>MB-7151</t>
  </si>
  <si>
    <t>MB-7152</t>
  </si>
  <si>
    <t>MB-7153</t>
  </si>
  <si>
    <t>MB-7154</t>
  </si>
  <si>
    <t>MB-7155</t>
  </si>
  <si>
    <t>MB-7157</t>
  </si>
  <si>
    <t>MB-7158</t>
  </si>
  <si>
    <t>MB-7159</t>
  </si>
  <si>
    <t>MB-7160</t>
  </si>
  <si>
    <t>MB-7161</t>
  </si>
  <si>
    <t>MB-7162</t>
  </si>
  <si>
    <t>MB-7163</t>
  </si>
  <si>
    <t>MB-7164</t>
  </si>
  <si>
    <t>MB-7165</t>
  </si>
  <si>
    <t>MB-7167</t>
  </si>
  <si>
    <t>MB-7168</t>
  </si>
  <si>
    <t>MB-7170</t>
  </si>
  <si>
    <t>MB-7171</t>
  </si>
  <si>
    <t>MB-7172</t>
  </si>
  <si>
    <t>MB-7173</t>
  </si>
  <si>
    <t>MB-7174</t>
  </si>
  <si>
    <t>MB-7176</t>
  </si>
  <si>
    <t>MB-7181</t>
  </si>
  <si>
    <t>MB-7182</t>
  </si>
  <si>
    <t>MB-7185</t>
  </si>
  <si>
    <t>MB-7186</t>
  </si>
  <si>
    <t>MB-7187</t>
  </si>
  <si>
    <t>MB-7188</t>
  </si>
  <si>
    <t>MB-7189</t>
  </si>
  <si>
    <t>MB-7193</t>
  </si>
  <si>
    <t>MB-7194</t>
  </si>
  <si>
    <t>MB-7195</t>
  </si>
  <si>
    <t>MB-7196</t>
  </si>
  <si>
    <t>MB-7197</t>
  </si>
  <si>
    <t>MB-7198</t>
  </si>
  <si>
    <t>MB-7199</t>
  </si>
  <si>
    <t>MB-7200</t>
  </si>
  <si>
    <t>MB-7201</t>
  </si>
  <si>
    <t>MB-7205</t>
  </si>
  <si>
    <t>MB-7207</t>
  </si>
  <si>
    <t>MB-7208</t>
  </si>
  <si>
    <t>MB-7212</t>
  </si>
  <si>
    <t>MB-7215</t>
  </si>
  <si>
    <t>MB-7216</t>
  </si>
  <si>
    <t>MB-7217</t>
  </si>
  <si>
    <t>MB-7218</t>
  </si>
  <si>
    <t>MB-7219</t>
  </si>
  <si>
    <t>MB-7220</t>
  </si>
  <si>
    <t>MB-7225</t>
  </si>
  <si>
    <t>MB-7226</t>
  </si>
  <si>
    <t>MB-7227</t>
  </si>
  <si>
    <t>MB-7228</t>
  </si>
  <si>
    <t>MB-7229</t>
  </si>
  <si>
    <t>MB-7230</t>
  </si>
  <si>
    <t>MB-7231</t>
  </si>
  <si>
    <t>MB-7232</t>
  </si>
  <si>
    <t>MB-7233</t>
  </si>
  <si>
    <t>MB-7234</t>
  </si>
  <si>
    <t>MB-7235</t>
  </si>
  <si>
    <t>MB-7236</t>
  </si>
  <si>
    <t>MB-7237</t>
  </si>
  <si>
    <t>MB-7238</t>
  </si>
  <si>
    <t>MB-7241</t>
  </si>
  <si>
    <t>MB-7243</t>
  </si>
  <si>
    <t>MB-7244</t>
  </si>
  <si>
    <t>MB-7249</t>
  </si>
  <si>
    <t>MB-7250</t>
  </si>
  <si>
    <t>MB-7251</t>
  </si>
  <si>
    <t>MB-7252</t>
  </si>
  <si>
    <t>MB-7253</t>
  </si>
  <si>
    <t>MB-7254</t>
  </si>
  <si>
    <t>MB-7256</t>
  </si>
  <si>
    <t>MB-7258</t>
  </si>
  <si>
    <t>MB-7260</t>
  </si>
  <si>
    <t>MB-7262</t>
  </si>
  <si>
    <t>MB-7263</t>
  </si>
  <si>
    <t>MB-7264</t>
  </si>
  <si>
    <t>MB-7266</t>
  </si>
  <si>
    <t>MB-7267</t>
  </si>
  <si>
    <t>MB-7268</t>
  </si>
  <si>
    <t>MB-7269</t>
  </si>
  <si>
    <t>MB-7270</t>
  </si>
  <si>
    <t>MB-7273</t>
  </si>
  <si>
    <t>MB-7275</t>
  </si>
  <si>
    <t>MB-7276</t>
  </si>
  <si>
    <t>MB-7277</t>
  </si>
  <si>
    <t>MB-7278</t>
  </si>
  <si>
    <t>MB-7279</t>
  </si>
  <si>
    <t>MB-7280</t>
  </si>
  <si>
    <t>MB-7281</t>
  </si>
  <si>
    <t>MB-7283</t>
  </si>
  <si>
    <t>MB-7284</t>
  </si>
  <si>
    <t>MB-7285</t>
  </si>
  <si>
    <t>MB-7286</t>
  </si>
  <si>
    <t>MB-7287</t>
  </si>
  <si>
    <t>MB-7288</t>
  </si>
  <si>
    <t>MB-7289</t>
  </si>
  <si>
    <t>MB-7291</t>
  </si>
  <si>
    <t>MB-7292</t>
  </si>
  <si>
    <t>MB-7293</t>
  </si>
  <si>
    <t>MB-7294</t>
  </si>
  <si>
    <t>MB-7295</t>
  </si>
  <si>
    <t>MB-7296</t>
  </si>
  <si>
    <t>MB-7297</t>
  </si>
  <si>
    <t>MB-7298</t>
  </si>
  <si>
    <t>MB-7299</t>
  </si>
  <si>
    <t>MTS-T0035</t>
  </si>
  <si>
    <t>MTS-T0058</t>
  </si>
  <si>
    <t>MTS-T0059</t>
  </si>
  <si>
    <t>MTS-T0060</t>
  </si>
  <si>
    <t>MTS-T0061</t>
  </si>
  <si>
    <t>MTS-T0062</t>
  </si>
  <si>
    <t>MTS-T0063</t>
  </si>
  <si>
    <t>MTS-T0064</t>
  </si>
  <si>
    <t>MTS-T0065</t>
  </si>
  <si>
    <t>MTS-T0066</t>
  </si>
  <si>
    <t>MTS-T0067</t>
  </si>
  <si>
    <t>MTS-T0068</t>
  </si>
  <si>
    <t>MTS-T0069</t>
  </si>
  <si>
    <t>MTS-T0070</t>
  </si>
  <si>
    <t>MTS-T0071</t>
  </si>
  <si>
    <t>MTS-T0072</t>
  </si>
  <si>
    <t>MTS-T0073</t>
  </si>
  <si>
    <t>MTS-T0074</t>
  </si>
  <si>
    <t>MTS-T0075</t>
  </si>
  <si>
    <t>MTS-T0076</t>
  </si>
  <si>
    <t>MTS-T0077</t>
  </si>
  <si>
    <t>MTS-T0078</t>
  </si>
  <si>
    <t>MTS-T0079</t>
  </si>
  <si>
    <t>MTS-T0080</t>
  </si>
  <si>
    <t>MTS-T0081</t>
  </si>
  <si>
    <t>MTS-T0082</t>
  </si>
  <si>
    <t>MTS-T0083</t>
  </si>
  <si>
    <t>MTS-T0084</t>
  </si>
  <si>
    <t>MTS-T0085</t>
  </si>
  <si>
    <t>MTS-T0086</t>
  </si>
  <si>
    <t>MTS-T0087</t>
  </si>
  <si>
    <t>MTS-T0088</t>
  </si>
  <si>
    <t>MTS-T0089</t>
  </si>
  <si>
    <t>MTS-T0090</t>
  </si>
  <si>
    <t>MTS-T0091</t>
  </si>
  <si>
    <t>MTS-T0092</t>
  </si>
  <si>
    <t>MTS-T0093</t>
  </si>
  <si>
    <t>MTS-T0094</t>
  </si>
  <si>
    <t>MTS-T0095</t>
  </si>
  <si>
    <t>MTS-T0131</t>
  </si>
  <si>
    <t>MTS-T0132</t>
  </si>
  <si>
    <t>MTS-T0133</t>
  </si>
  <si>
    <t>MTS-T0134</t>
  </si>
  <si>
    <t>MTS-T0135</t>
  </si>
  <si>
    <t>MTS-T0136</t>
  </si>
  <si>
    <t>MTS-T0137</t>
  </si>
  <si>
    <t>MTS-T0138</t>
  </si>
  <si>
    <t>MTS-T0139</t>
  </si>
  <si>
    <t>MTS-T0140</t>
  </si>
  <si>
    <t>MTS-T0141</t>
  </si>
  <si>
    <t>MTS-T0142</t>
  </si>
  <si>
    <t>MTS-T0143</t>
  </si>
  <si>
    <t>MTS-T0144</t>
  </si>
  <si>
    <t>MTS-T0145</t>
  </si>
  <si>
    <t>MTS-T0146</t>
  </si>
  <si>
    <t>MTS-T0147</t>
  </si>
  <si>
    <t>MTS-T0148</t>
  </si>
  <si>
    <t>MTS-T0149</t>
  </si>
  <si>
    <t>MTS-T0150</t>
  </si>
  <si>
    <t>MTS-T0151</t>
  </si>
  <si>
    <t>MTS-T0152</t>
  </si>
  <si>
    <t>MTS-T0153</t>
  </si>
  <si>
    <t>MTS-T0154</t>
  </si>
  <si>
    <t>MTS-T0155</t>
  </si>
  <si>
    <t>MTS-T0156</t>
  </si>
  <si>
    <t>MTS-T0157</t>
  </si>
  <si>
    <t>MTS-T0158</t>
  </si>
  <si>
    <t>MTS-T0159</t>
  </si>
  <si>
    <t>MTS-T0160</t>
  </si>
  <si>
    <t>MTS-T0161</t>
  </si>
  <si>
    <t>MTS-T0162</t>
  </si>
  <si>
    <t>MTS-T0163</t>
  </si>
  <si>
    <t>MTS-T0164</t>
  </si>
  <si>
    <t>MTS-T0165</t>
  </si>
  <si>
    <t>MTS-T0166</t>
  </si>
  <si>
    <t>MTS-T0167</t>
  </si>
  <si>
    <t>MTS-T0168</t>
  </si>
  <si>
    <t>MTS-T0169</t>
  </si>
  <si>
    <t>MTS-T0170</t>
  </si>
  <si>
    <t>MTS-T0171</t>
  </si>
  <si>
    <t>MTS-T0172</t>
  </si>
  <si>
    <t>MTS-T0173</t>
  </si>
  <si>
    <t>MTS-T0174</t>
  </si>
  <si>
    <t>MTS-T0175</t>
  </si>
  <si>
    <t>MTS-T0176</t>
  </si>
  <si>
    <t>MTS-T0177</t>
  </si>
  <si>
    <t>MTS-T0178</t>
  </si>
  <si>
    <t>MTS-T0179</t>
  </si>
  <si>
    <t>MTS-T0180</t>
  </si>
  <si>
    <t>MTS-T0181</t>
  </si>
  <si>
    <t>MTS-T0182</t>
  </si>
  <si>
    <t>MTS-T0183</t>
  </si>
  <si>
    <t>MTS-T0184</t>
  </si>
  <si>
    <t>MTS-T0185</t>
  </si>
  <si>
    <t>MTS-T0186</t>
  </si>
  <si>
    <t>MTS-T0187</t>
  </si>
  <si>
    <t>MTS-T0188</t>
  </si>
  <si>
    <t>MTS-T0189</t>
  </si>
  <si>
    <t>MTS-T0190</t>
  </si>
  <si>
    <t>MTS-T0191</t>
  </si>
  <si>
    <t>MTS-T0192</t>
  </si>
  <si>
    <t>MTS-T0193</t>
  </si>
  <si>
    <t>MTS-T0194</t>
  </si>
  <si>
    <t>MTS-T0195</t>
  </si>
  <si>
    <t>MTS-T0196</t>
  </si>
  <si>
    <t>MTS-T0197</t>
  </si>
  <si>
    <t>MTS-T0198</t>
  </si>
  <si>
    <t>MTS-T0199</t>
  </si>
  <si>
    <t>MTS-T0200</t>
  </si>
  <si>
    <t>MTS-T0201</t>
  </si>
  <si>
    <t>MTS-T0202</t>
  </si>
  <si>
    <t>MTS-T0203</t>
  </si>
  <si>
    <t>MTS-T0204</t>
  </si>
  <si>
    <t>MTS-T0205</t>
  </si>
  <si>
    <t>MTS-T0206</t>
  </si>
  <si>
    <t>MTS-T0207</t>
  </si>
  <si>
    <t>MTS-T0208</t>
  </si>
  <si>
    <t>MTS-T0209</t>
  </si>
  <si>
    <t>MTS-T0210</t>
  </si>
  <si>
    <t>MTS-T0211</t>
  </si>
  <si>
    <t>MTS-T0212</t>
  </si>
  <si>
    <t>MTS-T0213</t>
  </si>
  <si>
    <t>MTS-T0214</t>
  </si>
  <si>
    <t>MTS-T0215</t>
  </si>
  <si>
    <t>MTS-T0216</t>
  </si>
  <si>
    <t>MTS-T0217</t>
  </si>
  <si>
    <t>MTS-T0218</t>
  </si>
  <si>
    <t>MTS-T0219</t>
  </si>
  <si>
    <t>MTS-T0220</t>
  </si>
  <si>
    <t>MTS-T0221</t>
  </si>
  <si>
    <t>MTS-T0222</t>
  </si>
  <si>
    <t>MTS-T0223</t>
  </si>
  <si>
    <t>MTS-T0224</t>
  </si>
  <si>
    <t>MTS-T0225</t>
  </si>
  <si>
    <t>MTS-T0226</t>
  </si>
  <si>
    <t>MTS-T0227</t>
  </si>
  <si>
    <t>MTS-T0228</t>
  </si>
  <si>
    <t>MTS-T0229</t>
  </si>
  <si>
    <t>MTS-T0230</t>
  </si>
  <si>
    <t>MTS-T0231</t>
  </si>
  <si>
    <t>MTS-T0232</t>
  </si>
  <si>
    <t>MTS-T0233</t>
  </si>
  <si>
    <t>MTS-T0234</t>
  </si>
  <si>
    <t>MTS-T0235</t>
  </si>
  <si>
    <t>MTS-T0236</t>
  </si>
  <si>
    <t>MTS-T0237</t>
  </si>
  <si>
    <t>MTS-T0238</t>
  </si>
  <si>
    <t>MTS-T0239</t>
  </si>
  <si>
    <t>MTS-T0240</t>
  </si>
  <si>
    <t>MTS-T0241</t>
  </si>
  <si>
    <t>MTS-T0242</t>
  </si>
  <si>
    <t>MTS-T0243</t>
  </si>
  <si>
    <t>MTS-T0244</t>
  </si>
  <si>
    <t>MTS-T0245</t>
  </si>
  <si>
    <t>MTS-T0246</t>
  </si>
  <si>
    <t>MTS-T0247</t>
  </si>
  <si>
    <t>MTS-T0248</t>
  </si>
  <si>
    <t>MTS-T0249</t>
  </si>
  <si>
    <t>MTS-T0250</t>
  </si>
  <si>
    <t>MTS-T0251</t>
  </si>
  <si>
    <t>MTS-T0252</t>
  </si>
  <si>
    <t>MTS-T0253</t>
  </si>
  <si>
    <t>MTS-T0254</t>
  </si>
  <si>
    <t>MTS-T0255</t>
  </si>
  <si>
    <t>MTS-T0256</t>
  </si>
  <si>
    <t>MTS-T0257</t>
  </si>
  <si>
    <t>MTS-T0258</t>
  </si>
  <si>
    <t>MTS-T0259</t>
  </si>
  <si>
    <t>MTS-T0260</t>
  </si>
  <si>
    <t>MTS-T0261</t>
  </si>
  <si>
    <t>MTS-T0262</t>
  </si>
  <si>
    <t>MTS-T0266</t>
  </si>
  <si>
    <t>MTS-T0273</t>
  </si>
  <si>
    <t>MTS-T0275</t>
  </si>
  <si>
    <t>MTS-T0276</t>
  </si>
  <si>
    <t>MTS-T0279</t>
  </si>
  <si>
    <t>MTS-T0281</t>
  </si>
  <si>
    <t>MTS-T0285</t>
  </si>
  <si>
    <t>MTS-T0286</t>
  </si>
  <si>
    <t>MTS-T0299</t>
  </si>
  <si>
    <t>MTS-T0303</t>
  </si>
  <si>
    <t>MTS-T0304</t>
  </si>
  <si>
    <t>MTS-T0305</t>
  </si>
  <si>
    <t>MTS-T0312</t>
  </si>
  <si>
    <t>MTS-T0313</t>
  </si>
  <si>
    <t>MTS-T0325</t>
  </si>
  <si>
    <t>MTS-T0327</t>
  </si>
  <si>
    <t>MTS-T0328</t>
  </si>
  <si>
    <t>MTS-T0329</t>
  </si>
  <si>
    <t>MTS-T0330</t>
  </si>
  <si>
    <t>MTS-T0331</t>
  </si>
  <si>
    <t>MTS-T0332</t>
  </si>
  <si>
    <t>MTS-T0333</t>
  </si>
  <si>
    <t>MTS-T0334</t>
  </si>
  <si>
    <t>MTS-T0335</t>
  </si>
  <si>
    <t>MTS-T0336</t>
  </si>
  <si>
    <t>MTS-T0337</t>
  </si>
  <si>
    <t>MTS-T0338</t>
  </si>
  <si>
    <t>MTS-T0339</t>
  </si>
  <si>
    <t>MTS-T0340</t>
  </si>
  <si>
    <t>MTS-T0341</t>
  </si>
  <si>
    <t>MTS-T0342</t>
  </si>
  <si>
    <t>MTS-T0343</t>
  </si>
  <si>
    <t>MTS-T0344</t>
  </si>
  <si>
    <t>MTS-T0345</t>
  </si>
  <si>
    <t>MTS-T0346</t>
  </si>
  <si>
    <t>MTS-T0347</t>
  </si>
  <si>
    <t>MTS-T0348</t>
  </si>
  <si>
    <t>MTS-T0349</t>
  </si>
  <si>
    <t>MTS-T0350</t>
  </si>
  <si>
    <t>MTS-T0351</t>
  </si>
  <si>
    <t>MTS-T0352</t>
  </si>
  <si>
    <t>MTS-T0353</t>
  </si>
  <si>
    <t>MTS-T0354</t>
  </si>
  <si>
    <t>MTS-T0355</t>
  </si>
  <si>
    <t>MTS-T0356</t>
  </si>
  <si>
    <t>MTS-T0357</t>
  </si>
  <si>
    <t>MTS-T0358</t>
  </si>
  <si>
    <t>MTS-T0359</t>
  </si>
  <si>
    <t>MTS-T0360</t>
  </si>
  <si>
    <t>MTS-T0361</t>
  </si>
  <si>
    <t>MTS-T0362</t>
  </si>
  <si>
    <t>MTS-T0363</t>
  </si>
  <si>
    <t>MTS-T0364</t>
  </si>
  <si>
    <t>MTS-T0365</t>
  </si>
  <si>
    <t>MTS-T0366</t>
  </si>
  <si>
    <t>MTS-T0367</t>
  </si>
  <si>
    <t>MTS-T0368</t>
  </si>
  <si>
    <t>MTS-T0369</t>
  </si>
  <si>
    <t>MTS-T0370</t>
  </si>
  <si>
    <t>MTS-T0371</t>
  </si>
  <si>
    <t>MTS-T0372</t>
  </si>
  <si>
    <t>MTS-T0373</t>
  </si>
  <si>
    <t>MTS-T0374</t>
  </si>
  <si>
    <t>MTS-T0375</t>
  </si>
  <si>
    <t>MTS-T0376</t>
  </si>
  <si>
    <t>MTS-T0377</t>
  </si>
  <si>
    <t>MTS-T0378</t>
  </si>
  <si>
    <t>MTS-T0379</t>
  </si>
  <si>
    <t>MTS-T0380</t>
  </si>
  <si>
    <t>MTS-T0381</t>
  </si>
  <si>
    <t>MTS-T0382</t>
  </si>
  <si>
    <t>MTS-T0383</t>
  </si>
  <si>
    <t>MTS-T0384</t>
  </si>
  <si>
    <t>MTS-T0385</t>
  </si>
  <si>
    <t>MTS-T0386</t>
  </si>
  <si>
    <t>MTS-T0387</t>
  </si>
  <si>
    <t>MTS-T0388</t>
  </si>
  <si>
    <t>MTS-T0389</t>
  </si>
  <si>
    <t>MTS-T0390</t>
  </si>
  <si>
    <t>MTS-T0391</t>
  </si>
  <si>
    <t>MTS-T0392</t>
  </si>
  <si>
    <t>MTS-T0393</t>
  </si>
  <si>
    <t>MTS-T0394</t>
  </si>
  <si>
    <t>MTS-T0395</t>
  </si>
  <si>
    <t>MTS-T0396</t>
  </si>
  <si>
    <t>MTS-T0397</t>
  </si>
  <si>
    <t>MTS-T0398</t>
  </si>
  <si>
    <t>MTS-T0399</t>
  </si>
  <si>
    <t>MTS-T0400</t>
  </si>
  <si>
    <t>MTS-T0401</t>
  </si>
  <si>
    <t>MTS-T0402</t>
  </si>
  <si>
    <t>MTS-T0403</t>
  </si>
  <si>
    <t>MTS-T0404</t>
  </si>
  <si>
    <t>MTS-T0405</t>
  </si>
  <si>
    <t>MTS-T0406</t>
  </si>
  <si>
    <t>MTS-T0407</t>
  </si>
  <si>
    <t>MTS-T0408</t>
  </si>
  <si>
    <t>MTS-T0409</t>
  </si>
  <si>
    <t>MTS-T0456</t>
  </si>
  <si>
    <t>MTS-T0466</t>
  </si>
  <si>
    <t>MTS-T0468</t>
  </si>
  <si>
    <t>MTS-T0479</t>
  </si>
  <si>
    <t>MTS-T0490</t>
  </si>
  <si>
    <t>MTS-T0508</t>
  </si>
  <si>
    <t>MTS-T0510</t>
  </si>
  <si>
    <t>MTS-T0515</t>
  </si>
  <si>
    <t>MTS-T0516</t>
  </si>
  <si>
    <t>MTS-T0525</t>
  </si>
  <si>
    <t>MTS-T0528</t>
  </si>
  <si>
    <t>MTS-T0558</t>
  </si>
  <si>
    <t>MTS-T0600</t>
  </si>
  <si>
    <t>MTS-T0602</t>
  </si>
  <si>
    <t>MTS-T0646</t>
  </si>
  <si>
    <t>MTS-T0652</t>
  </si>
  <si>
    <t>MTS-T0673</t>
  </si>
  <si>
    <t>MTS-T0685</t>
  </si>
  <si>
    <t>MTS-T0689</t>
  </si>
  <si>
    <t>MTS-T0690</t>
  </si>
  <si>
    <t>MTS-T0691</t>
  </si>
  <si>
    <t>MTS-T0692</t>
  </si>
  <si>
    <t>MTS-T0693</t>
  </si>
  <si>
    <t>MTS-T0694</t>
  </si>
  <si>
    <t>MTS-T0695</t>
  </si>
  <si>
    <t>MTS-T0696</t>
  </si>
  <si>
    <t>MTS-T0697</t>
  </si>
  <si>
    <t>MTS-T0698</t>
  </si>
  <si>
    <t>MTS-T0699</t>
  </si>
  <si>
    <t>MTS-T0700</t>
  </si>
  <si>
    <t>MTS-T0701</t>
  </si>
  <si>
    <t>MTS-T0702</t>
  </si>
  <si>
    <t>MTS-T0703</t>
  </si>
  <si>
    <t>MTS-T0704</t>
  </si>
  <si>
    <t>MTS-T0705</t>
  </si>
  <si>
    <t>MTS-T0706</t>
  </si>
  <si>
    <t>MTS-T0707</t>
  </si>
  <si>
    <t>MTS-T0708</t>
  </si>
  <si>
    <t>MTS-T0709</t>
  </si>
  <si>
    <t>MTS-T0710</t>
  </si>
  <si>
    <t>MTS-T0711</t>
  </si>
  <si>
    <t>MTS-T0712</t>
  </si>
  <si>
    <t>MTS-T0713</t>
  </si>
  <si>
    <t>MTS-T0714</t>
  </si>
  <si>
    <t>MTS-T0715</t>
  </si>
  <si>
    <t>MTS-T0716</t>
  </si>
  <si>
    <t>MTS-T0717</t>
  </si>
  <si>
    <t>MTS-T0718</t>
  </si>
  <si>
    <t>MTS-T0719</t>
  </si>
  <si>
    <t>MTS-T0720</t>
  </si>
  <si>
    <t>MTS-T0721</t>
  </si>
  <si>
    <t>MTS-T0722</t>
  </si>
  <si>
    <t>MTS-T0723</t>
  </si>
  <si>
    <t>MTS-T0724</t>
  </si>
  <si>
    <t>MTS-T0725</t>
  </si>
  <si>
    <t>MTS-T0726</t>
  </si>
  <si>
    <t>MTS-T0737</t>
  </si>
  <si>
    <t>MTS-T0788</t>
  </si>
  <si>
    <t>MTS-T0824</t>
  </si>
  <si>
    <t>MTS-T0877</t>
  </si>
  <si>
    <t>MTS-T0883</t>
  </si>
  <si>
    <t>MTS-T0911</t>
  </si>
  <si>
    <t>MTS-T0927</t>
  </si>
  <si>
    <t>MTS-T0951</t>
  </si>
  <si>
    <t>MTS-T1000</t>
  </si>
  <si>
    <t>MTS-T1020</t>
  </si>
  <si>
    <t>MTS-T1047</t>
  </si>
  <si>
    <t>MTS-T1088</t>
  </si>
  <si>
    <t>MTS-T1134</t>
  </si>
  <si>
    <t>MTS-T1138</t>
  </si>
  <si>
    <t>MTS-T1161</t>
  </si>
  <si>
    <t>MTS-T1185</t>
  </si>
  <si>
    <t>MTS-T1189</t>
  </si>
  <si>
    <t>MTS-T1191</t>
  </si>
  <si>
    <t>MTS-T1203</t>
  </si>
  <si>
    <t>MTS-T1213</t>
  </si>
  <si>
    <t>MTS-T1223</t>
  </si>
  <si>
    <t>MTS-T1240</t>
  </si>
  <si>
    <t>MTS-T1248</t>
  </si>
  <si>
    <t>MTS-T1259</t>
  </si>
  <si>
    <t>MTS-T1264</t>
  </si>
  <si>
    <t>MTS-T1269</t>
  </si>
  <si>
    <t>MTS-T1270</t>
  </si>
  <si>
    <t>MTS-T1272</t>
  </si>
  <si>
    <t>MTS-T1273</t>
  </si>
  <si>
    <t>MTS-T1275</t>
  </si>
  <si>
    <t>MTS-T1276</t>
  </si>
  <si>
    <t>MTS-T1277</t>
  </si>
  <si>
    <t>MTS-T1278</t>
  </si>
  <si>
    <t>MTS-T1279</t>
  </si>
  <si>
    <t>MTS-T1280</t>
  </si>
  <si>
    <t>MTS-T1281</t>
  </si>
  <si>
    <t>MTS-T1282</t>
  </si>
  <si>
    <t>MTS-T1283</t>
  </si>
  <si>
    <t>MTS-T1284</t>
  </si>
  <si>
    <t>MTS-T1285</t>
  </si>
  <si>
    <t>MTS-T1286</t>
  </si>
  <si>
    <t>MTS-T1287</t>
  </si>
  <si>
    <t>MTS-T1288</t>
  </si>
  <si>
    <t>MTS-T1289</t>
  </si>
  <si>
    <t>MTS-T1290</t>
  </si>
  <si>
    <t>MTS-T1291</t>
  </si>
  <si>
    <t>MTS-T1292</t>
  </si>
  <si>
    <t>MTS-T1293</t>
  </si>
  <si>
    <t>MTS-T1294</t>
  </si>
  <si>
    <t>MTS-T1295</t>
  </si>
  <si>
    <t>MTS-T1296</t>
  </si>
  <si>
    <t>MTS-T1297</t>
  </si>
  <si>
    <t>MTS-T1298</t>
  </si>
  <si>
    <t>MTS-T1299</t>
  </si>
  <si>
    <t>MTS-T1300</t>
  </si>
  <si>
    <t>MTS-T1301</t>
  </si>
  <si>
    <t>MTS-T1302</t>
  </si>
  <si>
    <t>MTS-T1303</t>
  </si>
  <si>
    <t>MTS-T1304</t>
  </si>
  <si>
    <t>MTS-T1305</t>
  </si>
  <si>
    <t>MTS-T1306</t>
  </si>
  <si>
    <t>MTS-T1307</t>
  </si>
  <si>
    <t>MTS-T1308</t>
  </si>
  <si>
    <t>MTS-T1309</t>
  </si>
  <si>
    <t>MTS-T1310</t>
  </si>
  <si>
    <t>MTS-T1311</t>
  </si>
  <si>
    <t>MTS-T1312</t>
  </si>
  <si>
    <t>MTS-T1313</t>
  </si>
  <si>
    <t>MTS-T1314</t>
  </si>
  <si>
    <t>MTS-T1326</t>
  </si>
  <si>
    <t>MTS-T1329</t>
  </si>
  <si>
    <t>MTS-T1366</t>
  </si>
  <si>
    <t>MTS-T1454</t>
  </si>
  <si>
    <t>MTS-T1501</t>
  </si>
  <si>
    <t>MTS-T1502</t>
  </si>
  <si>
    <t>MTS-T1503</t>
  </si>
  <si>
    <t>MTS-T1504</t>
  </si>
  <si>
    <t>MTS-T1514</t>
  </si>
  <si>
    <t>MTS-T1515</t>
  </si>
  <si>
    <t>MTS-T1516</t>
  </si>
  <si>
    <t>MTS-T1517</t>
  </si>
  <si>
    <t>MTS-T1522</t>
  </si>
  <si>
    <t>MTS-T1525</t>
  </si>
  <si>
    <t>MTS-T1526</t>
  </si>
  <si>
    <t>MTS-T1527</t>
  </si>
  <si>
    <t>MTS-T1537</t>
  </si>
  <si>
    <t>MTS-T1548</t>
  </si>
  <si>
    <t>MTS-T1549</t>
  </si>
  <si>
    <t>MTS-T1560</t>
  </si>
  <si>
    <t>MTS-T1561</t>
  </si>
  <si>
    <t>MTS-T1571</t>
  </si>
  <si>
    <t>MTS-T1576</t>
  </si>
  <si>
    <t>MTS-T1582</t>
  </si>
  <si>
    <t>MTS-T1583</t>
  </si>
  <si>
    <t>MTS-T1605</t>
  </si>
  <si>
    <t>MTS-T1616</t>
  </si>
  <si>
    <t>MTS-T1633</t>
  </si>
  <si>
    <t>MTS-T1659</t>
  </si>
  <si>
    <t>MTS-T1706</t>
  </si>
  <si>
    <t>MTS-T1774</t>
  </si>
  <si>
    <t>MTS-T1800</t>
  </si>
  <si>
    <t>MTS-T1829</t>
  </si>
  <si>
    <t>MTS-T1847</t>
  </si>
  <si>
    <t>MTS-T1865</t>
  </si>
  <si>
    <t>MTS-T1872</t>
  </si>
  <si>
    <t>MTS-T1922</t>
  </si>
  <si>
    <t>MTS-T1945</t>
  </si>
  <si>
    <t>MTS-T1954</t>
  </si>
  <si>
    <t>MTS-T1962</t>
  </si>
  <si>
    <t>MTS-T1971</t>
  </si>
  <si>
    <t>MTS-T1973</t>
  </si>
  <si>
    <t>MTS-T1983</t>
  </si>
  <si>
    <t>MTS-T1985</t>
  </si>
  <si>
    <t>MTS-T1991</t>
  </si>
  <si>
    <t>MTS-T2018</t>
  </si>
  <si>
    <t>MTS-T2030</t>
  </si>
  <si>
    <t>MTS-T2031</t>
  </si>
  <si>
    <t>MTS-T2043</t>
  </si>
  <si>
    <t>MTS-T2044</t>
  </si>
  <si>
    <t>MTS-T2047</t>
  </si>
  <si>
    <t>MTS-T2053</t>
  </si>
  <si>
    <t>MTS-T2054</t>
  </si>
  <si>
    <t>MTS-T2055</t>
  </si>
  <si>
    <t>MTS-T2064</t>
  </si>
  <si>
    <t>MTS-T2065</t>
  </si>
  <si>
    <t>MTS-T2066</t>
  </si>
  <si>
    <t>MTS-T2068</t>
  </si>
  <si>
    <t>MTS-T2073</t>
  </si>
  <si>
    <t>MTS-T2074</t>
  </si>
  <si>
    <t>MTS-T2075</t>
  </si>
  <si>
    <t>MTS-T2076</t>
  </si>
  <si>
    <t>MTS-T2083</t>
  </si>
  <si>
    <t>MTS-T2084</t>
  </si>
  <si>
    <t>MTS-T2085</t>
  </si>
  <si>
    <t>MTS-T2086</t>
  </si>
  <si>
    <t>MTS-T2087</t>
  </si>
  <si>
    <t>MTS-T2090</t>
  </si>
  <si>
    <t>MTS-T2094</t>
  </si>
  <si>
    <t>MTS-T2095</t>
  </si>
  <si>
    <t>MTS-T2096</t>
  </si>
  <si>
    <t>MTS-T2097</t>
  </si>
  <si>
    <t>MTS-T2104</t>
  </si>
  <si>
    <t>MTS-T2105</t>
  </si>
  <si>
    <t>MTS-T2106</t>
  </si>
  <si>
    <t>MTS-T2107</t>
  </si>
  <si>
    <t>MTS-T2115</t>
  </si>
  <si>
    <t>MTS-T2116</t>
  </si>
  <si>
    <t>MTS-T2117</t>
  </si>
  <si>
    <t>MTS-T2118</t>
  </si>
  <si>
    <t>MTS-T2126</t>
  </si>
  <si>
    <t>MTS-T2127</t>
  </si>
  <si>
    <t>MTS-T2128</t>
  </si>
  <si>
    <t>MTS-T2129</t>
  </si>
  <si>
    <t>MTS-T2150</t>
  </si>
  <si>
    <t>MTS-T2153</t>
  </si>
  <si>
    <t>MTS-T2167</t>
  </si>
  <si>
    <t>MTS-T2178</t>
  </si>
  <si>
    <t>MTS-T2189</t>
  </si>
  <si>
    <t>MTS-T2190</t>
  </si>
  <si>
    <t>MTS-T2191</t>
  </si>
  <si>
    <t>MTS-T2206</t>
  </si>
  <si>
    <t>MTS-T2212</t>
  </si>
  <si>
    <t>MTS-T2291</t>
  </si>
  <si>
    <t>MTS-T2304</t>
  </si>
  <si>
    <t>MTS-T2320</t>
  </si>
  <si>
    <t>MTS-T2391</t>
  </si>
  <si>
    <t>MTS-T2392</t>
  </si>
  <si>
    <t>MTS-T2393</t>
  </si>
  <si>
    <t>MTS-T2398</t>
  </si>
  <si>
    <t>MTS-T2402</t>
  </si>
  <si>
    <t>MTS-T2403</t>
  </si>
  <si>
    <t>MTS-T2404</t>
  </si>
  <si>
    <t>MTS-T2405</t>
  </si>
  <si>
    <t>MTS-T2406</t>
  </si>
  <si>
    <t>MTS-T2407</t>
  </si>
  <si>
    <t>MTS-T2408</t>
  </si>
  <si>
    <t>MTS-T2409</t>
  </si>
  <si>
    <t>MTS-T2410</t>
  </si>
  <si>
    <t>MTS-T2412</t>
  </si>
  <si>
    <t>MTS-T2413</t>
  </si>
  <si>
    <t>MTS-T2414</t>
  </si>
  <si>
    <t>MTS-T2415</t>
  </si>
  <si>
    <t>MTS-T2416</t>
  </si>
  <si>
    <t>MTS-T2417</t>
  </si>
  <si>
    <t>MTS-T2418</t>
  </si>
  <si>
    <t>MTS-T2419</t>
  </si>
  <si>
    <t>MTS-T2420</t>
  </si>
  <si>
    <t>MTS-T2421</t>
  </si>
  <si>
    <t>MTS-T2422</t>
  </si>
  <si>
    <t>MTS-T2423</t>
  </si>
  <si>
    <t>MTS-T2424</t>
  </si>
  <si>
    <t>MTS-T2425</t>
  </si>
  <si>
    <t>MTS-T2426</t>
  </si>
  <si>
    <t>MTS-T2427</t>
  </si>
  <si>
    <t>MTS-T2428</t>
  </si>
  <si>
    <t>MTS-T2429</t>
  </si>
  <si>
    <t>MTS-T2430</t>
  </si>
  <si>
    <t>MTS-T2431</t>
  </si>
  <si>
    <t>MTS-T2432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</si>
</sst>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25b72cd7e9b9f6f/MSt%20Healthcare%20Data%20Science/Module%203/Getting%20Extra%20Patient%20Data.xlsx" TargetMode="External"/><Relationship Id="rId1" Type="http://schemas.openxmlformats.org/officeDocument/2006/relationships/externalLinkPath" Target="Getting%20Extra%20Patient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bric_data_clinical_patient 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2EC9-8894-4297-97E6-E92C556AEFD9}">
  <dimension ref="A1:O2510"/>
  <sheetViews>
    <sheetView tabSelected="1" workbookViewId="0">
      <selection activeCell="B5" sqref="B5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>
        <v>75.650000000000006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>
        <v>140.5</v>
      </c>
      <c r="M2" t="s">
        <v>24</v>
      </c>
      <c r="N2" t="str">
        <f>_xlfn.XLOOKUP(A2,[1]!brca_metabric_clinical_data__2[Patient ID], [1]!brca_metabric_clinical_data__2[Tumor Size])</f>
        <v>22</v>
      </c>
      <c r="O2" t="str">
        <f>_xlfn.XLOOKUP(A2,[1]!brca_metabric_clinical_data__2[Sample ID],[1]!brca_metabric_clinical_data__2[Tumor Stage])</f>
        <v>2</v>
      </c>
    </row>
    <row r="3" spans="1:15" x14ac:dyDescent="0.45">
      <c r="A3" t="s">
        <v>25</v>
      </c>
      <c r="B3">
        <v>43.19</v>
      </c>
      <c r="C3" t="s">
        <v>16</v>
      </c>
      <c r="D3" t="s">
        <v>26</v>
      </c>
      <c r="E3" t="s">
        <v>18</v>
      </c>
      <c r="F3" t="s">
        <v>19</v>
      </c>
      <c r="G3" t="s">
        <v>20</v>
      </c>
      <c r="H3" t="s">
        <v>21</v>
      </c>
      <c r="I3" t="s">
        <v>21</v>
      </c>
      <c r="J3" t="s">
        <v>27</v>
      </c>
      <c r="K3" t="s">
        <v>23</v>
      </c>
      <c r="L3">
        <v>84.633333333333297</v>
      </c>
      <c r="M3" t="s">
        <v>24</v>
      </c>
      <c r="N3" t="str">
        <f>_xlfn.XLOOKUP(A3,[1]!brca_metabric_clinical_data__2[Patient ID], [1]!brca_metabric_clinical_data__2[Tumor Size])</f>
        <v>10</v>
      </c>
      <c r="O3" t="str">
        <f>_xlfn.XLOOKUP(A3,[1]!brca_metabric_clinical_data__2[Sample ID],[1]!brca_metabric_clinical_data__2[Tumor Stage])</f>
        <v>1</v>
      </c>
    </row>
    <row r="4" spans="1:15" x14ac:dyDescent="0.45">
      <c r="A4" t="s">
        <v>28</v>
      </c>
      <c r="B4">
        <v>48.87</v>
      </c>
      <c r="C4" t="s">
        <v>16</v>
      </c>
      <c r="D4" t="s">
        <v>26</v>
      </c>
      <c r="E4" t="s">
        <v>18</v>
      </c>
      <c r="F4" t="s">
        <v>19</v>
      </c>
      <c r="G4" t="s">
        <v>21</v>
      </c>
      <c r="H4" t="s">
        <v>21</v>
      </c>
      <c r="I4" t="s">
        <v>20</v>
      </c>
      <c r="J4" t="s">
        <v>29</v>
      </c>
      <c r="K4">
        <v>3</v>
      </c>
      <c r="L4">
        <v>163.69999999999999</v>
      </c>
      <c r="M4" t="s">
        <v>30</v>
      </c>
      <c r="N4" t="str">
        <f>_xlfn.XLOOKUP(A4,[1]!brca_metabric_clinical_data__2[Patient ID], [1]!brca_metabric_clinical_data__2[Tumor Size])</f>
        <v>15</v>
      </c>
      <c r="O4" t="str">
        <f>_xlfn.XLOOKUP(A4,[1]!brca_metabric_clinical_data__2[Sample ID],[1]!brca_metabric_clinical_data__2[Tumor Stage])</f>
        <v>2</v>
      </c>
    </row>
    <row r="5" spans="1:15" x14ac:dyDescent="0.45">
      <c r="A5" t="s">
        <v>31</v>
      </c>
      <c r="B5">
        <v>47.68</v>
      </c>
      <c r="C5" t="s">
        <v>16</v>
      </c>
      <c r="D5" t="s">
        <v>26</v>
      </c>
      <c r="E5" t="s">
        <v>18</v>
      </c>
      <c r="F5" t="s">
        <v>19</v>
      </c>
      <c r="G5" t="s">
        <v>21</v>
      </c>
      <c r="H5" t="s">
        <v>21</v>
      </c>
      <c r="I5" t="s">
        <v>21</v>
      </c>
      <c r="J5" t="s">
        <v>29</v>
      </c>
      <c r="K5">
        <v>9</v>
      </c>
      <c r="L5">
        <v>164.933333333333</v>
      </c>
      <c r="M5" t="s">
        <v>24</v>
      </c>
      <c r="N5" t="str">
        <f>_xlfn.XLOOKUP(A5,[1]!brca_metabric_clinical_data__2[Patient ID], [1]!brca_metabric_clinical_data__2[Tumor Size])</f>
        <v>25</v>
      </c>
      <c r="O5" t="str">
        <f>_xlfn.XLOOKUP(A5,[1]!brca_metabric_clinical_data__2[Sample ID],[1]!brca_metabric_clinical_data__2[Tumor Stage])</f>
        <v>2</v>
      </c>
    </row>
    <row r="6" spans="1:15" x14ac:dyDescent="0.45">
      <c r="A6" t="s">
        <v>32</v>
      </c>
      <c r="B6">
        <v>76.97</v>
      </c>
      <c r="C6" t="s">
        <v>16</v>
      </c>
      <c r="D6" t="s">
        <v>17</v>
      </c>
      <c r="E6" t="s">
        <v>18</v>
      </c>
      <c r="F6" t="s">
        <v>19</v>
      </c>
      <c r="G6" t="s">
        <v>21</v>
      </c>
      <c r="H6" t="s">
        <v>21</v>
      </c>
      <c r="I6" t="s">
        <v>21</v>
      </c>
      <c r="J6" t="s">
        <v>29</v>
      </c>
      <c r="K6">
        <v>9</v>
      </c>
      <c r="L6">
        <v>41.366666666666703</v>
      </c>
      <c r="M6" t="s">
        <v>30</v>
      </c>
      <c r="N6" t="str">
        <f>_xlfn.XLOOKUP(A6,[1]!brca_metabric_clinical_data__2[Patient ID], [1]!brca_metabric_clinical_data__2[Tumor Size])</f>
        <v>40</v>
      </c>
      <c r="O6" t="str">
        <f>_xlfn.XLOOKUP(A6,[1]!brca_metabric_clinical_data__2[Sample ID],[1]!brca_metabric_clinical_data__2[Tumor Stage])</f>
        <v>2</v>
      </c>
    </row>
    <row r="7" spans="1:15" x14ac:dyDescent="0.45">
      <c r="A7" t="s">
        <v>33</v>
      </c>
      <c r="B7">
        <v>78.77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21</v>
      </c>
      <c r="J7" t="s">
        <v>29</v>
      </c>
      <c r="K7">
        <v>7</v>
      </c>
      <c r="L7">
        <v>7.8</v>
      </c>
      <c r="M7" t="s">
        <v>30</v>
      </c>
      <c r="N7" t="str">
        <f>_xlfn.XLOOKUP(A7,[1]!brca_metabric_clinical_data__2[Patient ID], [1]!brca_metabric_clinical_data__2[Tumor Size])</f>
        <v>31</v>
      </c>
      <c r="O7" t="str">
        <f>_xlfn.XLOOKUP(A7,[1]!brca_metabric_clinical_data__2[Sample ID],[1]!brca_metabric_clinical_data__2[Tumor Stage])</f>
        <v>4</v>
      </c>
    </row>
    <row r="8" spans="1:15" x14ac:dyDescent="0.45">
      <c r="A8" t="s">
        <v>34</v>
      </c>
      <c r="B8">
        <v>56.45</v>
      </c>
      <c r="C8" t="s">
        <v>16</v>
      </c>
      <c r="D8" t="s">
        <v>17</v>
      </c>
      <c r="E8" t="s">
        <v>18</v>
      </c>
      <c r="F8" t="s">
        <v>35</v>
      </c>
      <c r="G8" t="s">
        <v>21</v>
      </c>
      <c r="H8" t="s">
        <v>21</v>
      </c>
      <c r="I8" t="s">
        <v>21</v>
      </c>
      <c r="J8" t="s">
        <v>29</v>
      </c>
      <c r="K8">
        <v>3</v>
      </c>
      <c r="L8">
        <v>164.333333333333</v>
      </c>
      <c r="M8" t="s">
        <v>24</v>
      </c>
      <c r="N8" t="str">
        <f>_xlfn.XLOOKUP(A8,[1]!brca_metabric_clinical_data__2[Patient ID], [1]!brca_metabric_clinical_data__2[Tumor Size])</f>
        <v>10</v>
      </c>
      <c r="O8" t="str">
        <f>_xlfn.XLOOKUP(A8,[1]!brca_metabric_clinical_data__2[Sample ID],[1]!brca_metabric_clinical_data__2[Tumor Stage])</f>
        <v>2</v>
      </c>
    </row>
    <row r="9" spans="1:15" x14ac:dyDescent="0.45">
      <c r="A9" t="s">
        <v>36</v>
      </c>
      <c r="B9">
        <v>70</v>
      </c>
      <c r="C9" t="s">
        <v>16</v>
      </c>
      <c r="D9" t="s">
        <v>17</v>
      </c>
      <c r="E9" t="s">
        <v>37</v>
      </c>
      <c r="F9" t="s">
        <v>19</v>
      </c>
      <c r="G9" t="s">
        <v>21</v>
      </c>
      <c r="H9" t="s">
        <v>20</v>
      </c>
      <c r="I9" t="s">
        <v>21</v>
      </c>
      <c r="J9" t="s">
        <v>38</v>
      </c>
      <c r="K9" t="s">
        <v>39</v>
      </c>
      <c r="L9">
        <v>22.4</v>
      </c>
      <c r="M9" t="s">
        <v>30</v>
      </c>
      <c r="N9" t="str">
        <f>_xlfn.XLOOKUP(A9,[1]!brca_metabric_clinical_data__2[Patient ID], [1]!brca_metabric_clinical_data__2[Tumor Size])</f>
        <v>65</v>
      </c>
      <c r="O9" t="str">
        <f>_xlfn.XLOOKUP(A9,[1]!brca_metabric_clinical_data__2[Sample ID],[1]!brca_metabric_clinical_data__2[Tumor Stage])</f>
        <v>3</v>
      </c>
    </row>
    <row r="10" spans="1:15" x14ac:dyDescent="0.45">
      <c r="A10" t="s">
        <v>40</v>
      </c>
      <c r="B10">
        <v>89.08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21</v>
      </c>
      <c r="J10" t="s">
        <v>22</v>
      </c>
      <c r="K10">
        <v>3</v>
      </c>
      <c r="L10">
        <v>99.533333333333303</v>
      </c>
      <c r="M10" t="s">
        <v>30</v>
      </c>
      <c r="N10" t="str">
        <f>_xlfn.XLOOKUP(A10,[1]!brca_metabric_clinical_data__2[Patient ID], [1]!brca_metabric_clinical_data__2[Tumor Size])</f>
        <v>29</v>
      </c>
      <c r="O10" t="str">
        <f>_xlfn.XLOOKUP(A10,[1]!brca_metabric_clinical_data__2[Sample ID],[1]!brca_metabric_clinical_data__2[Tumor Stage])</f>
        <v>2</v>
      </c>
    </row>
    <row r="11" spans="1:15" x14ac:dyDescent="0.45">
      <c r="A11" t="s">
        <v>41</v>
      </c>
      <c r="B11">
        <v>76.239999999999995</v>
      </c>
      <c r="C11" t="s">
        <v>16</v>
      </c>
      <c r="E11" t="s">
        <v>18</v>
      </c>
      <c r="N11" t="str">
        <f>_xlfn.XLOOKUP(A11,[1]!brca_metabric_clinical_data__2[Patient ID], [1]!brca_metabric_clinical_data__2[Tumor Size])</f>
        <v>34</v>
      </c>
      <c r="O11" t="str">
        <f>_xlfn.XLOOKUP(A11,[1]!brca_metabric_clinical_data__2[Sample ID],[1]!brca_metabric_clinical_data__2[Tumor Stage])</f>
        <v>2</v>
      </c>
    </row>
    <row r="12" spans="1:15" x14ac:dyDescent="0.45">
      <c r="A12" t="s">
        <v>42</v>
      </c>
      <c r="B12">
        <v>86.41</v>
      </c>
      <c r="C12" t="s">
        <v>16</v>
      </c>
      <c r="D12" t="s">
        <v>17</v>
      </c>
      <c r="E12" t="s">
        <v>18</v>
      </c>
      <c r="F12" t="s">
        <v>43</v>
      </c>
      <c r="G12" t="s">
        <v>20</v>
      </c>
      <c r="H12" t="s">
        <v>21</v>
      </c>
      <c r="I12" t="s">
        <v>21</v>
      </c>
      <c r="J12" t="s">
        <v>29</v>
      </c>
      <c r="K12">
        <v>9</v>
      </c>
      <c r="L12">
        <v>36.566666666666698</v>
      </c>
      <c r="M12" t="s">
        <v>30</v>
      </c>
      <c r="N12" t="str">
        <f>_xlfn.XLOOKUP(A12,[1]!brca_metabric_clinical_data__2[Patient ID], [1]!brca_metabric_clinical_data__2[Tumor Size])</f>
        <v>16</v>
      </c>
      <c r="O12" t="str">
        <f>_xlfn.XLOOKUP(A12,[1]!brca_metabric_clinical_data__2[Sample ID],[1]!brca_metabric_clinical_data__2[Tumor Stage])</f>
        <v>2</v>
      </c>
    </row>
    <row r="13" spans="1:15" x14ac:dyDescent="0.45">
      <c r="A13" t="s">
        <v>44</v>
      </c>
      <c r="B13">
        <v>84.22</v>
      </c>
      <c r="C13" t="s">
        <v>16</v>
      </c>
      <c r="D13" t="s">
        <v>17</v>
      </c>
      <c r="E13" t="s">
        <v>37</v>
      </c>
      <c r="F13" t="s">
        <v>35</v>
      </c>
      <c r="G13" t="s">
        <v>20</v>
      </c>
      <c r="H13" t="s">
        <v>20</v>
      </c>
      <c r="I13" t="s">
        <v>20</v>
      </c>
      <c r="J13" t="s">
        <v>45</v>
      </c>
      <c r="K13">
        <v>3</v>
      </c>
      <c r="L13">
        <v>36.266666666666701</v>
      </c>
      <c r="M13" t="s">
        <v>30</v>
      </c>
      <c r="N13" t="str">
        <f>_xlfn.XLOOKUP(A13,[1]!brca_metabric_clinical_data__2[Patient ID], [1]!brca_metabric_clinical_data__2[Tumor Size])</f>
        <v>28</v>
      </c>
      <c r="O13" t="str">
        <f>_xlfn.XLOOKUP(A13,[1]!brca_metabric_clinical_data__2[Sample ID],[1]!brca_metabric_clinical_data__2[Tumor Stage])</f>
        <v>2</v>
      </c>
    </row>
    <row r="14" spans="1:15" x14ac:dyDescent="0.45">
      <c r="A14" t="s">
        <v>46</v>
      </c>
      <c r="B14">
        <v>85.49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21</v>
      </c>
      <c r="J14" t="s">
        <v>27</v>
      </c>
      <c r="K14">
        <v>3</v>
      </c>
      <c r="L14">
        <v>132.03333333333299</v>
      </c>
      <c r="M14" t="s">
        <v>30</v>
      </c>
      <c r="N14" t="str">
        <f>_xlfn.XLOOKUP(A14,[1]!brca_metabric_clinical_data__2[Patient ID], [1]!brca_metabric_clinical_data__2[Tumor Size])</f>
        <v>22</v>
      </c>
      <c r="O14" t="str">
        <f>_xlfn.XLOOKUP(A14,[1]!brca_metabric_clinical_data__2[Sample ID],[1]!brca_metabric_clinical_data__2[Tumor Stage])</f>
        <v>4</v>
      </c>
    </row>
    <row r="15" spans="1:15" x14ac:dyDescent="0.45">
      <c r="A15" t="s">
        <v>47</v>
      </c>
      <c r="B15">
        <v>70.91</v>
      </c>
      <c r="C15" t="s">
        <v>16</v>
      </c>
      <c r="D15" t="s">
        <v>17</v>
      </c>
      <c r="E15" t="s">
        <v>18</v>
      </c>
      <c r="F15" t="s">
        <v>43</v>
      </c>
      <c r="G15" t="s">
        <v>20</v>
      </c>
      <c r="H15" t="s">
        <v>21</v>
      </c>
      <c r="I15" t="s">
        <v>21</v>
      </c>
      <c r="J15" t="s">
        <v>29</v>
      </c>
      <c r="K15" t="s">
        <v>23</v>
      </c>
      <c r="L15">
        <v>163.53333333333299</v>
      </c>
      <c r="M15" t="s">
        <v>24</v>
      </c>
      <c r="N15" t="str">
        <f>_xlfn.XLOOKUP(A15,[1]!brca_metabric_clinical_data__2[Patient ID], [1]!brca_metabric_clinical_data__2[Tumor Size])</f>
        <v>21</v>
      </c>
      <c r="O15" t="str">
        <f>_xlfn.XLOOKUP(A15,[1]!brca_metabric_clinical_data__2[Sample ID],[1]!brca_metabric_clinical_data__2[Tumor Stage])</f>
        <v>1</v>
      </c>
    </row>
    <row r="16" spans="1:15" x14ac:dyDescent="0.45">
      <c r="A16" t="s">
        <v>48</v>
      </c>
      <c r="B16">
        <v>45.27</v>
      </c>
      <c r="C16" t="s">
        <v>16</v>
      </c>
      <c r="D16" t="s">
        <v>26</v>
      </c>
      <c r="E16" t="s">
        <v>37</v>
      </c>
      <c r="F16" t="s">
        <v>19</v>
      </c>
      <c r="G16" t="s">
        <v>21</v>
      </c>
      <c r="H16" t="s">
        <v>20</v>
      </c>
      <c r="I16" t="s">
        <v>21</v>
      </c>
      <c r="J16" t="s">
        <v>22</v>
      </c>
      <c r="K16" t="s">
        <v>39</v>
      </c>
      <c r="L16">
        <v>164.9</v>
      </c>
      <c r="M16" t="s">
        <v>24</v>
      </c>
      <c r="N16" t="str">
        <f>_xlfn.XLOOKUP(A16,[1]!brca_metabric_clinical_data__2[Patient ID], [1]!brca_metabric_clinical_data__2[Tumor Size])</f>
        <v>19</v>
      </c>
      <c r="O16" t="str">
        <f>_xlfn.XLOOKUP(A16,[1]!brca_metabric_clinical_data__2[Sample ID],[1]!brca_metabric_clinical_data__2[Tumor Stage])</f>
        <v>2</v>
      </c>
    </row>
    <row r="17" spans="1:15" x14ac:dyDescent="0.45">
      <c r="A17" t="s">
        <v>49</v>
      </c>
      <c r="B17">
        <v>83.02</v>
      </c>
      <c r="C17" t="s">
        <v>16</v>
      </c>
      <c r="D17" t="s">
        <v>17</v>
      </c>
      <c r="E17" t="s">
        <v>18</v>
      </c>
      <c r="F17" t="s">
        <v>43</v>
      </c>
      <c r="G17" t="s">
        <v>20</v>
      </c>
      <c r="H17" t="s">
        <v>21</v>
      </c>
      <c r="I17" t="s">
        <v>21</v>
      </c>
      <c r="J17" t="s">
        <v>27</v>
      </c>
      <c r="K17">
        <v>5</v>
      </c>
      <c r="L17">
        <v>14.133333333333301</v>
      </c>
      <c r="M17" t="s">
        <v>30</v>
      </c>
      <c r="N17" t="str">
        <f>_xlfn.XLOOKUP(A17,[1]!brca_metabric_clinical_data__2[Patient ID], [1]!brca_metabric_clinical_data__2[Tumor Size])</f>
        <v>36</v>
      </c>
      <c r="O17" t="str">
        <f>_xlfn.XLOOKUP(A17,[1]!brca_metabric_clinical_data__2[Sample ID],[1]!brca_metabric_clinical_data__2[Tumor Stage])</f>
        <v>2</v>
      </c>
    </row>
    <row r="18" spans="1:15" x14ac:dyDescent="0.45">
      <c r="A18" t="s">
        <v>50</v>
      </c>
      <c r="B18">
        <v>51.46</v>
      </c>
      <c r="C18" t="s">
        <v>16</v>
      </c>
      <c r="D18" t="s">
        <v>17</v>
      </c>
      <c r="E18" t="s">
        <v>18</v>
      </c>
      <c r="F18" t="s">
        <v>43</v>
      </c>
      <c r="G18" t="s">
        <v>21</v>
      </c>
      <c r="H18" t="s">
        <v>21</v>
      </c>
      <c r="I18" t="s">
        <v>21</v>
      </c>
      <c r="J18" t="s">
        <v>22</v>
      </c>
      <c r="K18" t="s">
        <v>23</v>
      </c>
      <c r="L18">
        <v>103.833333333333</v>
      </c>
      <c r="M18" t="s">
        <v>24</v>
      </c>
      <c r="N18" t="str">
        <f>_xlfn.XLOOKUP(A18,[1]!brca_metabric_clinical_data__2[Patient ID], [1]!brca_metabric_clinical_data__2[Tumor Size])</f>
        <v>25</v>
      </c>
      <c r="O18" t="str">
        <f>_xlfn.XLOOKUP(A18,[1]!brca_metabric_clinical_data__2[Sample ID],[1]!brca_metabric_clinical_data__2[Tumor Stage])</f>
        <v>2</v>
      </c>
    </row>
    <row r="19" spans="1:15" x14ac:dyDescent="0.45">
      <c r="A19" t="s">
        <v>51</v>
      </c>
      <c r="B19">
        <v>44.64</v>
      </c>
      <c r="C19" t="s">
        <v>16</v>
      </c>
      <c r="D19" t="s">
        <v>26</v>
      </c>
      <c r="E19" t="s">
        <v>18</v>
      </c>
      <c r="F19" t="s">
        <v>19</v>
      </c>
      <c r="G19" t="s">
        <v>21</v>
      </c>
      <c r="H19" t="s">
        <v>21</v>
      </c>
      <c r="I19" t="s">
        <v>21</v>
      </c>
      <c r="J19" t="s">
        <v>38</v>
      </c>
      <c r="K19">
        <v>8</v>
      </c>
      <c r="L19">
        <v>75.3333333333333</v>
      </c>
      <c r="M19" t="s">
        <v>24</v>
      </c>
      <c r="N19" t="str">
        <f>_xlfn.XLOOKUP(A19,[1]!brca_metabric_clinical_data__2[Patient ID], [1]!brca_metabric_clinical_data__2[Tumor Size])</f>
        <v>33</v>
      </c>
      <c r="O19" t="str">
        <f>_xlfn.XLOOKUP(A19,[1]!brca_metabric_clinical_data__2[Sample ID],[1]!brca_metabric_clinical_data__2[Tumor Stage])</f>
        <v>2</v>
      </c>
    </row>
    <row r="20" spans="1:15" x14ac:dyDescent="0.45">
      <c r="A20" t="s">
        <v>52</v>
      </c>
      <c r="B20">
        <v>70.02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21</v>
      </c>
      <c r="J20" t="s">
        <v>29</v>
      </c>
      <c r="K20">
        <v>7</v>
      </c>
      <c r="L20">
        <v>161.066666666667</v>
      </c>
      <c r="M20" t="s">
        <v>24</v>
      </c>
      <c r="N20" t="str">
        <f>_xlfn.XLOOKUP(A20,[1]!brca_metabric_clinical_data__2[Patient ID], [1]!brca_metabric_clinical_data__2[Tumor Size])</f>
        <v>23</v>
      </c>
      <c r="O20" t="str">
        <f>_xlfn.XLOOKUP(A20,[1]!brca_metabric_clinical_data__2[Sample ID],[1]!brca_metabric_clinical_data__2[Tumor Stage])</f>
        <v>2</v>
      </c>
    </row>
    <row r="21" spans="1:15" x14ac:dyDescent="0.45">
      <c r="A21" t="s">
        <v>53</v>
      </c>
      <c r="B21">
        <v>66.91</v>
      </c>
      <c r="C21" t="s">
        <v>16</v>
      </c>
      <c r="D21" t="s">
        <v>17</v>
      </c>
      <c r="E21" t="s">
        <v>18</v>
      </c>
      <c r="F21" t="s">
        <v>43</v>
      </c>
      <c r="G21" t="s">
        <v>20</v>
      </c>
      <c r="H21" t="s">
        <v>21</v>
      </c>
      <c r="I21" t="s">
        <v>21</v>
      </c>
      <c r="J21" t="s">
        <v>29</v>
      </c>
      <c r="K21">
        <v>10</v>
      </c>
      <c r="L21">
        <v>160.30000000000001</v>
      </c>
      <c r="M21" t="s">
        <v>24</v>
      </c>
      <c r="N21" t="str">
        <f>_xlfn.XLOOKUP(A21,[1]!brca_metabric_clinical_data__2[Patient ID], [1]!brca_metabric_clinical_data__2[Tumor Size])</f>
        <v>36</v>
      </c>
      <c r="O21" t="str">
        <f>_xlfn.XLOOKUP(A21,[1]!brca_metabric_clinical_data__2[Sample ID],[1]!brca_metabric_clinical_data__2[Tumor Stage])</f>
        <v>2</v>
      </c>
    </row>
    <row r="22" spans="1:15" x14ac:dyDescent="0.45">
      <c r="A22" t="s">
        <v>54</v>
      </c>
      <c r="B22">
        <v>62.62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20</v>
      </c>
      <c r="J22" t="s">
        <v>29</v>
      </c>
      <c r="K22">
        <v>1</v>
      </c>
      <c r="L22">
        <v>62.866666666666703</v>
      </c>
      <c r="M22" t="s">
        <v>24</v>
      </c>
      <c r="N22" t="str">
        <f>_xlfn.XLOOKUP(A22,[1]!brca_metabric_clinical_data__2[Patient ID], [1]!brca_metabric_clinical_data__2[Tumor Size])</f>
        <v>29</v>
      </c>
      <c r="O22" t="str">
        <f>_xlfn.XLOOKUP(A22,[1]!brca_metabric_clinical_data__2[Sample ID],[1]!brca_metabric_clinical_data__2[Tumor Stage])</f>
        <v>1</v>
      </c>
    </row>
    <row r="23" spans="1:15" x14ac:dyDescent="0.45">
      <c r="A23" t="s">
        <v>55</v>
      </c>
      <c r="B23">
        <v>75.58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t="s">
        <v>21</v>
      </c>
      <c r="J23" t="s">
        <v>27</v>
      </c>
      <c r="K23">
        <v>8</v>
      </c>
      <c r="L23">
        <v>160.9</v>
      </c>
      <c r="M23" t="s">
        <v>24</v>
      </c>
      <c r="N23" t="str">
        <f>_xlfn.XLOOKUP(A23,[1]!brca_metabric_clinical_data__2[Patient ID], [1]!brca_metabric_clinical_data__2[Tumor Size])</f>
        <v>17</v>
      </c>
      <c r="O23" t="str">
        <f>_xlfn.XLOOKUP(A23,[1]!brca_metabric_clinical_data__2[Sample ID],[1]!brca_metabric_clinical_data__2[Tumor Stage])</f>
        <v>1</v>
      </c>
    </row>
    <row r="24" spans="1:15" x14ac:dyDescent="0.45">
      <c r="A24" t="s">
        <v>56</v>
      </c>
      <c r="B24">
        <v>45.43</v>
      </c>
      <c r="C24" t="s">
        <v>16</v>
      </c>
      <c r="D24" t="s">
        <v>26</v>
      </c>
      <c r="E24" t="s">
        <v>18</v>
      </c>
      <c r="F24" t="s">
        <v>19</v>
      </c>
      <c r="G24" t="s">
        <v>21</v>
      </c>
      <c r="H24" t="s">
        <v>21</v>
      </c>
      <c r="I24" t="s">
        <v>21</v>
      </c>
      <c r="J24" t="s">
        <v>29</v>
      </c>
      <c r="K24">
        <v>10</v>
      </c>
      <c r="L24">
        <v>140.86666666666699</v>
      </c>
      <c r="M24" t="s">
        <v>24</v>
      </c>
      <c r="N24" t="str">
        <f>_xlfn.XLOOKUP(A24,[1]!brca_metabric_clinical_data__2[Patient ID], [1]!brca_metabric_clinical_data__2[Tumor Size])</f>
        <v>23</v>
      </c>
      <c r="O24" t="str">
        <f>_xlfn.XLOOKUP(A24,[1]!brca_metabric_clinical_data__2[Sample ID],[1]!brca_metabric_clinical_data__2[Tumor Stage])</f>
        <v>2</v>
      </c>
    </row>
    <row r="25" spans="1:15" x14ac:dyDescent="0.45">
      <c r="A25" t="s">
        <v>57</v>
      </c>
      <c r="B25">
        <v>52.14</v>
      </c>
      <c r="C25" t="s">
        <v>16</v>
      </c>
      <c r="D25" t="s">
        <v>17</v>
      </c>
      <c r="E25" t="s">
        <v>37</v>
      </c>
      <c r="F25" t="s">
        <v>19</v>
      </c>
      <c r="G25" t="s">
        <v>21</v>
      </c>
      <c r="H25" t="s">
        <v>20</v>
      </c>
      <c r="I25" t="s">
        <v>21</v>
      </c>
      <c r="J25" t="s">
        <v>58</v>
      </c>
      <c r="K25">
        <v>10</v>
      </c>
      <c r="L25">
        <v>153.96666666666701</v>
      </c>
      <c r="M25" t="s">
        <v>24</v>
      </c>
      <c r="N25" t="str">
        <f>_xlfn.XLOOKUP(A25,[1]!brca_metabric_clinical_data__2[Patient ID], [1]!brca_metabric_clinical_data__2[Tumor Size])</f>
        <v>17</v>
      </c>
      <c r="O25" t="str">
        <f>_xlfn.XLOOKUP(A25,[1]!brca_metabric_clinical_data__2[Sample ID],[1]!brca_metabric_clinical_data__2[Tumor Stage])</f>
        <v>1</v>
      </c>
    </row>
    <row r="26" spans="1:15" x14ac:dyDescent="0.45">
      <c r="A26" t="s">
        <v>59</v>
      </c>
      <c r="B26">
        <v>69.13</v>
      </c>
      <c r="C26" t="s">
        <v>16</v>
      </c>
      <c r="D26" t="s">
        <v>17</v>
      </c>
      <c r="E26" t="s">
        <v>18</v>
      </c>
      <c r="F26" t="s">
        <v>43</v>
      </c>
      <c r="G26" t="s">
        <v>20</v>
      </c>
      <c r="H26" t="s">
        <v>21</v>
      </c>
      <c r="I26" t="s">
        <v>20</v>
      </c>
      <c r="J26" t="s">
        <v>29</v>
      </c>
      <c r="K26">
        <v>3</v>
      </c>
      <c r="L26">
        <v>108.933333333333</v>
      </c>
      <c r="M26" t="s">
        <v>24</v>
      </c>
      <c r="N26" t="str">
        <f>_xlfn.XLOOKUP(A26,[1]!brca_metabric_clinical_data__2[Patient ID], [1]!brca_metabric_clinical_data__2[Tumor Size])</f>
        <v>18</v>
      </c>
      <c r="O26" t="str">
        <f>_xlfn.XLOOKUP(A26,[1]!brca_metabric_clinical_data__2[Sample ID],[1]!brca_metabric_clinical_data__2[Tumor Stage])</f>
        <v>1</v>
      </c>
    </row>
    <row r="27" spans="1:15" x14ac:dyDescent="0.45">
      <c r="A27" t="s">
        <v>60</v>
      </c>
      <c r="B27">
        <v>61.49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21</v>
      </c>
      <c r="J27" t="s">
        <v>29</v>
      </c>
      <c r="K27">
        <v>7</v>
      </c>
      <c r="L27">
        <v>157.433333333333</v>
      </c>
      <c r="M27" t="s">
        <v>24</v>
      </c>
      <c r="N27" t="str">
        <f>_xlfn.XLOOKUP(A27,[1]!brca_metabric_clinical_data__2[Patient ID], [1]!brca_metabric_clinical_data__2[Tumor Size])</f>
        <v>16</v>
      </c>
      <c r="O27" t="str">
        <f>_xlfn.XLOOKUP(A27,[1]!brca_metabric_clinical_data__2[Sample ID],[1]!brca_metabric_clinical_data__2[Tumor Stage])</f>
        <v>2</v>
      </c>
    </row>
    <row r="28" spans="1:15" x14ac:dyDescent="0.45">
      <c r="A28" t="s">
        <v>61</v>
      </c>
      <c r="B28">
        <v>51.01</v>
      </c>
      <c r="C28" t="s">
        <v>16</v>
      </c>
      <c r="D28" t="s">
        <v>17</v>
      </c>
      <c r="E28" t="s">
        <v>18</v>
      </c>
      <c r="F28" t="s">
        <v>35</v>
      </c>
      <c r="G28" t="s">
        <v>20</v>
      </c>
      <c r="H28" t="s">
        <v>21</v>
      </c>
      <c r="I28" t="s">
        <v>21</v>
      </c>
      <c r="J28" t="s">
        <v>27</v>
      </c>
      <c r="K28">
        <v>3</v>
      </c>
      <c r="L28">
        <v>103.133333333333</v>
      </c>
      <c r="M28" t="s">
        <v>24</v>
      </c>
      <c r="N28" t="str">
        <f>_xlfn.XLOOKUP(A28,[1]!brca_metabric_clinical_data__2[Patient ID], [1]!brca_metabric_clinical_data__2[Tumor Size])</f>
        <v>12</v>
      </c>
      <c r="O28" t="str">
        <f>_xlfn.XLOOKUP(A28,[1]!brca_metabric_clinical_data__2[Sample ID],[1]!brca_metabric_clinical_data__2[Tumor Stage])</f>
        <v>2</v>
      </c>
    </row>
    <row r="29" spans="1:15" x14ac:dyDescent="0.45">
      <c r="A29" t="s">
        <v>62</v>
      </c>
      <c r="B29">
        <v>68.42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21</v>
      </c>
      <c r="I29" t="s">
        <v>21</v>
      </c>
      <c r="J29" t="s">
        <v>29</v>
      </c>
      <c r="K29">
        <v>8</v>
      </c>
      <c r="L29">
        <v>131</v>
      </c>
      <c r="M29" t="s">
        <v>30</v>
      </c>
      <c r="N29" t="str">
        <f>_xlfn.XLOOKUP(A29,[1]!brca_metabric_clinical_data__2[Patient ID], [1]!brca_metabric_clinical_data__2[Tumor Size])</f>
        <v>50</v>
      </c>
      <c r="O29" t="str">
        <f>_xlfn.XLOOKUP(A29,[1]!brca_metabric_clinical_data__2[Sample ID],[1]!brca_metabric_clinical_data__2[Tumor Stage])</f>
        <v>2</v>
      </c>
    </row>
    <row r="30" spans="1:15" x14ac:dyDescent="0.45">
      <c r="A30" t="s">
        <v>63</v>
      </c>
      <c r="B30">
        <v>50.42</v>
      </c>
      <c r="C30" t="s">
        <v>16</v>
      </c>
      <c r="D30" t="s">
        <v>17</v>
      </c>
      <c r="E30" t="s">
        <v>37</v>
      </c>
      <c r="F30" t="s">
        <v>19</v>
      </c>
      <c r="G30" t="s">
        <v>21</v>
      </c>
      <c r="H30" t="s">
        <v>20</v>
      </c>
      <c r="I30" t="s">
        <v>21</v>
      </c>
      <c r="J30" t="s">
        <v>45</v>
      </c>
      <c r="K30">
        <v>10</v>
      </c>
      <c r="L30">
        <v>28.5</v>
      </c>
      <c r="M30" t="s">
        <v>30</v>
      </c>
      <c r="N30" t="str">
        <f>_xlfn.XLOOKUP(A30,[1]!brca_metabric_clinical_data__2[Patient ID], [1]!brca_metabric_clinical_data__2[Tumor Size])</f>
        <v>40</v>
      </c>
      <c r="O30" t="str">
        <f>_xlfn.XLOOKUP(A30,[1]!brca_metabric_clinical_data__2[Sample ID],[1]!brca_metabric_clinical_data__2[Tumor Stage])</f>
        <v>2</v>
      </c>
    </row>
    <row r="31" spans="1:15" x14ac:dyDescent="0.45">
      <c r="A31" t="s">
        <v>64</v>
      </c>
      <c r="B31">
        <v>49.61</v>
      </c>
      <c r="C31" t="s">
        <v>16</v>
      </c>
      <c r="D31" t="s">
        <v>26</v>
      </c>
      <c r="E31" t="s">
        <v>18</v>
      </c>
      <c r="F31" t="s">
        <v>19</v>
      </c>
      <c r="G31" t="s">
        <v>20</v>
      </c>
      <c r="H31" t="s">
        <v>21</v>
      </c>
      <c r="I31" t="s">
        <v>21</v>
      </c>
      <c r="J31" t="s">
        <v>22</v>
      </c>
      <c r="K31">
        <v>3</v>
      </c>
      <c r="L31">
        <v>69.5</v>
      </c>
      <c r="M31" t="s">
        <v>24</v>
      </c>
      <c r="N31" t="str">
        <f>_xlfn.XLOOKUP(A31,[1]!brca_metabric_clinical_data__2[Patient ID], [1]!brca_metabric_clinical_data__2[Tumor Size])</f>
        <v>24</v>
      </c>
      <c r="O31" t="str">
        <f>_xlfn.XLOOKUP(A31,[1]!brca_metabric_clinical_data__2[Sample ID],[1]!brca_metabric_clinical_data__2[Tumor Stage])</f>
        <v>2</v>
      </c>
    </row>
    <row r="32" spans="1:15" x14ac:dyDescent="0.45">
      <c r="A32" t="s">
        <v>65</v>
      </c>
      <c r="B32">
        <v>64.849999999999994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  <c r="I32" t="s">
        <v>21</v>
      </c>
      <c r="J32" t="s">
        <v>29</v>
      </c>
      <c r="K32">
        <v>2</v>
      </c>
      <c r="L32">
        <v>86.066666666666706</v>
      </c>
      <c r="M32" t="s">
        <v>30</v>
      </c>
      <c r="N32" t="str">
        <f>_xlfn.XLOOKUP(A32,[1]!brca_metabric_clinical_data__2[Patient ID], [1]!brca_metabric_clinical_data__2[Tumor Size])</f>
        <v>13</v>
      </c>
      <c r="O32" t="str">
        <f>_xlfn.XLOOKUP(A32,[1]!brca_metabric_clinical_data__2[Sample ID],[1]!brca_metabric_clinical_data__2[Tumor Stage])</f>
        <v>1</v>
      </c>
    </row>
    <row r="33" spans="1:15" x14ac:dyDescent="0.45">
      <c r="A33" t="s">
        <v>66</v>
      </c>
      <c r="B33">
        <v>43.55</v>
      </c>
      <c r="C33" t="s">
        <v>16</v>
      </c>
      <c r="D33" t="s">
        <v>26</v>
      </c>
      <c r="E33" t="s">
        <v>18</v>
      </c>
      <c r="F33" t="s">
        <v>19</v>
      </c>
      <c r="G33" t="s">
        <v>20</v>
      </c>
      <c r="H33" t="s">
        <v>21</v>
      </c>
      <c r="I33" t="s">
        <v>21</v>
      </c>
      <c r="J33" t="s">
        <v>29</v>
      </c>
      <c r="K33">
        <v>3</v>
      </c>
      <c r="L33">
        <v>153.19999999999999</v>
      </c>
      <c r="M33" t="s">
        <v>24</v>
      </c>
      <c r="N33" t="str">
        <f>_xlfn.XLOOKUP(A33,[1]!brca_metabric_clinical_data__2[Patient ID], [1]!brca_metabric_clinical_data__2[Tumor Size])</f>
        <v>14</v>
      </c>
      <c r="O33" t="str">
        <f>_xlfn.XLOOKUP(A33,[1]!brca_metabric_clinical_data__2[Sample ID],[1]!brca_metabric_clinical_data__2[Tumor Stage])</f>
        <v>2</v>
      </c>
    </row>
    <row r="34" spans="1:15" x14ac:dyDescent="0.45">
      <c r="A34" t="s">
        <v>67</v>
      </c>
      <c r="B34">
        <v>80.5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21</v>
      </c>
      <c r="I34" t="s">
        <v>21</v>
      </c>
      <c r="J34" t="s">
        <v>29</v>
      </c>
      <c r="K34">
        <v>8</v>
      </c>
      <c r="L34">
        <v>49.766666666666701</v>
      </c>
      <c r="M34" t="s">
        <v>30</v>
      </c>
      <c r="N34" t="str">
        <f>_xlfn.XLOOKUP(A34,[1]!brca_metabric_clinical_data__2[Patient ID], [1]!brca_metabric_clinical_data__2[Tumor Size])</f>
        <v>55</v>
      </c>
      <c r="O34" t="str">
        <f>_xlfn.XLOOKUP(A34,[1]!brca_metabric_clinical_data__2[Sample ID],[1]!brca_metabric_clinical_data__2[Tumor Stage])</f>
        <v>3</v>
      </c>
    </row>
    <row r="35" spans="1:15" x14ac:dyDescent="0.45">
      <c r="A35" t="s">
        <v>68</v>
      </c>
      <c r="B35">
        <v>78.19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  <c r="I35" t="s">
        <v>21</v>
      </c>
      <c r="J35" t="s">
        <v>27</v>
      </c>
      <c r="K35">
        <v>8</v>
      </c>
      <c r="L35">
        <v>98.7</v>
      </c>
      <c r="M35" t="s">
        <v>24</v>
      </c>
      <c r="N35" t="str">
        <f>_xlfn.XLOOKUP(A35,[1]!brca_metabric_clinical_data__2[Patient ID], [1]!brca_metabric_clinical_data__2[Tumor Size])</f>
        <v>30</v>
      </c>
      <c r="O35" t="str">
        <f>_xlfn.XLOOKUP(A35,[1]!brca_metabric_clinical_data__2[Sample ID],[1]!brca_metabric_clinical_data__2[Tumor Stage])</f>
        <v>2</v>
      </c>
    </row>
    <row r="36" spans="1:15" x14ac:dyDescent="0.45">
      <c r="A36" t="s">
        <v>69</v>
      </c>
      <c r="B36">
        <v>51.58</v>
      </c>
      <c r="C36" t="s">
        <v>16</v>
      </c>
      <c r="D36" t="s">
        <v>17</v>
      </c>
      <c r="E36" t="s">
        <v>18</v>
      </c>
      <c r="F36" t="s">
        <v>35</v>
      </c>
      <c r="G36" t="s">
        <v>21</v>
      </c>
      <c r="H36" t="s">
        <v>21</v>
      </c>
      <c r="I36" t="s">
        <v>21</v>
      </c>
      <c r="J36" t="s">
        <v>29</v>
      </c>
      <c r="K36" t="s">
        <v>23</v>
      </c>
      <c r="L36">
        <v>132.1</v>
      </c>
      <c r="M36" t="s">
        <v>30</v>
      </c>
      <c r="N36" t="str">
        <f>_xlfn.XLOOKUP(A36,[1]!brca_metabric_clinical_data__2[Patient ID], [1]!brca_metabric_clinical_data__2[Tumor Size])</f>
        <v>21</v>
      </c>
      <c r="O36" t="str">
        <f>_xlfn.XLOOKUP(A36,[1]!brca_metabric_clinical_data__2[Sample ID],[1]!brca_metabric_clinical_data__2[Tumor Stage])</f>
        <v>2</v>
      </c>
    </row>
    <row r="37" spans="1:15" x14ac:dyDescent="0.45">
      <c r="A37" t="s">
        <v>70</v>
      </c>
      <c r="B37">
        <v>68.680000000000007</v>
      </c>
      <c r="C37" t="s">
        <v>16</v>
      </c>
      <c r="D37" t="s">
        <v>17</v>
      </c>
      <c r="E37" t="s">
        <v>37</v>
      </c>
      <c r="F37" t="s">
        <v>19</v>
      </c>
      <c r="G37" t="s">
        <v>21</v>
      </c>
      <c r="H37" t="s">
        <v>20</v>
      </c>
      <c r="I37" t="s">
        <v>21</v>
      </c>
      <c r="J37" t="s">
        <v>58</v>
      </c>
      <c r="K37">
        <v>10</v>
      </c>
      <c r="L37">
        <v>8.06666666666667</v>
      </c>
      <c r="M37" t="s">
        <v>30</v>
      </c>
      <c r="N37" t="str">
        <f>_xlfn.XLOOKUP(A37,[1]!brca_metabric_clinical_data__2[Patient ID], [1]!brca_metabric_clinical_data__2[Tumor Size])</f>
        <v>39</v>
      </c>
      <c r="O37" t="str">
        <f>_xlfn.XLOOKUP(A37,[1]!brca_metabric_clinical_data__2[Sample ID],[1]!brca_metabric_clinical_data__2[Tumor Stage])</f>
        <v>2</v>
      </c>
    </row>
    <row r="38" spans="1:15" x14ac:dyDescent="0.45">
      <c r="A38" t="s">
        <v>71</v>
      </c>
      <c r="B38">
        <v>46.89</v>
      </c>
      <c r="C38" t="s">
        <v>16</v>
      </c>
      <c r="D38" t="s">
        <v>26</v>
      </c>
      <c r="E38" t="s">
        <v>18</v>
      </c>
      <c r="F38" t="s">
        <v>19</v>
      </c>
      <c r="G38" t="s">
        <v>20</v>
      </c>
      <c r="H38" t="s">
        <v>21</v>
      </c>
      <c r="I38" t="s">
        <v>21</v>
      </c>
      <c r="J38" t="s">
        <v>38</v>
      </c>
      <c r="K38">
        <v>8</v>
      </c>
      <c r="L38">
        <v>148.03333333333299</v>
      </c>
      <c r="M38" t="s">
        <v>24</v>
      </c>
      <c r="N38" t="str">
        <f>_xlfn.XLOOKUP(A38,[1]!brca_metabric_clinical_data__2[Patient ID], [1]!brca_metabric_clinical_data__2[Tumor Size])</f>
        <v>34</v>
      </c>
      <c r="O38" t="str">
        <f>_xlfn.XLOOKUP(A38,[1]!brca_metabric_clinical_data__2[Sample ID],[1]!brca_metabric_clinical_data__2[Tumor Stage])</f>
        <v>2</v>
      </c>
    </row>
    <row r="39" spans="1:15" x14ac:dyDescent="0.45">
      <c r="A39" t="s">
        <v>72</v>
      </c>
      <c r="B39">
        <v>51.38</v>
      </c>
      <c r="C39" t="s">
        <v>16</v>
      </c>
      <c r="D39" t="s">
        <v>17</v>
      </c>
      <c r="E39" t="s">
        <v>18</v>
      </c>
      <c r="F39" t="s">
        <v>19</v>
      </c>
      <c r="G39" t="s">
        <v>21</v>
      </c>
      <c r="H39" t="s">
        <v>21</v>
      </c>
      <c r="I39" t="s">
        <v>21</v>
      </c>
      <c r="J39" t="s">
        <v>29</v>
      </c>
      <c r="K39">
        <v>3</v>
      </c>
      <c r="L39">
        <v>140.76666666666699</v>
      </c>
      <c r="M39" t="s">
        <v>30</v>
      </c>
      <c r="N39" t="str">
        <f>_xlfn.XLOOKUP(A39,[1]!brca_metabric_clinical_data__2[Patient ID], [1]!brca_metabric_clinical_data__2[Tumor Size])</f>
        <v>40</v>
      </c>
      <c r="O39" t="str">
        <f>_xlfn.XLOOKUP(A39,[1]!brca_metabric_clinical_data__2[Sample ID],[1]!brca_metabric_clinical_data__2[Tumor Stage])</f>
        <v>2</v>
      </c>
    </row>
    <row r="40" spans="1:15" x14ac:dyDescent="0.45">
      <c r="A40" t="s">
        <v>73</v>
      </c>
      <c r="B40">
        <v>49.87</v>
      </c>
      <c r="C40" t="s">
        <v>16</v>
      </c>
      <c r="D40" t="s">
        <v>26</v>
      </c>
      <c r="E40" t="s">
        <v>18</v>
      </c>
      <c r="F40" t="s">
        <v>19</v>
      </c>
      <c r="G40" t="s">
        <v>21</v>
      </c>
      <c r="H40" t="s">
        <v>21</v>
      </c>
      <c r="I40" t="s">
        <v>21</v>
      </c>
      <c r="J40" t="s">
        <v>27</v>
      </c>
      <c r="K40">
        <v>8</v>
      </c>
      <c r="L40">
        <v>85.3333333333333</v>
      </c>
      <c r="M40" t="s">
        <v>24</v>
      </c>
      <c r="N40" t="str">
        <f>_xlfn.XLOOKUP(A40,[1]!brca_metabric_clinical_data__2[Patient ID], [1]!brca_metabric_clinical_data__2[Tumor Size])</f>
        <v>70</v>
      </c>
      <c r="O40" t="str">
        <f>_xlfn.XLOOKUP(A40,[1]!brca_metabric_clinical_data__2[Sample ID],[1]!brca_metabric_clinical_data__2[Tumor Stage])</f>
        <v>3</v>
      </c>
    </row>
    <row r="41" spans="1:15" x14ac:dyDescent="0.45">
      <c r="A41" t="s">
        <v>74</v>
      </c>
      <c r="B41">
        <v>65.59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t="s">
        <v>20</v>
      </c>
      <c r="J41" t="s">
        <v>29</v>
      </c>
      <c r="K41">
        <v>1</v>
      </c>
      <c r="L41">
        <v>158.03333333333299</v>
      </c>
      <c r="M41" t="s">
        <v>24</v>
      </c>
      <c r="N41" t="str">
        <f>_xlfn.XLOOKUP(A41,[1]!brca_metabric_clinical_data__2[Patient ID], [1]!brca_metabric_clinical_data__2[Tumor Size])</f>
        <v>18</v>
      </c>
      <c r="O41" t="str">
        <f>_xlfn.XLOOKUP(A41,[1]!brca_metabric_clinical_data__2[Sample ID],[1]!brca_metabric_clinical_data__2[Tumor Stage])</f>
        <v>2</v>
      </c>
    </row>
    <row r="42" spans="1:15" x14ac:dyDescent="0.45">
      <c r="A42" t="s">
        <v>75</v>
      </c>
      <c r="B42">
        <v>43.15</v>
      </c>
      <c r="C42" t="s">
        <v>16</v>
      </c>
      <c r="D42" t="s">
        <v>26</v>
      </c>
      <c r="E42" t="s">
        <v>18</v>
      </c>
      <c r="F42" t="s">
        <v>19</v>
      </c>
      <c r="G42" t="s">
        <v>21</v>
      </c>
      <c r="H42" t="s">
        <v>21</v>
      </c>
      <c r="I42" t="s">
        <v>21</v>
      </c>
      <c r="J42" t="s">
        <v>22</v>
      </c>
      <c r="K42" t="s">
        <v>23</v>
      </c>
      <c r="L42">
        <v>42.7</v>
      </c>
      <c r="M42" t="s">
        <v>30</v>
      </c>
      <c r="N42" t="str">
        <f>_xlfn.XLOOKUP(A42,[1]!brca_metabric_clinical_data__2[Patient ID], [1]!brca_metabric_clinical_data__2[Tumor Size])</f>
        <v>18</v>
      </c>
      <c r="O42" t="str">
        <f>_xlfn.XLOOKUP(A42,[1]!brca_metabric_clinical_data__2[Sample ID],[1]!brca_metabric_clinical_data__2[Tumor Stage])</f>
        <v>1</v>
      </c>
    </row>
    <row r="43" spans="1:15" x14ac:dyDescent="0.45">
      <c r="A43" t="s">
        <v>76</v>
      </c>
      <c r="B43">
        <v>82.53</v>
      </c>
      <c r="C43" t="s">
        <v>16</v>
      </c>
      <c r="D43" t="s">
        <v>17</v>
      </c>
      <c r="E43" t="s">
        <v>18</v>
      </c>
      <c r="F43" t="s">
        <v>43</v>
      </c>
      <c r="G43" t="s">
        <v>20</v>
      </c>
      <c r="H43" t="s">
        <v>20</v>
      </c>
      <c r="I43" t="s">
        <v>20</v>
      </c>
      <c r="J43" t="s">
        <v>58</v>
      </c>
      <c r="K43">
        <v>9</v>
      </c>
      <c r="L43">
        <v>112.4</v>
      </c>
      <c r="M43" t="s">
        <v>30</v>
      </c>
      <c r="N43" t="str">
        <f>_xlfn.XLOOKUP(A43,[1]!brca_metabric_clinical_data__2[Patient ID], [1]!brca_metabric_clinical_data__2[Tumor Size])</f>
        <v>45</v>
      </c>
      <c r="O43" t="str">
        <f>_xlfn.XLOOKUP(A43,[1]!brca_metabric_clinical_data__2[Sample ID],[1]!brca_metabric_clinical_data__2[Tumor Stage])</f>
        <v>2</v>
      </c>
    </row>
    <row r="44" spans="1:15" x14ac:dyDescent="0.45">
      <c r="A44" t="s">
        <v>77</v>
      </c>
      <c r="B44">
        <v>45.73</v>
      </c>
      <c r="C44" t="s">
        <v>16</v>
      </c>
      <c r="D44" t="s">
        <v>26</v>
      </c>
      <c r="F44" t="s">
        <v>19</v>
      </c>
      <c r="G44" t="s">
        <v>20</v>
      </c>
      <c r="H44" t="s">
        <v>20</v>
      </c>
      <c r="I44" t="s">
        <v>20</v>
      </c>
      <c r="J44" t="s">
        <v>22</v>
      </c>
      <c r="K44">
        <v>3</v>
      </c>
      <c r="L44">
        <v>157.5</v>
      </c>
      <c r="M44" t="s">
        <v>24</v>
      </c>
      <c r="N44" t="str">
        <f>_xlfn.XLOOKUP(A44,[1]!brca_metabric_clinical_data__2[Patient ID], [1]!brca_metabric_clinical_data__2[Tumor Size])</f>
        <v>70</v>
      </c>
      <c r="O44" t="str">
        <f>_xlfn.XLOOKUP(A44,[1]!brca_metabric_clinical_data__2[Sample ID],[1]!brca_metabric_clinical_data__2[Tumor Stage])</f>
        <v>0</v>
      </c>
    </row>
    <row r="45" spans="1:15" x14ac:dyDescent="0.45">
      <c r="A45" t="s">
        <v>78</v>
      </c>
      <c r="B45">
        <v>54.23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I45" t="s">
        <v>20</v>
      </c>
      <c r="J45" t="s">
        <v>27</v>
      </c>
      <c r="K45">
        <v>3</v>
      </c>
      <c r="L45">
        <v>127.1</v>
      </c>
      <c r="M45" t="s">
        <v>24</v>
      </c>
      <c r="N45" t="str">
        <f>_xlfn.XLOOKUP(A45,[1]!brca_metabric_clinical_data__2[Patient ID], [1]!brca_metabric_clinical_data__2[Tumor Size])</f>
        <v>27</v>
      </c>
      <c r="O45" t="str">
        <f>_xlfn.XLOOKUP(A45,[1]!brca_metabric_clinical_data__2[Sample ID],[1]!brca_metabric_clinical_data__2[Tumor Stage])</f>
        <v>2</v>
      </c>
    </row>
    <row r="46" spans="1:15" x14ac:dyDescent="0.45">
      <c r="A46" t="s">
        <v>79</v>
      </c>
      <c r="B46">
        <v>83.89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  <c r="I46" t="s">
        <v>21</v>
      </c>
      <c r="J46" t="s">
        <v>27</v>
      </c>
      <c r="K46">
        <v>3</v>
      </c>
      <c r="L46">
        <v>39.1666666666667</v>
      </c>
      <c r="M46" t="s">
        <v>30</v>
      </c>
      <c r="N46" t="str">
        <f>_xlfn.XLOOKUP(A46,[1]!brca_metabric_clinical_data__2[Patient ID], [1]!brca_metabric_clinical_data__2[Tumor Size])</f>
        <v>150</v>
      </c>
      <c r="O46" t="str">
        <f>_xlfn.XLOOKUP(A46,[1]!brca_metabric_clinical_data__2[Sample ID],[1]!brca_metabric_clinical_data__2[Tumor Stage])</f>
        <v>3</v>
      </c>
    </row>
    <row r="47" spans="1:15" x14ac:dyDescent="0.45">
      <c r="A47" t="s">
        <v>80</v>
      </c>
      <c r="B47">
        <v>36.96</v>
      </c>
      <c r="C47" t="s">
        <v>16</v>
      </c>
      <c r="D47" t="s">
        <v>26</v>
      </c>
      <c r="E47" t="s">
        <v>18</v>
      </c>
      <c r="F47" t="s">
        <v>43</v>
      </c>
      <c r="G47" t="s">
        <v>21</v>
      </c>
      <c r="H47" t="s">
        <v>21</v>
      </c>
      <c r="I47" t="s">
        <v>21</v>
      </c>
      <c r="J47" t="s">
        <v>45</v>
      </c>
      <c r="K47">
        <v>5</v>
      </c>
      <c r="L47">
        <v>43.1666666666667</v>
      </c>
      <c r="M47" t="s">
        <v>24</v>
      </c>
      <c r="N47" t="str">
        <f>_xlfn.XLOOKUP(A47,[1]!brca_metabric_clinical_data__2[Patient ID], [1]!brca_metabric_clinical_data__2[Tumor Size])</f>
        <v>17</v>
      </c>
      <c r="O47" t="str">
        <f>_xlfn.XLOOKUP(A47,[1]!brca_metabric_clinical_data__2[Sample ID],[1]!brca_metabric_clinical_data__2[Tumor Stage])</f>
        <v>2</v>
      </c>
    </row>
    <row r="48" spans="1:15" x14ac:dyDescent="0.45">
      <c r="A48" t="s">
        <v>81</v>
      </c>
      <c r="B48">
        <v>48.59</v>
      </c>
      <c r="C48" t="s">
        <v>16</v>
      </c>
      <c r="D48" t="s">
        <v>26</v>
      </c>
      <c r="E48" t="s">
        <v>18</v>
      </c>
      <c r="F48" t="s">
        <v>19</v>
      </c>
      <c r="G48" t="s">
        <v>20</v>
      </c>
      <c r="H48" t="s">
        <v>21</v>
      </c>
      <c r="I48" t="s">
        <v>20</v>
      </c>
      <c r="J48" t="s">
        <v>27</v>
      </c>
      <c r="K48">
        <v>8</v>
      </c>
      <c r="L48">
        <v>13.4</v>
      </c>
      <c r="M48" t="s">
        <v>24</v>
      </c>
      <c r="N48" t="str">
        <f>_xlfn.XLOOKUP(A48,[1]!brca_metabric_clinical_data__2[Patient ID], [1]!brca_metabric_clinical_data__2[Tumor Size])</f>
        <v>30</v>
      </c>
      <c r="O48" t="str">
        <f>_xlfn.XLOOKUP(A48,[1]!brca_metabric_clinical_data__2[Sample ID],[1]!brca_metabric_clinical_data__2[Tumor Stage])</f>
        <v>2</v>
      </c>
    </row>
    <row r="49" spans="1:15" x14ac:dyDescent="0.45">
      <c r="A49" t="s">
        <v>82</v>
      </c>
      <c r="B49">
        <v>39.840000000000003</v>
      </c>
      <c r="C49" t="s">
        <v>16</v>
      </c>
      <c r="D49" t="s">
        <v>26</v>
      </c>
      <c r="E49" t="s">
        <v>37</v>
      </c>
      <c r="F49" t="s">
        <v>19</v>
      </c>
      <c r="G49" t="s">
        <v>21</v>
      </c>
      <c r="H49" t="s">
        <v>20</v>
      </c>
      <c r="I49" t="s">
        <v>21</v>
      </c>
      <c r="J49" t="s">
        <v>58</v>
      </c>
      <c r="K49">
        <v>10</v>
      </c>
      <c r="L49">
        <v>66.733333333333306</v>
      </c>
      <c r="M49" t="s">
        <v>30</v>
      </c>
      <c r="N49" t="str">
        <f>_xlfn.XLOOKUP(A49,[1]!brca_metabric_clinical_data__2[Patient ID], [1]!brca_metabric_clinical_data__2[Tumor Size])</f>
        <v>25</v>
      </c>
      <c r="O49" t="str">
        <f>_xlfn.XLOOKUP(A49,[1]!brca_metabric_clinical_data__2[Sample ID],[1]!brca_metabric_clinical_data__2[Tumor Stage])</f>
        <v>2</v>
      </c>
    </row>
    <row r="50" spans="1:15" x14ac:dyDescent="0.45">
      <c r="A50" t="s">
        <v>83</v>
      </c>
      <c r="B50">
        <v>42.55</v>
      </c>
      <c r="C50" t="s">
        <v>16</v>
      </c>
      <c r="D50" t="s">
        <v>26</v>
      </c>
      <c r="E50" t="s">
        <v>18</v>
      </c>
      <c r="F50" t="s">
        <v>19</v>
      </c>
      <c r="G50" t="s">
        <v>21</v>
      </c>
      <c r="H50" t="s">
        <v>21</v>
      </c>
      <c r="I50" t="s">
        <v>21</v>
      </c>
      <c r="J50" t="s">
        <v>38</v>
      </c>
      <c r="K50">
        <v>6</v>
      </c>
      <c r="L50">
        <v>122.26666666666701</v>
      </c>
      <c r="M50" t="s">
        <v>24</v>
      </c>
      <c r="N50" t="str">
        <f>_xlfn.XLOOKUP(A50,[1]!brca_metabric_clinical_data__2[Patient ID], [1]!brca_metabric_clinical_data__2[Tumor Size])</f>
        <v>60</v>
      </c>
      <c r="O50" t="str">
        <f>_xlfn.XLOOKUP(A50,[1]!brca_metabric_clinical_data__2[Sample ID],[1]!brca_metabric_clinical_data__2[Tumor Stage])</f>
        <v>3</v>
      </c>
    </row>
    <row r="51" spans="1:15" x14ac:dyDescent="0.45">
      <c r="A51" t="s">
        <v>84</v>
      </c>
      <c r="B51">
        <v>60.07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 t="s">
        <v>21</v>
      </c>
      <c r="I51" t="s">
        <v>21</v>
      </c>
      <c r="J51" t="s">
        <v>27</v>
      </c>
      <c r="K51">
        <v>1</v>
      </c>
      <c r="L51">
        <v>2.4</v>
      </c>
      <c r="M51" t="s">
        <v>24</v>
      </c>
      <c r="N51" t="str">
        <f>_xlfn.XLOOKUP(A51,[1]!brca_metabric_clinical_data__2[Patient ID], [1]!brca_metabric_clinical_data__2[Tumor Size])</f>
        <v>23</v>
      </c>
      <c r="O51" t="str">
        <f>_xlfn.XLOOKUP(A51,[1]!brca_metabric_clinical_data__2[Sample ID],[1]!brca_metabric_clinical_data__2[Tumor Stage])</f>
        <v>2</v>
      </c>
    </row>
    <row r="52" spans="1:15" x14ac:dyDescent="0.45">
      <c r="A52" t="s">
        <v>85</v>
      </c>
      <c r="B52">
        <v>82.73</v>
      </c>
      <c r="C52" t="s">
        <v>16</v>
      </c>
      <c r="D52" t="s">
        <v>17</v>
      </c>
      <c r="E52" t="s">
        <v>18</v>
      </c>
      <c r="F52" t="s">
        <v>43</v>
      </c>
      <c r="G52" t="s">
        <v>20</v>
      </c>
      <c r="H52" t="s">
        <v>21</v>
      </c>
      <c r="I52" t="s">
        <v>21</v>
      </c>
      <c r="J52" t="s">
        <v>29</v>
      </c>
      <c r="K52">
        <v>7</v>
      </c>
      <c r="L52">
        <v>95.866666666666703</v>
      </c>
      <c r="M52" t="s">
        <v>30</v>
      </c>
      <c r="N52" t="str">
        <f>_xlfn.XLOOKUP(A52,[1]!brca_metabric_clinical_data__2[Patient ID], [1]!brca_metabric_clinical_data__2[Tumor Size])</f>
        <v>23</v>
      </c>
      <c r="O52" t="str">
        <f>_xlfn.XLOOKUP(A52,[1]!brca_metabric_clinical_data__2[Sample ID],[1]!brca_metabric_clinical_data__2[Tumor Stage])</f>
        <v>2</v>
      </c>
    </row>
    <row r="53" spans="1:15" x14ac:dyDescent="0.45">
      <c r="A53" t="s">
        <v>86</v>
      </c>
      <c r="B53">
        <v>72.099999999999994</v>
      </c>
      <c r="C53" t="s">
        <v>16</v>
      </c>
      <c r="D53" t="s">
        <v>17</v>
      </c>
      <c r="E53" t="s">
        <v>18</v>
      </c>
      <c r="F53" t="s">
        <v>43</v>
      </c>
      <c r="G53" t="s">
        <v>20</v>
      </c>
      <c r="H53" t="s">
        <v>21</v>
      </c>
      <c r="I53" t="s">
        <v>21</v>
      </c>
      <c r="J53" t="s">
        <v>29</v>
      </c>
      <c r="K53">
        <v>9</v>
      </c>
      <c r="L53">
        <v>29.066666666666698</v>
      </c>
      <c r="M53" t="s">
        <v>30</v>
      </c>
      <c r="N53" t="str">
        <f>_xlfn.XLOOKUP(A53,[1]!brca_metabric_clinical_data__2[Patient ID], [1]!brca_metabric_clinical_data__2[Tumor Size])</f>
        <v>26</v>
      </c>
      <c r="O53" t="str">
        <f>_xlfn.XLOOKUP(A53,[1]!brca_metabric_clinical_data__2[Sample ID],[1]!brca_metabric_clinical_data__2[Tumor Stage])</f>
        <v>2</v>
      </c>
    </row>
    <row r="54" spans="1:15" x14ac:dyDescent="0.45">
      <c r="A54" t="s">
        <v>87</v>
      </c>
      <c r="B54">
        <v>78.73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I54" t="s">
        <v>21</v>
      </c>
      <c r="J54" t="s">
        <v>27</v>
      </c>
      <c r="K54">
        <v>8</v>
      </c>
      <c r="L54">
        <v>152.19999999999999</v>
      </c>
      <c r="M54" t="s">
        <v>24</v>
      </c>
      <c r="N54" t="str">
        <f>_xlfn.XLOOKUP(A54,[1]!brca_metabric_clinical_data__2[Patient ID], [1]!brca_metabric_clinical_data__2[Tumor Size])</f>
        <v>30</v>
      </c>
      <c r="O54" t="str">
        <f>_xlfn.XLOOKUP(A54,[1]!brca_metabric_clinical_data__2[Sample ID],[1]!brca_metabric_clinical_data__2[Tumor Stage])</f>
        <v>2</v>
      </c>
    </row>
    <row r="55" spans="1:15" x14ac:dyDescent="0.45">
      <c r="A55" t="s">
        <v>88</v>
      </c>
      <c r="B55">
        <v>58.95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21</v>
      </c>
      <c r="I55" t="s">
        <v>21</v>
      </c>
      <c r="J55" t="s">
        <v>27</v>
      </c>
      <c r="K55">
        <v>8</v>
      </c>
      <c r="L55">
        <v>138.9</v>
      </c>
      <c r="M55" t="s">
        <v>24</v>
      </c>
      <c r="N55" t="str">
        <f>_xlfn.XLOOKUP(A55,[1]!brca_metabric_clinical_data__2[Patient ID], [1]!brca_metabric_clinical_data__2[Tumor Size])</f>
        <v>20</v>
      </c>
      <c r="O55" t="str">
        <f>_xlfn.XLOOKUP(A55,[1]!brca_metabric_clinical_data__2[Sample ID],[1]!brca_metabric_clinical_data__2[Tumor Stage])</f>
        <v>2</v>
      </c>
    </row>
    <row r="56" spans="1:15" x14ac:dyDescent="0.45">
      <c r="A56" t="s">
        <v>89</v>
      </c>
      <c r="B56">
        <v>76.89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 t="s">
        <v>21</v>
      </c>
      <c r="I56" t="s">
        <v>20</v>
      </c>
      <c r="J56" t="s">
        <v>29</v>
      </c>
      <c r="K56">
        <v>1</v>
      </c>
      <c r="L56">
        <v>114.23333333333299</v>
      </c>
      <c r="M56" t="s">
        <v>30</v>
      </c>
      <c r="N56" t="str">
        <f>_xlfn.XLOOKUP(A56,[1]!brca_metabric_clinical_data__2[Patient ID], [1]!brca_metabric_clinical_data__2[Tumor Size])</f>
        <v>25</v>
      </c>
      <c r="O56" t="str">
        <f>_xlfn.XLOOKUP(A56,[1]!brca_metabric_clinical_data__2[Sample ID],[1]!brca_metabric_clinical_data__2[Tumor Stage])</f>
        <v>2</v>
      </c>
    </row>
    <row r="57" spans="1:15" x14ac:dyDescent="0.45">
      <c r="A57" t="s">
        <v>90</v>
      </c>
      <c r="B57">
        <v>43.46</v>
      </c>
      <c r="C57" t="s">
        <v>16</v>
      </c>
      <c r="D57" t="s">
        <v>26</v>
      </c>
      <c r="E57" t="s">
        <v>18</v>
      </c>
      <c r="F57" t="s">
        <v>19</v>
      </c>
      <c r="G57" t="s">
        <v>21</v>
      </c>
      <c r="H57" t="s">
        <v>21</v>
      </c>
      <c r="I57" t="s">
        <v>21</v>
      </c>
      <c r="J57" t="s">
        <v>27</v>
      </c>
      <c r="K57">
        <v>8</v>
      </c>
      <c r="L57">
        <v>118.2</v>
      </c>
      <c r="M57" t="s">
        <v>24</v>
      </c>
      <c r="N57" t="str">
        <f>_xlfn.XLOOKUP(A57,[1]!brca_metabric_clinical_data__2[Patient ID], [1]!brca_metabric_clinical_data__2[Tumor Size])</f>
        <v>50</v>
      </c>
      <c r="O57" t="str">
        <f>_xlfn.XLOOKUP(A57,[1]!brca_metabric_clinical_data__2[Sample ID],[1]!brca_metabric_clinical_data__2[Tumor Stage])</f>
        <v>3</v>
      </c>
    </row>
    <row r="58" spans="1:15" x14ac:dyDescent="0.45">
      <c r="A58" t="s">
        <v>91</v>
      </c>
      <c r="B58">
        <v>73.98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21</v>
      </c>
      <c r="I58" t="s">
        <v>20</v>
      </c>
      <c r="J58" t="s">
        <v>29</v>
      </c>
      <c r="K58">
        <v>8</v>
      </c>
      <c r="L58">
        <v>1.2666666666666699</v>
      </c>
      <c r="M58" t="s">
        <v>24</v>
      </c>
      <c r="N58" t="str">
        <f>_xlfn.XLOOKUP(A58,[1]!brca_metabric_clinical_data__2[Patient ID], [1]!brca_metabric_clinical_data__2[Tumor Size])</f>
        <v>9</v>
      </c>
      <c r="O58" t="str">
        <f>_xlfn.XLOOKUP(A58,[1]!brca_metabric_clinical_data__2[Sample ID],[1]!brca_metabric_clinical_data__2[Tumor Stage])</f>
        <v>2</v>
      </c>
    </row>
    <row r="59" spans="1:15" x14ac:dyDescent="0.45">
      <c r="A59" t="s">
        <v>92</v>
      </c>
      <c r="B59">
        <v>61.95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 t="s">
        <v>21</v>
      </c>
      <c r="I59" t="s">
        <v>21</v>
      </c>
      <c r="J59" t="s">
        <v>27</v>
      </c>
      <c r="K59">
        <v>8</v>
      </c>
      <c r="L59">
        <v>127.633333333333</v>
      </c>
      <c r="M59" t="s">
        <v>24</v>
      </c>
      <c r="N59" t="str">
        <f>_xlfn.XLOOKUP(A59,[1]!brca_metabric_clinical_data__2[Patient ID], [1]!brca_metabric_clinical_data__2[Tumor Size])</f>
        <v>35</v>
      </c>
      <c r="O59" t="str">
        <f>_xlfn.XLOOKUP(A59,[1]!brca_metabric_clinical_data__2[Sample ID],[1]!brca_metabric_clinical_data__2[Tumor Stage])</f>
        <v>2</v>
      </c>
    </row>
    <row r="60" spans="1:15" x14ac:dyDescent="0.45">
      <c r="A60" t="s">
        <v>93</v>
      </c>
      <c r="B60">
        <v>52.11</v>
      </c>
      <c r="C60" t="s">
        <v>16</v>
      </c>
      <c r="D60" t="s">
        <v>17</v>
      </c>
      <c r="E60" t="s">
        <v>18</v>
      </c>
      <c r="F60" t="s">
        <v>19</v>
      </c>
      <c r="G60" t="s">
        <v>21</v>
      </c>
      <c r="H60" t="s">
        <v>21</v>
      </c>
      <c r="I60" t="s">
        <v>21</v>
      </c>
      <c r="J60" t="s">
        <v>38</v>
      </c>
      <c r="K60">
        <v>3</v>
      </c>
      <c r="L60">
        <v>132.066666666667</v>
      </c>
      <c r="M60" t="s">
        <v>24</v>
      </c>
      <c r="N60" t="str">
        <f>_xlfn.XLOOKUP(A60,[1]!brca_metabric_clinical_data__2[Patient ID], [1]!brca_metabric_clinical_data__2[Tumor Size])</f>
        <v>13</v>
      </c>
      <c r="O60" t="str">
        <f>_xlfn.XLOOKUP(A60,[1]!brca_metabric_clinical_data__2[Sample ID],[1]!brca_metabric_clinical_data__2[Tumor Stage])</f>
        <v>2</v>
      </c>
    </row>
    <row r="61" spans="1:15" x14ac:dyDescent="0.45">
      <c r="A61" t="s">
        <v>94</v>
      </c>
      <c r="B61">
        <v>57.4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 t="s">
        <v>21</v>
      </c>
      <c r="I61" t="s">
        <v>21</v>
      </c>
      <c r="J61" t="s">
        <v>22</v>
      </c>
      <c r="K61">
        <v>3</v>
      </c>
      <c r="L61">
        <v>137.80000000000001</v>
      </c>
      <c r="M61" t="s">
        <v>24</v>
      </c>
      <c r="N61" t="str">
        <f>_xlfn.XLOOKUP(A61,[1]!brca_metabric_clinical_data__2[Patient ID], [1]!brca_metabric_clinical_data__2[Tumor Size])</f>
        <v>14</v>
      </c>
      <c r="O61" t="str">
        <f>_xlfn.XLOOKUP(A61,[1]!brca_metabric_clinical_data__2[Sample ID],[1]!brca_metabric_clinical_data__2[Tumor Stage])</f>
        <v>1</v>
      </c>
    </row>
    <row r="62" spans="1:15" x14ac:dyDescent="0.45">
      <c r="A62" t="s">
        <v>95</v>
      </c>
      <c r="B62">
        <v>63.53</v>
      </c>
      <c r="C62" t="s">
        <v>16</v>
      </c>
      <c r="D62" t="s">
        <v>17</v>
      </c>
      <c r="E62" t="s">
        <v>37</v>
      </c>
      <c r="F62" t="s">
        <v>43</v>
      </c>
      <c r="G62" t="s">
        <v>21</v>
      </c>
      <c r="H62" t="s">
        <v>20</v>
      </c>
      <c r="I62" t="s">
        <v>21</v>
      </c>
      <c r="J62" t="s">
        <v>45</v>
      </c>
      <c r="K62">
        <v>5</v>
      </c>
      <c r="L62">
        <v>38.566666666666698</v>
      </c>
      <c r="M62" t="s">
        <v>30</v>
      </c>
      <c r="N62" t="str">
        <f>_xlfn.XLOOKUP(A62,[1]!brca_metabric_clinical_data__2[Patient ID], [1]!brca_metabric_clinical_data__2[Tumor Size])</f>
        <v>24</v>
      </c>
      <c r="O62" t="str">
        <f>_xlfn.XLOOKUP(A62,[1]!brca_metabric_clinical_data__2[Sample ID],[1]!brca_metabric_clinical_data__2[Tumor Stage])</f>
        <v>2</v>
      </c>
    </row>
    <row r="63" spans="1:15" x14ac:dyDescent="0.45">
      <c r="A63" t="s">
        <v>96</v>
      </c>
      <c r="B63">
        <v>56.75</v>
      </c>
      <c r="C63" t="s">
        <v>16</v>
      </c>
      <c r="D63" t="s">
        <v>17</v>
      </c>
      <c r="E63" t="s">
        <v>18</v>
      </c>
      <c r="F63" t="s">
        <v>43</v>
      </c>
      <c r="G63" t="s">
        <v>20</v>
      </c>
      <c r="H63" t="s">
        <v>21</v>
      </c>
      <c r="I63" t="s">
        <v>20</v>
      </c>
      <c r="J63" t="s">
        <v>27</v>
      </c>
      <c r="K63">
        <v>5</v>
      </c>
      <c r="L63">
        <v>153.566666666667</v>
      </c>
      <c r="M63" t="s">
        <v>24</v>
      </c>
      <c r="N63" t="str">
        <f>_xlfn.XLOOKUP(A63,[1]!brca_metabric_clinical_data__2[Patient ID], [1]!brca_metabric_clinical_data__2[Tumor Size])</f>
        <v>17</v>
      </c>
      <c r="O63" t="str">
        <f>_xlfn.XLOOKUP(A63,[1]!brca_metabric_clinical_data__2[Sample ID],[1]!brca_metabric_clinical_data__2[Tumor Stage])</f>
        <v>1</v>
      </c>
    </row>
    <row r="64" spans="1:15" x14ac:dyDescent="0.45">
      <c r="A64" t="s">
        <v>97</v>
      </c>
      <c r="B64">
        <v>69.16</v>
      </c>
      <c r="C64" t="s">
        <v>16</v>
      </c>
      <c r="D64" t="s">
        <v>17</v>
      </c>
      <c r="E64" t="s">
        <v>18</v>
      </c>
      <c r="F64" t="s">
        <v>19</v>
      </c>
      <c r="G64" t="s">
        <v>21</v>
      </c>
      <c r="H64" t="s">
        <v>21</v>
      </c>
      <c r="I64" t="s">
        <v>21</v>
      </c>
      <c r="J64" t="s">
        <v>27</v>
      </c>
      <c r="K64">
        <v>8</v>
      </c>
      <c r="L64">
        <v>66.633333333333297</v>
      </c>
      <c r="M64" t="s">
        <v>30</v>
      </c>
      <c r="N64" t="str">
        <f>_xlfn.XLOOKUP(A64,[1]!brca_metabric_clinical_data__2[Patient ID], [1]!brca_metabric_clinical_data__2[Tumor Size])</f>
        <v>39</v>
      </c>
      <c r="O64" t="str">
        <f>_xlfn.XLOOKUP(A64,[1]!brca_metabric_clinical_data__2[Sample ID],[1]!brca_metabric_clinical_data__2[Tumor Stage])</f>
        <v>2</v>
      </c>
    </row>
    <row r="65" spans="1:15" x14ac:dyDescent="0.45">
      <c r="A65" t="s">
        <v>98</v>
      </c>
      <c r="B65">
        <v>58.89</v>
      </c>
      <c r="C65" t="s">
        <v>16</v>
      </c>
      <c r="D65" t="s">
        <v>17</v>
      </c>
      <c r="E65" t="s">
        <v>18</v>
      </c>
      <c r="F65" t="s">
        <v>19</v>
      </c>
      <c r="G65" t="s">
        <v>21</v>
      </c>
      <c r="H65" t="s">
        <v>21</v>
      </c>
      <c r="I65" t="s">
        <v>21</v>
      </c>
      <c r="J65" t="s">
        <v>27</v>
      </c>
      <c r="K65">
        <v>8</v>
      </c>
      <c r="L65">
        <v>151</v>
      </c>
      <c r="M65" t="s">
        <v>24</v>
      </c>
      <c r="N65" t="str">
        <f>_xlfn.XLOOKUP(A65,[1]!brca_metabric_clinical_data__2[Patient ID], [1]!brca_metabric_clinical_data__2[Tumor Size])</f>
        <v>80</v>
      </c>
      <c r="O65" t="str">
        <f>_xlfn.XLOOKUP(A65,[1]!brca_metabric_clinical_data__2[Sample ID],[1]!brca_metabric_clinical_data__2[Tumor Stage])</f>
        <v>2</v>
      </c>
    </row>
    <row r="66" spans="1:15" x14ac:dyDescent="0.45">
      <c r="A66" t="s">
        <v>99</v>
      </c>
      <c r="B66">
        <v>73.11</v>
      </c>
      <c r="C66" t="s">
        <v>16</v>
      </c>
      <c r="D66" t="s">
        <v>17</v>
      </c>
      <c r="E66" t="s">
        <v>18</v>
      </c>
      <c r="F66" t="s">
        <v>19</v>
      </c>
      <c r="G66" t="s">
        <v>20</v>
      </c>
      <c r="H66" t="s">
        <v>21</v>
      </c>
      <c r="I66" t="s">
        <v>21</v>
      </c>
      <c r="J66" t="s">
        <v>29</v>
      </c>
      <c r="K66">
        <v>8</v>
      </c>
      <c r="L66">
        <v>12.9333333333333</v>
      </c>
      <c r="M66" t="s">
        <v>30</v>
      </c>
      <c r="N66" t="str">
        <f>_xlfn.XLOOKUP(A66,[1]!brca_metabric_clinical_data__2[Patient ID], [1]!brca_metabric_clinical_data__2[Tumor Size])</f>
        <v>22</v>
      </c>
      <c r="O66" t="str">
        <f>_xlfn.XLOOKUP(A66,[1]!brca_metabric_clinical_data__2[Sample ID],[1]!brca_metabric_clinical_data__2[Tumor Stage])</f>
        <v>2</v>
      </c>
    </row>
    <row r="67" spans="1:15" x14ac:dyDescent="0.45">
      <c r="A67" t="s">
        <v>100</v>
      </c>
      <c r="B67">
        <v>74.09</v>
      </c>
      <c r="C67" t="s">
        <v>16</v>
      </c>
      <c r="D67" t="s">
        <v>17</v>
      </c>
      <c r="E67" t="s">
        <v>18</v>
      </c>
      <c r="F67" t="s">
        <v>19</v>
      </c>
      <c r="G67" t="s">
        <v>20</v>
      </c>
      <c r="H67" t="s">
        <v>21</v>
      </c>
      <c r="I67" t="s">
        <v>21</v>
      </c>
      <c r="J67" t="s">
        <v>29</v>
      </c>
      <c r="K67">
        <v>2</v>
      </c>
      <c r="L67">
        <v>116.633333333333</v>
      </c>
      <c r="M67" t="s">
        <v>24</v>
      </c>
      <c r="N67" t="str">
        <f>_xlfn.XLOOKUP(A67,[1]!brca_metabric_clinical_data__2[Patient ID], [1]!brca_metabric_clinical_data__2[Tumor Size])</f>
        <v>35</v>
      </c>
      <c r="O67" t="str">
        <f>_xlfn.XLOOKUP(A67,[1]!brca_metabric_clinical_data__2[Sample ID],[1]!brca_metabric_clinical_data__2[Tumor Stage])</f>
        <v>2</v>
      </c>
    </row>
    <row r="68" spans="1:15" x14ac:dyDescent="0.45">
      <c r="A68" t="s">
        <v>101</v>
      </c>
      <c r="B68">
        <v>72.3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  <c r="H68" t="s">
        <v>21</v>
      </c>
      <c r="I68" t="s">
        <v>20</v>
      </c>
      <c r="J68" t="s">
        <v>27</v>
      </c>
      <c r="K68">
        <v>3</v>
      </c>
      <c r="L68">
        <v>88.2</v>
      </c>
      <c r="M68" t="s">
        <v>24</v>
      </c>
      <c r="N68" t="str">
        <f>_xlfn.XLOOKUP(A68,[1]!brca_metabric_clinical_data__2[Patient ID], [1]!brca_metabric_clinical_data__2[Tumor Size])</f>
        <v>13</v>
      </c>
      <c r="O68" t="str">
        <f>_xlfn.XLOOKUP(A68,[1]!brca_metabric_clinical_data__2[Sample ID],[1]!brca_metabric_clinical_data__2[Tumor Stage])</f>
        <v>1</v>
      </c>
    </row>
    <row r="69" spans="1:15" x14ac:dyDescent="0.45">
      <c r="A69" t="s">
        <v>102</v>
      </c>
      <c r="B69">
        <v>51.33</v>
      </c>
      <c r="C69" t="s">
        <v>16</v>
      </c>
      <c r="D69" t="s">
        <v>17</v>
      </c>
      <c r="E69" t="s">
        <v>18</v>
      </c>
      <c r="F69" t="s">
        <v>35</v>
      </c>
      <c r="G69" t="s">
        <v>20</v>
      </c>
      <c r="H69" t="s">
        <v>21</v>
      </c>
      <c r="I69" t="s">
        <v>20</v>
      </c>
      <c r="J69" t="s">
        <v>27</v>
      </c>
      <c r="K69">
        <v>3</v>
      </c>
      <c r="L69">
        <v>150.566666666667</v>
      </c>
      <c r="M69" t="s">
        <v>24</v>
      </c>
      <c r="N69" t="str">
        <f>_xlfn.XLOOKUP(A69,[1]!brca_metabric_clinical_data__2[Patient ID], [1]!brca_metabric_clinical_data__2[Tumor Size])</f>
        <v>18</v>
      </c>
      <c r="O69" t="str">
        <f>_xlfn.XLOOKUP(A69,[1]!brca_metabric_clinical_data__2[Sample ID],[1]!brca_metabric_clinical_data__2[Tumor Stage])</f>
        <v>1</v>
      </c>
    </row>
    <row r="70" spans="1:15" x14ac:dyDescent="0.45">
      <c r="A70" t="s">
        <v>103</v>
      </c>
      <c r="B70">
        <v>47.62</v>
      </c>
      <c r="C70" t="s">
        <v>16</v>
      </c>
      <c r="D70" t="s">
        <v>26</v>
      </c>
      <c r="E70" t="s">
        <v>18</v>
      </c>
      <c r="F70" t="s">
        <v>19</v>
      </c>
      <c r="G70" t="s">
        <v>20</v>
      </c>
      <c r="H70" t="s">
        <v>21</v>
      </c>
      <c r="I70" t="s">
        <v>21</v>
      </c>
      <c r="J70" t="s">
        <v>27</v>
      </c>
      <c r="K70">
        <v>3</v>
      </c>
      <c r="L70">
        <v>109.2</v>
      </c>
      <c r="M70" t="s">
        <v>24</v>
      </c>
      <c r="N70" t="str">
        <f>_xlfn.XLOOKUP(A70,[1]!brca_metabric_clinical_data__2[Patient ID], [1]!brca_metabric_clinical_data__2[Tumor Size])</f>
        <v>30</v>
      </c>
      <c r="O70" t="str">
        <f>_xlfn.XLOOKUP(A70,[1]!brca_metabric_clinical_data__2[Sample ID],[1]!brca_metabric_clinical_data__2[Tumor Stage])</f>
        <v>2</v>
      </c>
    </row>
    <row r="71" spans="1:15" x14ac:dyDescent="0.45">
      <c r="A71" t="s">
        <v>104</v>
      </c>
      <c r="B71">
        <v>74.069999999999993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H71" t="s">
        <v>21</v>
      </c>
      <c r="I71" t="s">
        <v>21</v>
      </c>
      <c r="J71" t="s">
        <v>29</v>
      </c>
      <c r="K71">
        <v>8</v>
      </c>
      <c r="L71">
        <v>147.933333333333</v>
      </c>
      <c r="M71" t="s">
        <v>24</v>
      </c>
      <c r="N71" t="str">
        <f>_xlfn.XLOOKUP(A71,[1]!brca_metabric_clinical_data__2[Patient ID], [1]!brca_metabric_clinical_data__2[Tumor Size])</f>
        <v>27</v>
      </c>
      <c r="O71" t="str">
        <f>_xlfn.XLOOKUP(A71,[1]!brca_metabric_clinical_data__2[Sample ID],[1]!brca_metabric_clinical_data__2[Tumor Stage])</f>
        <v>2</v>
      </c>
    </row>
    <row r="72" spans="1:15" x14ac:dyDescent="0.45">
      <c r="A72" t="s">
        <v>105</v>
      </c>
      <c r="B72">
        <v>57.99</v>
      </c>
      <c r="C72" t="s">
        <v>16</v>
      </c>
      <c r="D72" t="s">
        <v>17</v>
      </c>
      <c r="E72" t="s">
        <v>18</v>
      </c>
      <c r="F72" t="s">
        <v>35</v>
      </c>
      <c r="G72" t="s">
        <v>20</v>
      </c>
      <c r="H72" t="s">
        <v>20</v>
      </c>
      <c r="I72" t="s">
        <v>20</v>
      </c>
      <c r="J72" t="s">
        <v>27</v>
      </c>
      <c r="K72">
        <v>1</v>
      </c>
      <c r="L72">
        <v>12.4</v>
      </c>
      <c r="M72" t="s">
        <v>24</v>
      </c>
      <c r="N72" t="str">
        <f>_xlfn.XLOOKUP(A72,[1]!brca_metabric_clinical_data__2[Patient ID], [1]!brca_metabric_clinical_data__2[Tumor Size])</f>
        <v>16</v>
      </c>
      <c r="O72" t="str">
        <f>_xlfn.XLOOKUP(A72,[1]!brca_metabric_clinical_data__2[Sample ID],[1]!brca_metabric_clinical_data__2[Tumor Stage])</f>
        <v>1</v>
      </c>
    </row>
    <row r="73" spans="1:15" x14ac:dyDescent="0.45">
      <c r="A73" t="s">
        <v>106</v>
      </c>
      <c r="B73">
        <v>85.39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H73" t="s">
        <v>21</v>
      </c>
      <c r="I73" t="s">
        <v>21</v>
      </c>
      <c r="J73" t="s">
        <v>27</v>
      </c>
      <c r="K73">
        <v>9</v>
      </c>
      <c r="L73">
        <v>54.3333333333333</v>
      </c>
      <c r="M73" t="s">
        <v>30</v>
      </c>
      <c r="N73" t="str">
        <f>_xlfn.XLOOKUP(A73,[1]!brca_metabric_clinical_data__2[Patient ID], [1]!brca_metabric_clinical_data__2[Tumor Size])</f>
        <v>22</v>
      </c>
      <c r="O73" t="str">
        <f>_xlfn.XLOOKUP(A73,[1]!brca_metabric_clinical_data__2[Sample ID],[1]!brca_metabric_clinical_data__2[Tumor Stage])</f>
        <v>2</v>
      </c>
    </row>
    <row r="74" spans="1:15" x14ac:dyDescent="0.45">
      <c r="A74" t="s">
        <v>107</v>
      </c>
      <c r="B74">
        <v>79.73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  <c r="H74" t="s">
        <v>21</v>
      </c>
      <c r="I74" t="s">
        <v>21</v>
      </c>
      <c r="J74" t="s">
        <v>29</v>
      </c>
      <c r="K74">
        <v>8</v>
      </c>
      <c r="L74">
        <v>152.066666666667</v>
      </c>
      <c r="M74" t="s">
        <v>30</v>
      </c>
      <c r="N74" t="str">
        <f>_xlfn.XLOOKUP(A74,[1]!brca_metabric_clinical_data__2[Patient ID], [1]!brca_metabric_clinical_data__2[Tumor Size])</f>
        <v>26</v>
      </c>
      <c r="O74" t="str">
        <f>_xlfn.XLOOKUP(A74,[1]!brca_metabric_clinical_data__2[Sample ID],[1]!brca_metabric_clinical_data__2[Tumor Stage])</f>
        <v>NA</v>
      </c>
    </row>
    <row r="75" spans="1:15" x14ac:dyDescent="0.45">
      <c r="A75" t="s">
        <v>108</v>
      </c>
      <c r="B75">
        <v>62.4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 t="s">
        <v>21</v>
      </c>
      <c r="I75" t="s">
        <v>21</v>
      </c>
      <c r="J75" t="s">
        <v>27</v>
      </c>
      <c r="K75">
        <v>3</v>
      </c>
      <c r="L75">
        <v>147.666666666667</v>
      </c>
      <c r="M75" t="s">
        <v>24</v>
      </c>
      <c r="N75" t="str">
        <f>_xlfn.XLOOKUP(A75,[1]!brca_metabric_clinical_data__2[Patient ID], [1]!brca_metabric_clinical_data__2[Tumor Size])</f>
        <v>20</v>
      </c>
      <c r="O75" t="str">
        <f>_xlfn.XLOOKUP(A75,[1]!brca_metabric_clinical_data__2[Sample ID],[1]!brca_metabric_clinical_data__2[Tumor Stage])</f>
        <v>1</v>
      </c>
    </row>
    <row r="76" spans="1:15" x14ac:dyDescent="0.45">
      <c r="A76" t="s">
        <v>109</v>
      </c>
      <c r="B76">
        <v>81</v>
      </c>
      <c r="C76" t="s">
        <v>16</v>
      </c>
      <c r="D76" t="s">
        <v>17</v>
      </c>
      <c r="E76" t="s">
        <v>18</v>
      </c>
      <c r="F76" t="s">
        <v>35</v>
      </c>
      <c r="G76" t="s">
        <v>20</v>
      </c>
      <c r="H76" t="s">
        <v>21</v>
      </c>
      <c r="I76" t="s">
        <v>21</v>
      </c>
      <c r="J76" t="s">
        <v>29</v>
      </c>
      <c r="K76">
        <v>1</v>
      </c>
      <c r="L76">
        <v>122.166666666667</v>
      </c>
      <c r="M76" t="s">
        <v>30</v>
      </c>
      <c r="N76" t="str">
        <f>_xlfn.XLOOKUP(A76,[1]!brca_metabric_clinical_data__2[Patient ID], [1]!brca_metabric_clinical_data__2[Tumor Size])</f>
        <v>22</v>
      </c>
      <c r="O76" t="str">
        <f>_xlfn.XLOOKUP(A76,[1]!brca_metabric_clinical_data__2[Sample ID],[1]!brca_metabric_clinical_data__2[Tumor Stage])</f>
        <v>2</v>
      </c>
    </row>
    <row r="77" spans="1:15" x14ac:dyDescent="0.45">
      <c r="A77" t="s">
        <v>110</v>
      </c>
      <c r="B77">
        <v>79.28</v>
      </c>
      <c r="C77" t="s">
        <v>16</v>
      </c>
      <c r="D77" t="s">
        <v>17</v>
      </c>
      <c r="E77" t="s">
        <v>18</v>
      </c>
      <c r="F77" t="s">
        <v>19</v>
      </c>
      <c r="G77" t="s">
        <v>20</v>
      </c>
      <c r="H77" t="s">
        <v>21</v>
      </c>
      <c r="I77" t="s">
        <v>21</v>
      </c>
      <c r="J77" t="s">
        <v>27</v>
      </c>
      <c r="K77">
        <v>2</v>
      </c>
      <c r="L77">
        <v>51.766666666666701</v>
      </c>
      <c r="M77" t="s">
        <v>30</v>
      </c>
      <c r="N77" t="str">
        <f>_xlfn.XLOOKUP(A77,[1]!brca_metabric_clinical_data__2[Patient ID], [1]!brca_metabric_clinical_data__2[Tumor Size])</f>
        <v>38</v>
      </c>
      <c r="O77" t="str">
        <f>_xlfn.XLOOKUP(A77,[1]!brca_metabric_clinical_data__2[Sample ID],[1]!brca_metabric_clinical_data__2[Tumor Stage])</f>
        <v>2</v>
      </c>
    </row>
    <row r="78" spans="1:15" x14ac:dyDescent="0.45">
      <c r="A78" t="s">
        <v>111</v>
      </c>
      <c r="B78">
        <v>53.16</v>
      </c>
      <c r="C78" t="s">
        <v>16</v>
      </c>
      <c r="D78" t="s">
        <v>17</v>
      </c>
      <c r="E78" t="s">
        <v>37</v>
      </c>
      <c r="F78" t="s">
        <v>43</v>
      </c>
      <c r="G78" t="s">
        <v>20</v>
      </c>
      <c r="H78" t="s">
        <v>20</v>
      </c>
      <c r="I78" t="s">
        <v>20</v>
      </c>
      <c r="J78" t="s">
        <v>45</v>
      </c>
      <c r="K78">
        <v>5</v>
      </c>
      <c r="L78">
        <v>1.7666666666666699</v>
      </c>
      <c r="M78" t="s">
        <v>24</v>
      </c>
      <c r="N78" t="str">
        <f>_xlfn.XLOOKUP(A78,[1]!brca_metabric_clinical_data__2[Patient ID], [1]!brca_metabric_clinical_data__2[Tumor Size])</f>
        <v>19</v>
      </c>
      <c r="O78" t="str">
        <f>_xlfn.XLOOKUP(A78,[1]!brca_metabric_clinical_data__2[Sample ID],[1]!brca_metabric_clinical_data__2[Tumor Stage])</f>
        <v>1</v>
      </c>
    </row>
    <row r="79" spans="1:15" x14ac:dyDescent="0.45">
      <c r="A79" t="s">
        <v>112</v>
      </c>
      <c r="B79">
        <v>77.13</v>
      </c>
      <c r="C79" t="s">
        <v>16</v>
      </c>
      <c r="D79" t="s">
        <v>17</v>
      </c>
      <c r="E79" t="s">
        <v>37</v>
      </c>
      <c r="F79" t="s">
        <v>35</v>
      </c>
      <c r="G79" t="s">
        <v>20</v>
      </c>
      <c r="H79" t="s">
        <v>20</v>
      </c>
      <c r="I79" t="s">
        <v>21</v>
      </c>
      <c r="J79" t="s">
        <v>58</v>
      </c>
      <c r="K79">
        <v>10</v>
      </c>
      <c r="L79">
        <v>51.7</v>
      </c>
      <c r="M79" t="s">
        <v>30</v>
      </c>
      <c r="N79" t="str">
        <f>_xlfn.XLOOKUP(A79,[1]!brca_metabric_clinical_data__2[Patient ID], [1]!brca_metabric_clinical_data__2[Tumor Size])</f>
        <v>39</v>
      </c>
      <c r="O79" t="str">
        <f>_xlfn.XLOOKUP(A79,[1]!brca_metabric_clinical_data__2[Sample ID],[1]!brca_metabric_clinical_data__2[Tumor Stage])</f>
        <v>2</v>
      </c>
    </row>
    <row r="80" spans="1:15" x14ac:dyDescent="0.45">
      <c r="A80" t="s">
        <v>113</v>
      </c>
      <c r="B80">
        <v>70.22</v>
      </c>
      <c r="C80" t="s">
        <v>16</v>
      </c>
      <c r="D80" t="s">
        <v>17</v>
      </c>
      <c r="E80" t="s">
        <v>18</v>
      </c>
      <c r="F80" t="s">
        <v>19</v>
      </c>
      <c r="G80" t="s">
        <v>20</v>
      </c>
      <c r="H80" t="s">
        <v>21</v>
      </c>
      <c r="I80" t="s">
        <v>20</v>
      </c>
      <c r="J80" t="s">
        <v>58</v>
      </c>
      <c r="K80" t="s">
        <v>23</v>
      </c>
      <c r="L80">
        <v>111.2</v>
      </c>
      <c r="M80" t="s">
        <v>24</v>
      </c>
      <c r="N80" t="str">
        <f>_xlfn.XLOOKUP(A80,[1]!brca_metabric_clinical_data__2[Patient ID], [1]!brca_metabric_clinical_data__2[Tumor Size])</f>
        <v>20</v>
      </c>
      <c r="O80" t="str">
        <f>_xlfn.XLOOKUP(A80,[1]!brca_metabric_clinical_data__2[Sample ID],[1]!brca_metabric_clinical_data__2[Tumor Stage])</f>
        <v>2</v>
      </c>
    </row>
    <row r="81" spans="1:15" x14ac:dyDescent="0.45">
      <c r="A81" t="s">
        <v>114</v>
      </c>
      <c r="B81">
        <v>67.7</v>
      </c>
      <c r="C81" t="s">
        <v>16</v>
      </c>
      <c r="D81" t="s">
        <v>17</v>
      </c>
      <c r="E81" t="s">
        <v>18</v>
      </c>
      <c r="F81" t="s">
        <v>19</v>
      </c>
      <c r="G81" t="s">
        <v>20</v>
      </c>
      <c r="H81" t="s">
        <v>21</v>
      </c>
      <c r="I81" t="s">
        <v>21</v>
      </c>
      <c r="J81" t="s">
        <v>29</v>
      </c>
      <c r="K81">
        <v>2</v>
      </c>
      <c r="L81">
        <v>49.233333333333299</v>
      </c>
      <c r="M81" t="s">
        <v>30</v>
      </c>
      <c r="N81" t="str">
        <f>_xlfn.XLOOKUP(A81,[1]!brca_metabric_clinical_data__2[Patient ID], [1]!brca_metabric_clinical_data__2[Tumor Size])</f>
        <v>50</v>
      </c>
      <c r="O81" t="str">
        <f>_xlfn.XLOOKUP(A81,[1]!brca_metabric_clinical_data__2[Sample ID],[1]!brca_metabric_clinical_data__2[Tumor Stage])</f>
        <v>3</v>
      </c>
    </row>
    <row r="82" spans="1:15" x14ac:dyDescent="0.45">
      <c r="A82" t="s">
        <v>115</v>
      </c>
      <c r="B82">
        <v>63.77</v>
      </c>
      <c r="C82" t="s">
        <v>16</v>
      </c>
      <c r="D82" t="s">
        <v>17</v>
      </c>
      <c r="E82" t="s">
        <v>37</v>
      </c>
      <c r="F82" t="s">
        <v>43</v>
      </c>
      <c r="G82" t="s">
        <v>20</v>
      </c>
      <c r="H82" t="s">
        <v>20</v>
      </c>
      <c r="I82" t="s">
        <v>20</v>
      </c>
      <c r="J82" t="s">
        <v>45</v>
      </c>
      <c r="K82" t="s">
        <v>39</v>
      </c>
      <c r="L82">
        <v>63.033333333333303</v>
      </c>
      <c r="M82" t="s">
        <v>24</v>
      </c>
      <c r="N82" t="str">
        <f>_xlfn.XLOOKUP(A82,[1]!brca_metabric_clinical_data__2[Patient ID], [1]!brca_metabric_clinical_data__2[Tumor Size])</f>
        <v>12</v>
      </c>
      <c r="O82" t="str">
        <f>_xlfn.XLOOKUP(A82,[1]!brca_metabric_clinical_data__2[Sample ID],[1]!brca_metabric_clinical_data__2[Tumor Stage])</f>
        <v>1</v>
      </c>
    </row>
    <row r="83" spans="1:15" x14ac:dyDescent="0.45">
      <c r="A83" t="s">
        <v>116</v>
      </c>
      <c r="B83">
        <v>67.12</v>
      </c>
      <c r="C83" t="s">
        <v>16</v>
      </c>
      <c r="D83" t="s">
        <v>17</v>
      </c>
      <c r="F83" t="s">
        <v>19</v>
      </c>
      <c r="G83" t="s">
        <v>20</v>
      </c>
      <c r="H83" t="s">
        <v>20</v>
      </c>
      <c r="I83" t="s">
        <v>20</v>
      </c>
      <c r="J83" t="s">
        <v>22</v>
      </c>
      <c r="K83" t="s">
        <v>39</v>
      </c>
      <c r="L83">
        <v>148.566666666667</v>
      </c>
      <c r="M83" t="s">
        <v>24</v>
      </c>
      <c r="N83" t="str">
        <f>_xlfn.XLOOKUP(A83,[1]!brca_metabric_clinical_data__2[Patient ID], [1]!brca_metabric_clinical_data__2[Tumor Size])</f>
        <v>28</v>
      </c>
      <c r="O83" t="str">
        <f>_xlfn.XLOOKUP(A83,[1]!brca_metabric_clinical_data__2[Sample ID],[1]!brca_metabric_clinical_data__2[Tumor Stage])</f>
        <v>NA</v>
      </c>
    </row>
    <row r="84" spans="1:15" x14ac:dyDescent="0.45">
      <c r="A84" t="s">
        <v>117</v>
      </c>
      <c r="B84">
        <v>62.46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 t="s">
        <v>21</v>
      </c>
      <c r="I84" t="s">
        <v>20</v>
      </c>
      <c r="J84" t="s">
        <v>27</v>
      </c>
      <c r="K84" t="s">
        <v>23</v>
      </c>
      <c r="L84">
        <v>114.76666666666701</v>
      </c>
      <c r="M84" t="s">
        <v>24</v>
      </c>
      <c r="N84" t="str">
        <f>_xlfn.XLOOKUP(A84,[1]!brca_metabric_clinical_data__2[Patient ID], [1]!brca_metabric_clinical_data__2[Tumor Size])</f>
        <v>12</v>
      </c>
      <c r="O84" t="str">
        <f>_xlfn.XLOOKUP(A84,[1]!brca_metabric_clinical_data__2[Sample ID],[1]!brca_metabric_clinical_data__2[Tumor Stage])</f>
        <v>1</v>
      </c>
    </row>
    <row r="85" spans="1:15" x14ac:dyDescent="0.45">
      <c r="A85" t="s">
        <v>118</v>
      </c>
      <c r="B85">
        <v>62.72</v>
      </c>
      <c r="C85" t="s">
        <v>16</v>
      </c>
      <c r="D85" t="s">
        <v>17</v>
      </c>
      <c r="E85" t="s">
        <v>18</v>
      </c>
      <c r="F85" t="s">
        <v>19</v>
      </c>
      <c r="G85" t="s">
        <v>20</v>
      </c>
      <c r="H85" t="s">
        <v>21</v>
      </c>
      <c r="I85" t="s">
        <v>21</v>
      </c>
      <c r="J85" t="s">
        <v>22</v>
      </c>
      <c r="K85" t="s">
        <v>23</v>
      </c>
      <c r="L85">
        <v>59.8</v>
      </c>
      <c r="M85" t="s">
        <v>24</v>
      </c>
      <c r="N85" t="str">
        <f>_xlfn.XLOOKUP(A85,[1]!brca_metabric_clinical_data__2[Patient ID], [1]!brca_metabric_clinical_data__2[Tumor Size])</f>
        <v>9</v>
      </c>
      <c r="O85" t="str">
        <f>_xlfn.XLOOKUP(A85,[1]!brca_metabric_clinical_data__2[Sample ID],[1]!brca_metabric_clinical_data__2[Tumor Stage])</f>
        <v>1</v>
      </c>
    </row>
    <row r="86" spans="1:15" x14ac:dyDescent="0.45">
      <c r="A86" t="s">
        <v>119</v>
      </c>
      <c r="B86">
        <v>60.85</v>
      </c>
      <c r="C86" t="s">
        <v>16</v>
      </c>
      <c r="D86" t="s">
        <v>17</v>
      </c>
      <c r="F86" t="s">
        <v>19</v>
      </c>
      <c r="G86" t="s">
        <v>20</v>
      </c>
      <c r="H86" t="s">
        <v>20</v>
      </c>
      <c r="I86" t="s">
        <v>20</v>
      </c>
      <c r="J86" t="s">
        <v>22</v>
      </c>
      <c r="K86" t="s">
        <v>23</v>
      </c>
      <c r="L86">
        <v>2.8666666666666698</v>
      </c>
      <c r="M86" t="s">
        <v>24</v>
      </c>
      <c r="N86" t="str">
        <f>_xlfn.XLOOKUP(A86,[1]!brca_metabric_clinical_data__2[Patient ID], [1]!brca_metabric_clinical_data__2[Tumor Size])</f>
        <v>2</v>
      </c>
      <c r="O86" t="str">
        <f>_xlfn.XLOOKUP(A86,[1]!brca_metabric_clinical_data__2[Sample ID],[1]!brca_metabric_clinical_data__2[Tumor Stage])</f>
        <v>0</v>
      </c>
    </row>
    <row r="87" spans="1:15" x14ac:dyDescent="0.45">
      <c r="A87" t="s">
        <v>120</v>
      </c>
      <c r="B87">
        <v>71.5</v>
      </c>
      <c r="C87" t="s">
        <v>16</v>
      </c>
      <c r="D87" t="s">
        <v>17</v>
      </c>
      <c r="E87" t="s">
        <v>37</v>
      </c>
      <c r="F87" t="s">
        <v>19</v>
      </c>
      <c r="G87" t="s">
        <v>20</v>
      </c>
      <c r="H87" t="s">
        <v>20</v>
      </c>
      <c r="I87" t="s">
        <v>21</v>
      </c>
      <c r="J87" t="s">
        <v>22</v>
      </c>
      <c r="K87" t="s">
        <v>39</v>
      </c>
      <c r="L87">
        <v>114.76666666666701</v>
      </c>
      <c r="M87" t="s">
        <v>24</v>
      </c>
      <c r="N87" t="str">
        <f>_xlfn.XLOOKUP(A87,[1]!brca_metabric_clinical_data__2[Patient ID], [1]!brca_metabric_clinical_data__2[Tumor Size])</f>
        <v>30</v>
      </c>
      <c r="O87" t="str">
        <f>_xlfn.XLOOKUP(A87,[1]!brca_metabric_clinical_data__2[Sample ID],[1]!brca_metabric_clinical_data__2[Tumor Stage])</f>
        <v>2</v>
      </c>
    </row>
    <row r="88" spans="1:15" x14ac:dyDescent="0.45">
      <c r="A88" t="s">
        <v>121</v>
      </c>
      <c r="B88">
        <v>50.43</v>
      </c>
      <c r="C88" t="s">
        <v>16</v>
      </c>
      <c r="D88" t="s">
        <v>17</v>
      </c>
      <c r="E88" t="s">
        <v>37</v>
      </c>
      <c r="F88" t="s">
        <v>19</v>
      </c>
      <c r="G88" t="s">
        <v>21</v>
      </c>
      <c r="H88" t="s">
        <v>21</v>
      </c>
      <c r="I88" t="s">
        <v>20</v>
      </c>
      <c r="J88" t="s">
        <v>58</v>
      </c>
      <c r="K88">
        <v>10</v>
      </c>
      <c r="L88">
        <v>192.3</v>
      </c>
      <c r="M88" t="s">
        <v>24</v>
      </c>
      <c r="N88" t="str">
        <f>_xlfn.XLOOKUP(A88,[1]!brca_metabric_clinical_data__2[Patient ID], [1]!brca_metabric_clinical_data__2[Tumor Size])</f>
        <v>22</v>
      </c>
      <c r="O88" t="str">
        <f>_xlfn.XLOOKUP(A88,[1]!brca_metabric_clinical_data__2[Sample ID],[1]!brca_metabric_clinical_data__2[Tumor Stage])</f>
        <v>2</v>
      </c>
    </row>
    <row r="89" spans="1:15" x14ac:dyDescent="0.45">
      <c r="A89" t="s">
        <v>122</v>
      </c>
      <c r="B89">
        <v>51.04</v>
      </c>
      <c r="C89" t="s">
        <v>16</v>
      </c>
      <c r="D89" t="s">
        <v>17</v>
      </c>
      <c r="F89" t="s">
        <v>43</v>
      </c>
      <c r="G89" t="s">
        <v>20</v>
      </c>
      <c r="H89" t="s">
        <v>20</v>
      </c>
      <c r="I89" t="s">
        <v>20</v>
      </c>
      <c r="J89" t="s">
        <v>58</v>
      </c>
      <c r="K89">
        <v>5</v>
      </c>
      <c r="L89">
        <v>75.3</v>
      </c>
      <c r="M89" t="s">
        <v>24</v>
      </c>
      <c r="N89" t="str">
        <f>_xlfn.XLOOKUP(A89,[1]!brca_metabric_clinical_data__2[Patient ID], [1]!brca_metabric_clinical_data__2[Tumor Size])</f>
        <v>23</v>
      </c>
      <c r="O89" t="str">
        <f>_xlfn.XLOOKUP(A89,[1]!brca_metabric_clinical_data__2[Sample ID],[1]!brca_metabric_clinical_data__2[Tumor Stage])</f>
        <v>0</v>
      </c>
    </row>
    <row r="90" spans="1:15" x14ac:dyDescent="0.45">
      <c r="A90" t="s">
        <v>123</v>
      </c>
      <c r="B90">
        <v>36.659999999999997</v>
      </c>
      <c r="C90" t="s">
        <v>16</v>
      </c>
      <c r="D90" t="s">
        <v>26</v>
      </c>
      <c r="F90" t="s">
        <v>19</v>
      </c>
      <c r="G90" t="s">
        <v>20</v>
      </c>
      <c r="H90" t="s">
        <v>20</v>
      </c>
      <c r="I90" t="s">
        <v>20</v>
      </c>
      <c r="J90" t="s">
        <v>38</v>
      </c>
      <c r="K90" t="s">
        <v>39</v>
      </c>
      <c r="L90">
        <v>143.53333333333299</v>
      </c>
      <c r="M90" t="s">
        <v>24</v>
      </c>
      <c r="N90" t="str">
        <f>_xlfn.XLOOKUP(A90,[1]!brca_metabric_clinical_data__2[Patient ID], [1]!brca_metabric_clinical_data__2[Tumor Size])</f>
        <v>23</v>
      </c>
      <c r="O90" t="str">
        <f>_xlfn.XLOOKUP(A90,[1]!brca_metabric_clinical_data__2[Sample ID],[1]!brca_metabric_clinical_data__2[Tumor Stage])</f>
        <v>NA</v>
      </c>
    </row>
    <row r="91" spans="1:15" x14ac:dyDescent="0.45">
      <c r="A91" t="s">
        <v>124</v>
      </c>
      <c r="B91">
        <v>57.56</v>
      </c>
      <c r="C91" t="s">
        <v>16</v>
      </c>
      <c r="D91" t="s">
        <v>17</v>
      </c>
      <c r="E91" t="s">
        <v>18</v>
      </c>
      <c r="F91" t="s">
        <v>19</v>
      </c>
      <c r="G91" t="s">
        <v>20</v>
      </c>
      <c r="H91" t="s">
        <v>21</v>
      </c>
      <c r="I91" t="s">
        <v>21</v>
      </c>
      <c r="J91" t="s">
        <v>27</v>
      </c>
      <c r="K91">
        <v>7</v>
      </c>
      <c r="L91">
        <v>55.766666666666701</v>
      </c>
      <c r="M91" t="s">
        <v>24</v>
      </c>
      <c r="N91" t="str">
        <f>_xlfn.XLOOKUP(A91,[1]!brca_metabric_clinical_data__2[Patient ID], [1]!brca_metabric_clinical_data__2[Tumor Size])</f>
        <v>14</v>
      </c>
      <c r="O91" t="str">
        <f>_xlfn.XLOOKUP(A91,[1]!brca_metabric_clinical_data__2[Sample ID],[1]!brca_metabric_clinical_data__2[Tumor Stage])</f>
        <v>2</v>
      </c>
    </row>
    <row r="92" spans="1:15" x14ac:dyDescent="0.45">
      <c r="A92" t="s">
        <v>125</v>
      </c>
      <c r="B92">
        <v>84.73</v>
      </c>
      <c r="C92" t="s">
        <v>16</v>
      </c>
      <c r="D92" t="s">
        <v>17</v>
      </c>
      <c r="E92" t="s">
        <v>37</v>
      </c>
      <c r="F92" t="s">
        <v>19</v>
      </c>
      <c r="G92" t="s">
        <v>20</v>
      </c>
      <c r="H92" t="s">
        <v>20</v>
      </c>
      <c r="I92" t="s">
        <v>20</v>
      </c>
      <c r="J92" t="s">
        <v>58</v>
      </c>
      <c r="K92">
        <v>10</v>
      </c>
      <c r="L92">
        <v>98.1</v>
      </c>
      <c r="M92" t="s">
        <v>30</v>
      </c>
      <c r="N92" t="str">
        <f>_xlfn.XLOOKUP(A92,[1]!brca_metabric_clinical_data__2[Patient ID], [1]!brca_metabric_clinical_data__2[Tumor Size])</f>
        <v>27</v>
      </c>
      <c r="O92" t="str">
        <f>_xlfn.XLOOKUP(A92,[1]!brca_metabric_clinical_data__2[Sample ID],[1]!brca_metabric_clinical_data__2[Tumor Stage])</f>
        <v>NA</v>
      </c>
    </row>
    <row r="93" spans="1:15" x14ac:dyDescent="0.45">
      <c r="A93" t="s">
        <v>126</v>
      </c>
      <c r="B93">
        <v>37.869999999999997</v>
      </c>
      <c r="C93" t="s">
        <v>16</v>
      </c>
      <c r="D93" t="s">
        <v>26</v>
      </c>
      <c r="E93" t="s">
        <v>37</v>
      </c>
      <c r="F93" t="s">
        <v>19</v>
      </c>
      <c r="G93" t="s">
        <v>21</v>
      </c>
      <c r="H93" t="s">
        <v>20</v>
      </c>
      <c r="I93" t="s">
        <v>21</v>
      </c>
      <c r="J93" t="s">
        <v>22</v>
      </c>
      <c r="K93">
        <v>10</v>
      </c>
      <c r="L93">
        <v>10.8333333333333</v>
      </c>
      <c r="M93" t="s">
        <v>24</v>
      </c>
      <c r="N93" t="str">
        <f>_xlfn.XLOOKUP(A93,[1]!brca_metabric_clinical_data__2[Patient ID], [1]!brca_metabric_clinical_data__2[Tumor Size])</f>
        <v>16</v>
      </c>
      <c r="O93" t="str">
        <f>_xlfn.XLOOKUP(A93,[1]!brca_metabric_clinical_data__2[Sample ID],[1]!brca_metabric_clinical_data__2[Tumor Stage])</f>
        <v>2</v>
      </c>
    </row>
    <row r="94" spans="1:15" x14ac:dyDescent="0.45">
      <c r="A94" t="s">
        <v>127</v>
      </c>
      <c r="B94">
        <v>53.75</v>
      </c>
      <c r="C94" t="s">
        <v>16</v>
      </c>
      <c r="D94" t="s">
        <v>17</v>
      </c>
      <c r="E94" t="s">
        <v>18</v>
      </c>
      <c r="F94" t="s">
        <v>43</v>
      </c>
      <c r="G94" t="s">
        <v>21</v>
      </c>
      <c r="H94" t="s">
        <v>21</v>
      </c>
      <c r="I94" t="s">
        <v>21</v>
      </c>
      <c r="J94" t="s">
        <v>27</v>
      </c>
      <c r="K94">
        <v>5</v>
      </c>
      <c r="L94">
        <v>47.633333333333297</v>
      </c>
      <c r="M94" t="s">
        <v>30</v>
      </c>
      <c r="N94" t="str">
        <f>_xlfn.XLOOKUP(A94,[1]!brca_metabric_clinical_data__2[Patient ID], [1]!brca_metabric_clinical_data__2[Tumor Size])</f>
        <v>52</v>
      </c>
      <c r="O94" t="str">
        <f>_xlfn.XLOOKUP(A94,[1]!brca_metabric_clinical_data__2[Sample ID],[1]!brca_metabric_clinical_data__2[Tumor Stage])</f>
        <v>3</v>
      </c>
    </row>
    <row r="95" spans="1:15" x14ac:dyDescent="0.45">
      <c r="A95" t="s">
        <v>128</v>
      </c>
      <c r="B95">
        <v>44.98</v>
      </c>
      <c r="C95" t="s">
        <v>16</v>
      </c>
      <c r="D95" t="s">
        <v>26</v>
      </c>
      <c r="E95" t="s">
        <v>18</v>
      </c>
      <c r="F95" t="s">
        <v>19</v>
      </c>
      <c r="G95" t="s">
        <v>21</v>
      </c>
      <c r="H95" t="s">
        <v>21</v>
      </c>
      <c r="I95" t="s">
        <v>21</v>
      </c>
      <c r="J95" t="s">
        <v>27</v>
      </c>
      <c r="K95" t="s">
        <v>23</v>
      </c>
      <c r="L95">
        <v>104.4</v>
      </c>
      <c r="M95" t="s">
        <v>24</v>
      </c>
      <c r="N95" t="str">
        <f>_xlfn.XLOOKUP(A95,[1]!brca_metabric_clinical_data__2[Patient ID], [1]!brca_metabric_clinical_data__2[Tumor Size])</f>
        <v>24</v>
      </c>
      <c r="O95" t="str">
        <f>_xlfn.XLOOKUP(A95,[1]!brca_metabric_clinical_data__2[Sample ID],[1]!brca_metabric_clinical_data__2[Tumor Stage])</f>
        <v>2</v>
      </c>
    </row>
    <row r="96" spans="1:15" x14ac:dyDescent="0.45">
      <c r="A96" t="s">
        <v>129</v>
      </c>
      <c r="B96">
        <v>76.400000000000006</v>
      </c>
      <c r="C96" t="s">
        <v>16</v>
      </c>
      <c r="D96" t="s">
        <v>17</v>
      </c>
      <c r="E96" t="s">
        <v>18</v>
      </c>
      <c r="F96" t="s">
        <v>19</v>
      </c>
      <c r="G96" t="s">
        <v>20</v>
      </c>
      <c r="H96" t="s">
        <v>21</v>
      </c>
      <c r="I96" t="s">
        <v>21</v>
      </c>
      <c r="J96" t="s">
        <v>29</v>
      </c>
      <c r="K96">
        <v>9</v>
      </c>
      <c r="L96">
        <v>43.1</v>
      </c>
      <c r="M96" t="s">
        <v>30</v>
      </c>
      <c r="N96" t="str">
        <f>_xlfn.XLOOKUP(A96,[1]!brca_metabric_clinical_data__2[Patient ID], [1]!brca_metabric_clinical_data__2[Tumor Size])</f>
        <v>38</v>
      </c>
      <c r="O96" t="str">
        <f>_xlfn.XLOOKUP(A96,[1]!brca_metabric_clinical_data__2[Sample ID],[1]!brca_metabric_clinical_data__2[Tumor Stage])</f>
        <v>2</v>
      </c>
    </row>
    <row r="97" spans="1:15" x14ac:dyDescent="0.45">
      <c r="A97" t="s">
        <v>130</v>
      </c>
      <c r="B97">
        <v>60.26</v>
      </c>
      <c r="C97" t="s">
        <v>16</v>
      </c>
      <c r="D97" t="s">
        <v>17</v>
      </c>
      <c r="E97" t="s">
        <v>18</v>
      </c>
      <c r="F97" t="s">
        <v>19</v>
      </c>
      <c r="G97" t="s">
        <v>20</v>
      </c>
      <c r="H97" t="s">
        <v>21</v>
      </c>
      <c r="I97" t="s">
        <v>21</v>
      </c>
      <c r="J97" t="s">
        <v>22</v>
      </c>
      <c r="K97" t="s">
        <v>23</v>
      </c>
      <c r="L97">
        <v>122.76666666666701</v>
      </c>
      <c r="M97" t="s">
        <v>24</v>
      </c>
      <c r="N97" t="str">
        <f>_xlfn.XLOOKUP(A97,[1]!brca_metabric_clinical_data__2[Patient ID], [1]!brca_metabric_clinical_data__2[Tumor Size])</f>
        <v>17</v>
      </c>
      <c r="O97" t="str">
        <f>_xlfn.XLOOKUP(A97,[1]!brca_metabric_clinical_data__2[Sample ID],[1]!brca_metabric_clinical_data__2[Tumor Stage])</f>
        <v>1</v>
      </c>
    </row>
    <row r="98" spans="1:15" x14ac:dyDescent="0.45">
      <c r="A98" t="s">
        <v>131</v>
      </c>
      <c r="B98">
        <v>79.28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 t="s">
        <v>21</v>
      </c>
      <c r="I98" t="s">
        <v>20</v>
      </c>
      <c r="J98" t="s">
        <v>38</v>
      </c>
      <c r="K98" t="s">
        <v>23</v>
      </c>
      <c r="L98">
        <v>145.433333333333</v>
      </c>
      <c r="M98" t="s">
        <v>30</v>
      </c>
      <c r="N98" t="str">
        <f>_xlfn.XLOOKUP(A98,[1]!brca_metabric_clinical_data__2[Patient ID], [1]!brca_metabric_clinical_data__2[Tumor Size])</f>
        <v>39</v>
      </c>
      <c r="O98" t="str">
        <f>_xlfn.XLOOKUP(A98,[1]!brca_metabric_clinical_data__2[Sample ID],[1]!brca_metabric_clinical_data__2[Tumor Stage])</f>
        <v>2</v>
      </c>
    </row>
    <row r="99" spans="1:15" x14ac:dyDescent="0.45">
      <c r="A99" t="s">
        <v>132</v>
      </c>
      <c r="B99">
        <v>83.35</v>
      </c>
      <c r="C99" t="s">
        <v>16</v>
      </c>
      <c r="D99" t="s">
        <v>17</v>
      </c>
      <c r="E99" t="s">
        <v>18</v>
      </c>
      <c r="F99" t="s">
        <v>19</v>
      </c>
      <c r="G99" t="s">
        <v>20</v>
      </c>
      <c r="H99" t="s">
        <v>21</v>
      </c>
      <c r="I99" t="s">
        <v>21</v>
      </c>
      <c r="J99" t="s">
        <v>27</v>
      </c>
      <c r="K99">
        <v>3</v>
      </c>
      <c r="L99">
        <v>93.366666666666703</v>
      </c>
      <c r="M99" t="s">
        <v>30</v>
      </c>
      <c r="N99" t="str">
        <f>_xlfn.XLOOKUP(A99,[1]!brca_metabric_clinical_data__2[Patient ID], [1]!brca_metabric_clinical_data__2[Tumor Size])</f>
        <v>26</v>
      </c>
      <c r="O99" t="str">
        <f>_xlfn.XLOOKUP(A99,[1]!brca_metabric_clinical_data__2[Sample ID],[1]!brca_metabric_clinical_data__2[Tumor Stage])</f>
        <v>2</v>
      </c>
    </row>
    <row r="100" spans="1:15" x14ac:dyDescent="0.45">
      <c r="A100" t="s">
        <v>133</v>
      </c>
      <c r="B100">
        <v>64.569999999999993</v>
      </c>
      <c r="C100" t="s">
        <v>16</v>
      </c>
      <c r="D100" t="s">
        <v>17</v>
      </c>
      <c r="E100" t="s">
        <v>18</v>
      </c>
      <c r="F100" t="s">
        <v>19</v>
      </c>
      <c r="G100" t="s">
        <v>20</v>
      </c>
      <c r="H100" t="s">
        <v>21</v>
      </c>
      <c r="I100" t="s">
        <v>21</v>
      </c>
      <c r="J100" t="s">
        <v>38</v>
      </c>
      <c r="K100" t="s">
        <v>23</v>
      </c>
      <c r="L100">
        <v>5.43333333333333</v>
      </c>
      <c r="M100" t="s">
        <v>24</v>
      </c>
      <c r="N100" t="str">
        <f>_xlfn.XLOOKUP(A100,[1]!brca_metabric_clinical_data__2[Patient ID], [1]!brca_metabric_clinical_data__2[Tumor Size])</f>
        <v>27</v>
      </c>
      <c r="O100" t="str">
        <f>_xlfn.XLOOKUP(A100,[1]!brca_metabric_clinical_data__2[Sample ID],[1]!brca_metabric_clinical_data__2[Tumor Stage])</f>
        <v>2</v>
      </c>
    </row>
    <row r="101" spans="1:15" x14ac:dyDescent="0.45">
      <c r="A101" t="s">
        <v>134</v>
      </c>
      <c r="B101">
        <v>48.11</v>
      </c>
      <c r="C101" t="s">
        <v>16</v>
      </c>
      <c r="D101" t="s">
        <v>26</v>
      </c>
      <c r="E101" t="s">
        <v>18</v>
      </c>
      <c r="F101" t="s">
        <v>19</v>
      </c>
      <c r="G101" t="s">
        <v>21</v>
      </c>
      <c r="H101" t="s">
        <v>21</v>
      </c>
      <c r="I101" t="s">
        <v>21</v>
      </c>
      <c r="J101" t="s">
        <v>27</v>
      </c>
      <c r="K101">
        <v>3</v>
      </c>
      <c r="L101">
        <v>138.1</v>
      </c>
      <c r="M101" t="s">
        <v>24</v>
      </c>
      <c r="N101" t="str">
        <f>_xlfn.XLOOKUP(A101,[1]!brca_metabric_clinical_data__2[Patient ID], [1]!brca_metabric_clinical_data__2[Tumor Size])</f>
        <v>20</v>
      </c>
      <c r="O101" t="str">
        <f>_xlfn.XLOOKUP(A101,[1]!brca_metabric_clinical_data__2[Sample ID],[1]!brca_metabric_clinical_data__2[Tumor Stage])</f>
        <v>2</v>
      </c>
    </row>
    <row r="102" spans="1:15" x14ac:dyDescent="0.45">
      <c r="A102" t="s">
        <v>135</v>
      </c>
      <c r="B102">
        <v>83.99</v>
      </c>
      <c r="C102" t="s">
        <v>16</v>
      </c>
      <c r="D102" t="s">
        <v>17</v>
      </c>
      <c r="E102" t="s">
        <v>18</v>
      </c>
      <c r="F102" t="s">
        <v>35</v>
      </c>
      <c r="G102" t="s">
        <v>20</v>
      </c>
      <c r="H102" t="s">
        <v>21</v>
      </c>
      <c r="I102" t="s">
        <v>21</v>
      </c>
      <c r="J102" t="s">
        <v>29</v>
      </c>
      <c r="K102">
        <v>7</v>
      </c>
      <c r="L102">
        <v>3.7666666666666702</v>
      </c>
      <c r="M102" t="s">
        <v>24</v>
      </c>
      <c r="N102" t="str">
        <f>_xlfn.XLOOKUP(A102,[1]!brca_metabric_clinical_data__2[Patient ID], [1]!brca_metabric_clinical_data__2[Tumor Size])</f>
        <v>44</v>
      </c>
      <c r="O102" t="str">
        <f>_xlfn.XLOOKUP(A102,[1]!brca_metabric_clinical_data__2[Sample ID],[1]!brca_metabric_clinical_data__2[Tumor Stage])</f>
        <v>2</v>
      </c>
    </row>
    <row r="103" spans="1:15" x14ac:dyDescent="0.45">
      <c r="A103" t="s">
        <v>136</v>
      </c>
      <c r="B103">
        <v>59.18</v>
      </c>
      <c r="C103" t="s">
        <v>16</v>
      </c>
      <c r="D103" t="s">
        <v>17</v>
      </c>
      <c r="E103" t="s">
        <v>37</v>
      </c>
      <c r="F103" t="s">
        <v>19</v>
      </c>
      <c r="G103" t="s">
        <v>21</v>
      </c>
      <c r="H103" t="s">
        <v>20</v>
      </c>
      <c r="I103" t="s">
        <v>21</v>
      </c>
      <c r="J103" t="s">
        <v>22</v>
      </c>
      <c r="K103" t="s">
        <v>39</v>
      </c>
      <c r="L103">
        <v>78.766666666666694</v>
      </c>
      <c r="M103" t="s">
        <v>24</v>
      </c>
      <c r="N103" t="str">
        <f>_xlfn.XLOOKUP(A103,[1]!brca_metabric_clinical_data__2[Patient ID], [1]!brca_metabric_clinical_data__2[Tumor Size])</f>
        <v>24</v>
      </c>
      <c r="O103" t="str">
        <f>_xlfn.XLOOKUP(A103,[1]!brca_metabric_clinical_data__2[Sample ID],[1]!brca_metabric_clinical_data__2[Tumor Stage])</f>
        <v>2</v>
      </c>
    </row>
    <row r="104" spans="1:15" x14ac:dyDescent="0.45">
      <c r="A104" t="s">
        <v>137</v>
      </c>
      <c r="B104">
        <v>69.510000000000005</v>
      </c>
      <c r="C104" t="s">
        <v>16</v>
      </c>
      <c r="D104" t="s">
        <v>17</v>
      </c>
      <c r="E104" t="s">
        <v>18</v>
      </c>
      <c r="F104" t="s">
        <v>35</v>
      </c>
      <c r="G104" t="s">
        <v>20</v>
      </c>
      <c r="H104" t="s">
        <v>21</v>
      </c>
      <c r="I104" t="s">
        <v>20</v>
      </c>
      <c r="J104" t="s">
        <v>27</v>
      </c>
      <c r="K104">
        <v>6</v>
      </c>
      <c r="L104">
        <v>72.366666666666703</v>
      </c>
      <c r="M104" t="s">
        <v>24</v>
      </c>
      <c r="N104" t="str">
        <f>_xlfn.XLOOKUP(A104,[1]!brca_metabric_clinical_data__2[Patient ID], [1]!brca_metabric_clinical_data__2[Tumor Size])</f>
        <v>20</v>
      </c>
      <c r="O104" t="str">
        <f>_xlfn.XLOOKUP(A104,[1]!brca_metabric_clinical_data__2[Sample ID],[1]!brca_metabric_clinical_data__2[Tumor Stage])</f>
        <v>1</v>
      </c>
    </row>
    <row r="105" spans="1:15" x14ac:dyDescent="0.45">
      <c r="A105" t="s">
        <v>138</v>
      </c>
      <c r="B105">
        <v>38.78</v>
      </c>
      <c r="C105" t="s">
        <v>16</v>
      </c>
      <c r="D105" t="s">
        <v>26</v>
      </c>
      <c r="E105" t="s">
        <v>18</v>
      </c>
      <c r="F105" t="s">
        <v>19</v>
      </c>
      <c r="G105" t="s">
        <v>21</v>
      </c>
      <c r="H105" t="s">
        <v>21</v>
      </c>
      <c r="I105" t="s">
        <v>21</v>
      </c>
      <c r="J105" t="s">
        <v>27</v>
      </c>
      <c r="K105">
        <v>1</v>
      </c>
      <c r="L105">
        <v>113.433333333333</v>
      </c>
      <c r="M105" t="s">
        <v>24</v>
      </c>
      <c r="N105" t="str">
        <f>_xlfn.XLOOKUP(A105,[1]!brca_metabric_clinical_data__2[Patient ID], [1]!brca_metabric_clinical_data__2[Tumor Size])</f>
        <v>36</v>
      </c>
      <c r="O105" t="str">
        <f>_xlfn.XLOOKUP(A105,[1]!brca_metabric_clinical_data__2[Sample ID],[1]!brca_metabric_clinical_data__2[Tumor Stage])</f>
        <v>2</v>
      </c>
    </row>
    <row r="106" spans="1:15" x14ac:dyDescent="0.45">
      <c r="A106" t="s">
        <v>139</v>
      </c>
      <c r="B106">
        <v>85.94</v>
      </c>
      <c r="C106" t="s">
        <v>16</v>
      </c>
      <c r="D106" t="s">
        <v>17</v>
      </c>
      <c r="E106" t="s">
        <v>18</v>
      </c>
      <c r="F106" t="s">
        <v>19</v>
      </c>
      <c r="G106" t="s">
        <v>20</v>
      </c>
      <c r="H106" t="s">
        <v>21</v>
      </c>
      <c r="I106" t="s">
        <v>21</v>
      </c>
      <c r="J106" t="s">
        <v>27</v>
      </c>
      <c r="K106">
        <v>6</v>
      </c>
      <c r="L106">
        <v>45.6</v>
      </c>
      <c r="M106" t="s">
        <v>30</v>
      </c>
      <c r="N106" t="str">
        <f>_xlfn.XLOOKUP(A106,[1]!brca_metabric_clinical_data__2[Patient ID], [1]!brca_metabric_clinical_data__2[Tumor Size])</f>
        <v>44</v>
      </c>
      <c r="O106" t="str">
        <f>_xlfn.XLOOKUP(A106,[1]!brca_metabric_clinical_data__2[Sample ID],[1]!brca_metabric_clinical_data__2[Tumor Stage])</f>
        <v>2</v>
      </c>
    </row>
    <row r="107" spans="1:15" x14ac:dyDescent="0.45">
      <c r="A107" t="s">
        <v>140</v>
      </c>
      <c r="B107">
        <v>74.63</v>
      </c>
      <c r="C107" t="s">
        <v>16</v>
      </c>
      <c r="D107" t="s">
        <v>17</v>
      </c>
      <c r="E107" t="s">
        <v>18</v>
      </c>
      <c r="F107" t="s">
        <v>19</v>
      </c>
      <c r="G107" t="s">
        <v>20</v>
      </c>
      <c r="H107" t="s">
        <v>21</v>
      </c>
      <c r="I107" t="s">
        <v>21</v>
      </c>
      <c r="J107" t="s">
        <v>29</v>
      </c>
      <c r="K107">
        <v>1</v>
      </c>
      <c r="L107">
        <v>104.466666666667</v>
      </c>
      <c r="M107" t="s">
        <v>30</v>
      </c>
      <c r="N107" t="str">
        <f>_xlfn.XLOOKUP(A107,[1]!brca_metabric_clinical_data__2[Patient ID], [1]!brca_metabric_clinical_data__2[Tumor Size])</f>
        <v>21</v>
      </c>
      <c r="O107" t="str">
        <f>_xlfn.XLOOKUP(A107,[1]!brca_metabric_clinical_data__2[Sample ID],[1]!brca_metabric_clinical_data__2[Tumor Stage])</f>
        <v>2</v>
      </c>
    </row>
    <row r="108" spans="1:15" x14ac:dyDescent="0.45">
      <c r="A108" t="s">
        <v>141</v>
      </c>
      <c r="B108">
        <v>56.39</v>
      </c>
      <c r="C108" t="s">
        <v>16</v>
      </c>
      <c r="D108" t="s">
        <v>17</v>
      </c>
      <c r="E108" t="s">
        <v>37</v>
      </c>
      <c r="F108" t="s">
        <v>43</v>
      </c>
      <c r="G108" t="s">
        <v>21</v>
      </c>
      <c r="H108" t="s">
        <v>20</v>
      </c>
      <c r="I108" t="s">
        <v>21</v>
      </c>
      <c r="J108" t="s">
        <v>22</v>
      </c>
      <c r="K108" t="s">
        <v>39</v>
      </c>
      <c r="L108">
        <v>17.933333333333302</v>
      </c>
      <c r="M108" t="s">
        <v>30</v>
      </c>
      <c r="N108" t="str">
        <f>_xlfn.XLOOKUP(A108,[1]!brca_metabric_clinical_data__2[Patient ID], [1]!brca_metabric_clinical_data__2[Tumor Size])</f>
        <v>34</v>
      </c>
      <c r="O108" t="str">
        <f>_xlfn.XLOOKUP(A108,[1]!brca_metabric_clinical_data__2[Sample ID],[1]!brca_metabric_clinical_data__2[Tumor Stage])</f>
        <v>3</v>
      </c>
    </row>
    <row r="109" spans="1:15" x14ac:dyDescent="0.45">
      <c r="A109" t="s">
        <v>142</v>
      </c>
      <c r="B109">
        <v>51.69</v>
      </c>
      <c r="C109" t="s">
        <v>16</v>
      </c>
      <c r="D109" t="s">
        <v>17</v>
      </c>
      <c r="E109" t="s">
        <v>18</v>
      </c>
      <c r="F109" t="s">
        <v>19</v>
      </c>
      <c r="G109" t="s">
        <v>20</v>
      </c>
      <c r="H109" t="s">
        <v>21</v>
      </c>
      <c r="I109" t="s">
        <v>21</v>
      </c>
      <c r="J109" t="s">
        <v>27</v>
      </c>
      <c r="K109">
        <v>8</v>
      </c>
      <c r="L109">
        <v>62.3333333333333</v>
      </c>
      <c r="M109" t="s">
        <v>24</v>
      </c>
      <c r="N109" t="str">
        <f>_xlfn.XLOOKUP(A109,[1]!brca_metabric_clinical_data__2[Patient ID], [1]!brca_metabric_clinical_data__2[Tumor Size])</f>
        <v>18</v>
      </c>
      <c r="O109" t="str">
        <f>_xlfn.XLOOKUP(A109,[1]!brca_metabric_clinical_data__2[Sample ID],[1]!brca_metabric_clinical_data__2[Tumor Stage])</f>
        <v>1</v>
      </c>
    </row>
    <row r="110" spans="1:15" x14ac:dyDescent="0.45">
      <c r="A110" t="s">
        <v>143</v>
      </c>
      <c r="B110">
        <v>68.45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H110" t="s">
        <v>21</v>
      </c>
      <c r="I110" t="s">
        <v>21</v>
      </c>
      <c r="J110" t="s">
        <v>27</v>
      </c>
      <c r="K110">
        <v>7</v>
      </c>
      <c r="L110">
        <v>85.966666666666697</v>
      </c>
      <c r="M110" t="s">
        <v>24</v>
      </c>
      <c r="N110" t="str">
        <f>_xlfn.XLOOKUP(A110,[1]!brca_metabric_clinical_data__2[Patient ID], [1]!brca_metabric_clinical_data__2[Tumor Size])</f>
        <v>21</v>
      </c>
      <c r="O110" t="str">
        <f>_xlfn.XLOOKUP(A110,[1]!brca_metabric_clinical_data__2[Sample ID],[1]!brca_metabric_clinical_data__2[Tumor Stage])</f>
        <v>2</v>
      </c>
    </row>
    <row r="111" spans="1:15" x14ac:dyDescent="0.45">
      <c r="A111" t="s">
        <v>144</v>
      </c>
      <c r="B111">
        <v>68.41</v>
      </c>
      <c r="C111" t="s">
        <v>16</v>
      </c>
      <c r="D111" t="s">
        <v>17</v>
      </c>
      <c r="E111" t="s">
        <v>18</v>
      </c>
      <c r="F111" t="s">
        <v>19</v>
      </c>
      <c r="G111" t="s">
        <v>20</v>
      </c>
      <c r="H111" t="s">
        <v>21</v>
      </c>
      <c r="I111" t="s">
        <v>20</v>
      </c>
      <c r="J111" t="s">
        <v>27</v>
      </c>
      <c r="K111" t="s">
        <v>23</v>
      </c>
      <c r="L111">
        <v>109.033333333333</v>
      </c>
      <c r="M111" t="s">
        <v>24</v>
      </c>
      <c r="N111" t="str">
        <f>_xlfn.XLOOKUP(A111,[1]!brca_metabric_clinical_data__2[Patient ID], [1]!brca_metabric_clinical_data__2[Tumor Size])</f>
        <v>25</v>
      </c>
      <c r="O111" t="str">
        <f>_xlfn.XLOOKUP(A111,[1]!brca_metabric_clinical_data__2[Sample ID],[1]!brca_metabric_clinical_data__2[Tumor Stage])</f>
        <v>2</v>
      </c>
    </row>
    <row r="112" spans="1:15" x14ac:dyDescent="0.45">
      <c r="A112" t="s">
        <v>145</v>
      </c>
      <c r="B112">
        <v>76.84</v>
      </c>
      <c r="C112" t="s">
        <v>16</v>
      </c>
      <c r="D112" t="s">
        <v>17</v>
      </c>
      <c r="E112" t="s">
        <v>18</v>
      </c>
      <c r="F112" t="s">
        <v>43</v>
      </c>
      <c r="G112" t="s">
        <v>20</v>
      </c>
      <c r="H112" t="s">
        <v>21</v>
      </c>
      <c r="I112" t="s">
        <v>21</v>
      </c>
      <c r="J112" t="s">
        <v>29</v>
      </c>
      <c r="K112">
        <v>9</v>
      </c>
      <c r="L112">
        <v>43.8333333333333</v>
      </c>
      <c r="M112" t="s">
        <v>30</v>
      </c>
      <c r="N112" t="str">
        <f>_xlfn.XLOOKUP(A112,[1]!brca_metabric_clinical_data__2[Patient ID], [1]!brca_metabric_clinical_data__2[Tumor Size])</f>
        <v>50</v>
      </c>
      <c r="O112" t="str">
        <f>_xlfn.XLOOKUP(A112,[1]!brca_metabric_clinical_data__2[Sample ID],[1]!brca_metabric_clinical_data__2[Tumor Stage])</f>
        <v>2</v>
      </c>
    </row>
    <row r="113" spans="1:15" x14ac:dyDescent="0.45">
      <c r="A113" t="s">
        <v>146</v>
      </c>
      <c r="B113">
        <v>82.65</v>
      </c>
      <c r="C113" t="s">
        <v>16</v>
      </c>
      <c r="D113" t="s">
        <v>17</v>
      </c>
      <c r="E113" t="s">
        <v>18</v>
      </c>
      <c r="F113" t="s">
        <v>19</v>
      </c>
      <c r="G113" t="s">
        <v>21</v>
      </c>
      <c r="H113" t="s">
        <v>20</v>
      </c>
      <c r="I113" t="s">
        <v>21</v>
      </c>
      <c r="J113" t="s">
        <v>45</v>
      </c>
      <c r="K113">
        <v>3</v>
      </c>
      <c r="L113">
        <v>31.3</v>
      </c>
      <c r="M113" t="s">
        <v>30</v>
      </c>
      <c r="N113" t="str">
        <f>_xlfn.XLOOKUP(A113,[1]!brca_metabric_clinical_data__2[Patient ID], [1]!brca_metabric_clinical_data__2[Tumor Size])</f>
        <v>45</v>
      </c>
      <c r="O113" t="str">
        <f>_xlfn.XLOOKUP(A113,[1]!brca_metabric_clinical_data__2[Sample ID],[1]!brca_metabric_clinical_data__2[Tumor Stage])</f>
        <v>2</v>
      </c>
    </row>
    <row r="114" spans="1:15" x14ac:dyDescent="0.45">
      <c r="A114" t="s">
        <v>147</v>
      </c>
      <c r="B114">
        <v>57.79</v>
      </c>
      <c r="C114" t="s">
        <v>16</v>
      </c>
      <c r="D114" t="s">
        <v>17</v>
      </c>
      <c r="E114" t="s">
        <v>18</v>
      </c>
      <c r="F114" t="s">
        <v>19</v>
      </c>
      <c r="G114" t="s">
        <v>21</v>
      </c>
      <c r="H114" t="s">
        <v>21</v>
      </c>
      <c r="I114" t="s">
        <v>21</v>
      </c>
      <c r="J114" t="s">
        <v>38</v>
      </c>
      <c r="K114">
        <v>6</v>
      </c>
      <c r="L114">
        <v>9.06666666666667</v>
      </c>
      <c r="M114" t="s">
        <v>30</v>
      </c>
      <c r="N114" t="str">
        <f>_xlfn.XLOOKUP(A114,[1]!brca_metabric_clinical_data__2[Patient ID], [1]!brca_metabric_clinical_data__2[Tumor Size])</f>
        <v>48</v>
      </c>
      <c r="O114" t="str">
        <f>_xlfn.XLOOKUP(A114,[1]!brca_metabric_clinical_data__2[Sample ID],[1]!brca_metabric_clinical_data__2[Tumor Stage])</f>
        <v>4</v>
      </c>
    </row>
    <row r="115" spans="1:15" x14ac:dyDescent="0.45">
      <c r="A115" t="s">
        <v>148</v>
      </c>
      <c r="B115">
        <v>81.02</v>
      </c>
      <c r="C115" t="s">
        <v>16</v>
      </c>
      <c r="D115" t="s">
        <v>17</v>
      </c>
      <c r="E115" t="s">
        <v>37</v>
      </c>
      <c r="F115" t="s">
        <v>19</v>
      </c>
      <c r="G115" t="s">
        <v>20</v>
      </c>
      <c r="H115" t="s">
        <v>20</v>
      </c>
      <c r="I115" t="s">
        <v>21</v>
      </c>
      <c r="J115" t="s">
        <v>58</v>
      </c>
      <c r="K115">
        <v>10</v>
      </c>
      <c r="L115">
        <v>15.3</v>
      </c>
      <c r="M115" t="s">
        <v>30</v>
      </c>
      <c r="N115" t="str">
        <f>_xlfn.XLOOKUP(A115,[1]!brca_metabric_clinical_data__2[Patient ID], [1]!brca_metabric_clinical_data__2[Tumor Size])</f>
        <v>25</v>
      </c>
      <c r="O115" t="str">
        <f>_xlfn.XLOOKUP(A115,[1]!brca_metabric_clinical_data__2[Sample ID],[1]!brca_metabric_clinical_data__2[Tumor Stage])</f>
        <v>2</v>
      </c>
    </row>
    <row r="116" spans="1:15" x14ac:dyDescent="0.45">
      <c r="A116" t="s">
        <v>149</v>
      </c>
      <c r="B116">
        <v>62.55</v>
      </c>
      <c r="C116" t="s">
        <v>16</v>
      </c>
      <c r="D116" t="s">
        <v>17</v>
      </c>
      <c r="E116" t="s">
        <v>18</v>
      </c>
      <c r="F116" t="s">
        <v>19</v>
      </c>
      <c r="G116" t="s">
        <v>20</v>
      </c>
      <c r="H116" t="s">
        <v>21</v>
      </c>
      <c r="I116" t="s">
        <v>21</v>
      </c>
      <c r="J116" t="s">
        <v>22</v>
      </c>
      <c r="K116" t="s">
        <v>23</v>
      </c>
      <c r="L116">
        <v>144.63333333333301</v>
      </c>
      <c r="M116" t="s">
        <v>24</v>
      </c>
      <c r="N116" t="str">
        <f>_xlfn.XLOOKUP(A116,[1]!brca_metabric_clinical_data__2[Patient ID], [1]!brca_metabric_clinical_data__2[Tumor Size])</f>
        <v>13</v>
      </c>
      <c r="O116" t="str">
        <f>_xlfn.XLOOKUP(A116,[1]!brca_metabric_clinical_data__2[Sample ID],[1]!brca_metabric_clinical_data__2[Tumor Stage])</f>
        <v>1</v>
      </c>
    </row>
    <row r="117" spans="1:15" x14ac:dyDescent="0.45">
      <c r="A117" t="s">
        <v>150</v>
      </c>
      <c r="B117">
        <v>51.54</v>
      </c>
      <c r="C117" t="s">
        <v>16</v>
      </c>
      <c r="D117" t="s">
        <v>17</v>
      </c>
      <c r="E117" t="s">
        <v>18</v>
      </c>
      <c r="F117" t="s">
        <v>43</v>
      </c>
      <c r="G117" t="s">
        <v>20</v>
      </c>
      <c r="H117" t="s">
        <v>20</v>
      </c>
      <c r="I117" t="s">
        <v>20</v>
      </c>
      <c r="J117" t="s">
        <v>29</v>
      </c>
      <c r="K117">
        <v>3</v>
      </c>
      <c r="L117">
        <v>19</v>
      </c>
      <c r="M117" t="s">
        <v>24</v>
      </c>
      <c r="N117" t="str">
        <f>_xlfn.XLOOKUP(A117,[1]!brca_metabric_clinical_data__2[Patient ID], [1]!brca_metabric_clinical_data__2[Tumor Size])</f>
        <v>19</v>
      </c>
      <c r="O117" t="str">
        <f>_xlfn.XLOOKUP(A117,[1]!brca_metabric_clinical_data__2[Sample ID],[1]!brca_metabric_clinical_data__2[Tumor Stage])</f>
        <v>NA</v>
      </c>
    </row>
    <row r="118" spans="1:15" x14ac:dyDescent="0.45">
      <c r="A118" t="s">
        <v>151</v>
      </c>
      <c r="B118">
        <v>56.45</v>
      </c>
      <c r="C118" t="s">
        <v>16</v>
      </c>
      <c r="D118" t="s">
        <v>17</v>
      </c>
      <c r="E118" t="s">
        <v>18</v>
      </c>
      <c r="F118" t="s">
        <v>19</v>
      </c>
      <c r="G118" t="s">
        <v>21</v>
      </c>
      <c r="H118" t="s">
        <v>21</v>
      </c>
      <c r="I118" t="s">
        <v>21</v>
      </c>
      <c r="J118" t="s">
        <v>27</v>
      </c>
      <c r="K118">
        <v>3</v>
      </c>
      <c r="L118">
        <v>91.6</v>
      </c>
      <c r="M118" t="s">
        <v>24</v>
      </c>
      <c r="N118" t="str">
        <f>_xlfn.XLOOKUP(A118,[1]!brca_metabric_clinical_data__2[Patient ID], [1]!brca_metabric_clinical_data__2[Tumor Size])</f>
        <v>21</v>
      </c>
      <c r="O118" t="str">
        <f>_xlfn.XLOOKUP(A118,[1]!brca_metabric_clinical_data__2[Sample ID],[1]!brca_metabric_clinical_data__2[Tumor Stage])</f>
        <v>2</v>
      </c>
    </row>
    <row r="119" spans="1:15" x14ac:dyDescent="0.45">
      <c r="A119" t="s">
        <v>152</v>
      </c>
      <c r="B119">
        <v>75.180000000000007</v>
      </c>
      <c r="C119" t="s">
        <v>16</v>
      </c>
      <c r="D119" t="s">
        <v>17</v>
      </c>
      <c r="E119" t="s">
        <v>18</v>
      </c>
      <c r="F119" t="s">
        <v>43</v>
      </c>
      <c r="G119" t="s">
        <v>20</v>
      </c>
      <c r="H119" t="s">
        <v>21</v>
      </c>
      <c r="I119" t="s">
        <v>21</v>
      </c>
      <c r="J119" t="s">
        <v>29</v>
      </c>
      <c r="K119">
        <v>6</v>
      </c>
      <c r="L119">
        <v>146</v>
      </c>
      <c r="M119" t="s">
        <v>24</v>
      </c>
      <c r="N119" t="str">
        <f>_xlfn.XLOOKUP(A119,[1]!brca_metabric_clinical_data__2[Patient ID], [1]!brca_metabric_clinical_data__2[Tumor Size])</f>
        <v>28</v>
      </c>
      <c r="O119" t="str">
        <f>_xlfn.XLOOKUP(A119,[1]!brca_metabric_clinical_data__2[Sample ID],[1]!brca_metabric_clinical_data__2[Tumor Stage])</f>
        <v>2</v>
      </c>
    </row>
    <row r="120" spans="1:15" x14ac:dyDescent="0.45">
      <c r="A120" t="s">
        <v>153</v>
      </c>
      <c r="B120">
        <v>50.48</v>
      </c>
      <c r="C120" t="s">
        <v>16</v>
      </c>
      <c r="D120" t="s">
        <v>17</v>
      </c>
      <c r="E120" t="s">
        <v>18</v>
      </c>
      <c r="F120" t="s">
        <v>19</v>
      </c>
      <c r="G120" t="s">
        <v>21</v>
      </c>
      <c r="H120" t="s">
        <v>21</v>
      </c>
      <c r="I120" t="s">
        <v>21</v>
      </c>
      <c r="J120" t="s">
        <v>29</v>
      </c>
      <c r="K120">
        <v>9</v>
      </c>
      <c r="L120">
        <v>70.733333333333306</v>
      </c>
      <c r="M120" t="s">
        <v>24</v>
      </c>
      <c r="N120" t="str">
        <f>_xlfn.XLOOKUP(A120,[1]!brca_metabric_clinical_data__2[Patient ID], [1]!brca_metabric_clinical_data__2[Tumor Size])</f>
        <v>24</v>
      </c>
      <c r="O120" t="str">
        <f>_xlfn.XLOOKUP(A120,[1]!brca_metabric_clinical_data__2[Sample ID],[1]!brca_metabric_clinical_data__2[Tumor Stage])</f>
        <v>2</v>
      </c>
    </row>
    <row r="121" spans="1:15" x14ac:dyDescent="0.45">
      <c r="A121" t="s">
        <v>154</v>
      </c>
      <c r="B121">
        <v>43.37</v>
      </c>
      <c r="C121" t="s">
        <v>16</v>
      </c>
      <c r="D121" t="s">
        <v>26</v>
      </c>
      <c r="E121" t="s">
        <v>18</v>
      </c>
      <c r="F121" t="s">
        <v>19</v>
      </c>
      <c r="G121" t="s">
        <v>21</v>
      </c>
      <c r="H121" t="s">
        <v>21</v>
      </c>
      <c r="I121" t="s">
        <v>21</v>
      </c>
      <c r="J121" t="s">
        <v>29</v>
      </c>
      <c r="K121">
        <v>8</v>
      </c>
      <c r="L121">
        <v>144.76666666666699</v>
      </c>
      <c r="M121" t="s">
        <v>24</v>
      </c>
      <c r="N121" t="str">
        <f>_xlfn.XLOOKUP(A121,[1]!brca_metabric_clinical_data__2[Patient ID], [1]!brca_metabric_clinical_data__2[Tumor Size])</f>
        <v>18</v>
      </c>
      <c r="O121" t="str">
        <f>_xlfn.XLOOKUP(A121,[1]!brca_metabric_clinical_data__2[Sample ID],[1]!brca_metabric_clinical_data__2[Tumor Stage])</f>
        <v>2</v>
      </c>
    </row>
    <row r="122" spans="1:15" x14ac:dyDescent="0.45">
      <c r="A122" t="s">
        <v>155</v>
      </c>
      <c r="B122">
        <v>57.56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 t="s">
        <v>21</v>
      </c>
      <c r="I122" t="s">
        <v>21</v>
      </c>
      <c r="J122" t="s">
        <v>27</v>
      </c>
      <c r="K122">
        <v>3</v>
      </c>
      <c r="L122">
        <v>144.4</v>
      </c>
      <c r="M122" t="s">
        <v>24</v>
      </c>
      <c r="N122" t="str">
        <f>_xlfn.XLOOKUP(A122,[1]!brca_metabric_clinical_data__2[Patient ID], [1]!brca_metabric_clinical_data__2[Tumor Size])</f>
        <v>19</v>
      </c>
      <c r="O122" t="str">
        <f>_xlfn.XLOOKUP(A122,[1]!brca_metabric_clinical_data__2[Sample ID],[1]!brca_metabric_clinical_data__2[Tumor Stage])</f>
        <v>2</v>
      </c>
    </row>
    <row r="123" spans="1:15" x14ac:dyDescent="0.45">
      <c r="A123" t="s">
        <v>156</v>
      </c>
      <c r="B123">
        <v>69.86</v>
      </c>
      <c r="C123" t="s">
        <v>16</v>
      </c>
      <c r="D123" t="s">
        <v>17</v>
      </c>
      <c r="E123" t="s">
        <v>37</v>
      </c>
      <c r="F123" t="s">
        <v>19</v>
      </c>
      <c r="G123" t="s">
        <v>20</v>
      </c>
      <c r="H123" t="s">
        <v>20</v>
      </c>
      <c r="I123" t="s">
        <v>21</v>
      </c>
      <c r="J123" t="s">
        <v>58</v>
      </c>
      <c r="K123">
        <v>10</v>
      </c>
      <c r="L123">
        <v>130.86666666666699</v>
      </c>
      <c r="M123" t="s">
        <v>30</v>
      </c>
      <c r="N123" t="str">
        <f>_xlfn.XLOOKUP(A123,[1]!brca_metabric_clinical_data__2[Patient ID], [1]!brca_metabric_clinical_data__2[Tumor Size])</f>
        <v>38</v>
      </c>
      <c r="O123" t="str">
        <f>_xlfn.XLOOKUP(A123,[1]!brca_metabric_clinical_data__2[Sample ID],[1]!brca_metabric_clinical_data__2[Tumor Stage])</f>
        <v>2</v>
      </c>
    </row>
    <row r="124" spans="1:15" x14ac:dyDescent="0.45">
      <c r="A124" t="s">
        <v>157</v>
      </c>
      <c r="B124">
        <v>49.5</v>
      </c>
      <c r="C124" t="s">
        <v>16</v>
      </c>
      <c r="D124" t="s">
        <v>26</v>
      </c>
      <c r="E124" t="s">
        <v>37</v>
      </c>
      <c r="F124" t="s">
        <v>43</v>
      </c>
      <c r="G124" t="s">
        <v>21</v>
      </c>
      <c r="H124" t="s">
        <v>20</v>
      </c>
      <c r="I124" t="s">
        <v>21</v>
      </c>
      <c r="J124" t="s">
        <v>58</v>
      </c>
      <c r="K124">
        <v>5</v>
      </c>
      <c r="L124">
        <v>125.7</v>
      </c>
      <c r="M124" t="s">
        <v>24</v>
      </c>
      <c r="N124" t="str">
        <f>_xlfn.XLOOKUP(A124,[1]!brca_metabric_clinical_data__2[Patient ID], [1]!brca_metabric_clinical_data__2[Tumor Size])</f>
        <v>20</v>
      </c>
      <c r="O124" t="str">
        <f>_xlfn.XLOOKUP(A124,[1]!brca_metabric_clinical_data__2[Sample ID],[1]!brca_metabric_clinical_data__2[Tumor Stage])</f>
        <v>1</v>
      </c>
    </row>
    <row r="125" spans="1:15" x14ac:dyDescent="0.45">
      <c r="A125" t="s">
        <v>158</v>
      </c>
      <c r="B125">
        <v>46</v>
      </c>
      <c r="C125" t="s">
        <v>16</v>
      </c>
      <c r="D125" t="s">
        <v>26</v>
      </c>
      <c r="E125" t="s">
        <v>18</v>
      </c>
      <c r="F125" t="s">
        <v>19</v>
      </c>
      <c r="G125" t="s">
        <v>21</v>
      </c>
      <c r="H125" t="s">
        <v>21</v>
      </c>
      <c r="I125" t="s">
        <v>21</v>
      </c>
      <c r="J125" t="s">
        <v>27</v>
      </c>
      <c r="K125" t="s">
        <v>23</v>
      </c>
      <c r="L125">
        <v>128.36666666666699</v>
      </c>
      <c r="M125" t="s">
        <v>24</v>
      </c>
      <c r="N125" t="str">
        <f>_xlfn.XLOOKUP(A125,[1]!brca_metabric_clinical_data__2[Patient ID], [1]!brca_metabric_clinical_data__2[Tumor Size])</f>
        <v>30</v>
      </c>
      <c r="O125" t="str">
        <f>_xlfn.XLOOKUP(A125,[1]!brca_metabric_clinical_data__2[Sample ID],[1]!brca_metabric_clinical_data__2[Tumor Stage])</f>
        <v>2</v>
      </c>
    </row>
    <row r="126" spans="1:15" x14ac:dyDescent="0.45">
      <c r="A126" t="s">
        <v>159</v>
      </c>
      <c r="B126">
        <v>86.24</v>
      </c>
      <c r="C126" t="s">
        <v>16</v>
      </c>
      <c r="D126" t="s">
        <v>17</v>
      </c>
      <c r="E126" t="s">
        <v>18</v>
      </c>
      <c r="F126" t="s">
        <v>19</v>
      </c>
      <c r="G126" t="s">
        <v>21</v>
      </c>
      <c r="H126" t="s">
        <v>21</v>
      </c>
      <c r="I126" t="s">
        <v>21</v>
      </c>
      <c r="J126" t="s">
        <v>27</v>
      </c>
      <c r="K126">
        <v>7</v>
      </c>
      <c r="L126">
        <v>58.766666666666701</v>
      </c>
      <c r="M126" t="s">
        <v>30</v>
      </c>
      <c r="N126" t="str">
        <f>_xlfn.XLOOKUP(A126,[1]!brca_metabric_clinical_data__2[Patient ID], [1]!brca_metabric_clinical_data__2[Tumor Size])</f>
        <v>25</v>
      </c>
      <c r="O126" t="str">
        <f>_xlfn.XLOOKUP(A126,[1]!brca_metabric_clinical_data__2[Sample ID],[1]!brca_metabric_clinical_data__2[Tumor Stage])</f>
        <v>2</v>
      </c>
    </row>
    <row r="127" spans="1:15" x14ac:dyDescent="0.45">
      <c r="A127" t="s">
        <v>160</v>
      </c>
      <c r="B127">
        <v>79.38</v>
      </c>
      <c r="C127" t="s">
        <v>16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21</v>
      </c>
      <c r="J127" t="s">
        <v>27</v>
      </c>
      <c r="K127">
        <v>3</v>
      </c>
      <c r="L127">
        <v>24.3</v>
      </c>
      <c r="M127" t="s">
        <v>30</v>
      </c>
      <c r="N127" t="str">
        <f>_xlfn.XLOOKUP(A127,[1]!brca_metabric_clinical_data__2[Patient ID], [1]!brca_metabric_clinical_data__2[Tumor Size])</f>
        <v>10</v>
      </c>
      <c r="O127" t="str">
        <f>_xlfn.XLOOKUP(A127,[1]!brca_metabric_clinical_data__2[Sample ID],[1]!brca_metabric_clinical_data__2[Tumor Stage])</f>
        <v>1</v>
      </c>
    </row>
    <row r="128" spans="1:15" x14ac:dyDescent="0.45">
      <c r="A128" t="s">
        <v>161</v>
      </c>
      <c r="B128">
        <v>53.56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H128" t="s">
        <v>21</v>
      </c>
      <c r="I128" t="s">
        <v>21</v>
      </c>
      <c r="J128" t="s">
        <v>38</v>
      </c>
      <c r="K128">
        <v>3</v>
      </c>
      <c r="L128">
        <v>144.46666666666701</v>
      </c>
      <c r="M128" t="s">
        <v>24</v>
      </c>
      <c r="N128" t="str">
        <f>_xlfn.XLOOKUP(A128,[1]!brca_metabric_clinical_data__2[Patient ID], [1]!brca_metabric_clinical_data__2[Tumor Size])</f>
        <v>26</v>
      </c>
      <c r="O128" t="str">
        <f>_xlfn.XLOOKUP(A128,[1]!brca_metabric_clinical_data__2[Sample ID],[1]!brca_metabric_clinical_data__2[Tumor Stage])</f>
        <v>2</v>
      </c>
    </row>
    <row r="129" spans="1:15" x14ac:dyDescent="0.45">
      <c r="A129" t="s">
        <v>162</v>
      </c>
      <c r="B129">
        <v>55.02</v>
      </c>
      <c r="C129" t="s">
        <v>16</v>
      </c>
      <c r="D129" t="s">
        <v>17</v>
      </c>
      <c r="E129" t="s">
        <v>37</v>
      </c>
      <c r="F129" t="s">
        <v>19</v>
      </c>
      <c r="G129" t="s">
        <v>21</v>
      </c>
      <c r="H129" t="s">
        <v>20</v>
      </c>
      <c r="I129" t="s">
        <v>21</v>
      </c>
      <c r="J129" t="s">
        <v>22</v>
      </c>
      <c r="K129">
        <v>10</v>
      </c>
      <c r="L129">
        <v>141.166666666667</v>
      </c>
      <c r="M129" t="s">
        <v>24</v>
      </c>
      <c r="N129" t="str">
        <f>_xlfn.XLOOKUP(A129,[1]!brca_metabric_clinical_data__2[Patient ID], [1]!brca_metabric_clinical_data__2[Tumor Size])</f>
        <v>35</v>
      </c>
      <c r="O129" t="str">
        <f>_xlfn.XLOOKUP(A129,[1]!brca_metabric_clinical_data__2[Sample ID],[1]!brca_metabric_clinical_data__2[Tumor Stage])</f>
        <v>2</v>
      </c>
    </row>
    <row r="130" spans="1:15" x14ac:dyDescent="0.45">
      <c r="A130" t="s">
        <v>163</v>
      </c>
      <c r="B130">
        <v>48.13</v>
      </c>
      <c r="C130" t="s">
        <v>16</v>
      </c>
      <c r="D130" t="s">
        <v>26</v>
      </c>
      <c r="E130" t="s">
        <v>18</v>
      </c>
      <c r="F130" t="s">
        <v>43</v>
      </c>
      <c r="G130" t="s">
        <v>20</v>
      </c>
      <c r="H130" t="s">
        <v>21</v>
      </c>
      <c r="I130" t="s">
        <v>20</v>
      </c>
      <c r="J130" t="s">
        <v>27</v>
      </c>
      <c r="K130">
        <v>8</v>
      </c>
      <c r="L130">
        <v>173.63333333333301</v>
      </c>
      <c r="M130" t="s">
        <v>24</v>
      </c>
      <c r="N130" t="str">
        <f>_xlfn.XLOOKUP(A130,[1]!brca_metabric_clinical_data__2[Patient ID], [1]!brca_metabric_clinical_data__2[Tumor Size])</f>
        <v>28</v>
      </c>
      <c r="O130" t="str">
        <f>_xlfn.XLOOKUP(A130,[1]!brca_metabric_clinical_data__2[Sample ID],[1]!brca_metabric_clinical_data__2[Tumor Stage])</f>
        <v>NA</v>
      </c>
    </row>
    <row r="131" spans="1:15" x14ac:dyDescent="0.45">
      <c r="A131" t="s">
        <v>164</v>
      </c>
      <c r="B131">
        <v>67.17</v>
      </c>
      <c r="C131" t="s">
        <v>16</v>
      </c>
      <c r="D131" t="s">
        <v>17</v>
      </c>
      <c r="E131" t="s">
        <v>18</v>
      </c>
      <c r="F131" t="s">
        <v>19</v>
      </c>
      <c r="G131" t="s">
        <v>20</v>
      </c>
      <c r="H131" t="s">
        <v>21</v>
      </c>
      <c r="I131" t="s">
        <v>20</v>
      </c>
      <c r="J131" t="s">
        <v>22</v>
      </c>
      <c r="K131" t="s">
        <v>23</v>
      </c>
      <c r="L131">
        <v>82.366666666666703</v>
      </c>
      <c r="M131" t="s">
        <v>24</v>
      </c>
      <c r="N131" t="str">
        <f>_xlfn.XLOOKUP(A131,[1]!brca_metabric_clinical_data__2[Patient ID], [1]!brca_metabric_clinical_data__2[Tumor Size])</f>
        <v>3</v>
      </c>
      <c r="O131" t="str">
        <f>_xlfn.XLOOKUP(A131,[1]!brca_metabric_clinical_data__2[Sample ID],[1]!brca_metabric_clinical_data__2[Tumor Stage])</f>
        <v>1</v>
      </c>
    </row>
    <row r="132" spans="1:15" x14ac:dyDescent="0.45">
      <c r="A132" t="s">
        <v>165</v>
      </c>
      <c r="B132">
        <v>63.14</v>
      </c>
      <c r="C132" t="s">
        <v>16</v>
      </c>
      <c r="D132" t="s">
        <v>17</v>
      </c>
      <c r="E132" t="s">
        <v>18</v>
      </c>
      <c r="F132" t="s">
        <v>19</v>
      </c>
      <c r="G132" t="s">
        <v>20</v>
      </c>
      <c r="H132" t="s">
        <v>21</v>
      </c>
      <c r="I132" t="s">
        <v>21</v>
      </c>
      <c r="J132" t="s">
        <v>22</v>
      </c>
      <c r="K132" t="s">
        <v>23</v>
      </c>
      <c r="L132">
        <v>144.933333333333</v>
      </c>
      <c r="M132" t="s">
        <v>24</v>
      </c>
      <c r="N132" t="str">
        <f>_xlfn.XLOOKUP(A132,[1]!brca_metabric_clinical_data__2[Patient ID], [1]!brca_metabric_clinical_data__2[Tumor Size])</f>
        <v>5</v>
      </c>
      <c r="O132" t="str">
        <f>_xlfn.XLOOKUP(A132,[1]!brca_metabric_clinical_data__2[Sample ID],[1]!brca_metabric_clinical_data__2[Tumor Stage])</f>
        <v>3</v>
      </c>
    </row>
    <row r="133" spans="1:15" x14ac:dyDescent="0.45">
      <c r="A133" t="s">
        <v>166</v>
      </c>
      <c r="B133">
        <v>42.95</v>
      </c>
      <c r="C133" t="s">
        <v>16</v>
      </c>
      <c r="D133" t="s">
        <v>26</v>
      </c>
      <c r="E133" t="s">
        <v>18</v>
      </c>
      <c r="F133" t="s">
        <v>19</v>
      </c>
      <c r="G133" t="s">
        <v>20</v>
      </c>
      <c r="H133" t="s">
        <v>20</v>
      </c>
      <c r="I133" t="s">
        <v>20</v>
      </c>
      <c r="J133" t="s">
        <v>22</v>
      </c>
      <c r="K133">
        <v>9</v>
      </c>
      <c r="L133">
        <v>44.8</v>
      </c>
      <c r="M133" t="s">
        <v>30</v>
      </c>
      <c r="N133" t="str">
        <f>_xlfn.XLOOKUP(A133,[1]!brca_metabric_clinical_data__2[Patient ID], [1]!brca_metabric_clinical_data__2[Tumor Size])</f>
        <v>40</v>
      </c>
      <c r="O133" t="str">
        <f>_xlfn.XLOOKUP(A133,[1]!brca_metabric_clinical_data__2[Sample ID],[1]!brca_metabric_clinical_data__2[Tumor Stage])</f>
        <v>NA</v>
      </c>
    </row>
    <row r="134" spans="1:15" x14ac:dyDescent="0.45">
      <c r="A134" t="s">
        <v>167</v>
      </c>
      <c r="B134">
        <v>41.41</v>
      </c>
      <c r="C134" t="s">
        <v>16</v>
      </c>
      <c r="D134" t="s">
        <v>26</v>
      </c>
      <c r="E134" t="s">
        <v>18</v>
      </c>
      <c r="F134" t="s">
        <v>19</v>
      </c>
      <c r="G134" t="s">
        <v>21</v>
      </c>
      <c r="H134" t="s">
        <v>20</v>
      </c>
      <c r="I134" t="s">
        <v>21</v>
      </c>
      <c r="J134" t="s">
        <v>58</v>
      </c>
      <c r="K134">
        <v>10</v>
      </c>
      <c r="L134">
        <v>146.9</v>
      </c>
      <c r="M134" t="s">
        <v>24</v>
      </c>
      <c r="N134" t="str">
        <f>_xlfn.XLOOKUP(A134,[1]!brca_metabric_clinical_data__2[Patient ID], [1]!brca_metabric_clinical_data__2[Tumor Size])</f>
        <v>27</v>
      </c>
      <c r="O134" t="str">
        <f>_xlfn.XLOOKUP(A134,[1]!brca_metabric_clinical_data__2[Sample ID],[1]!brca_metabric_clinical_data__2[Tumor Stage])</f>
        <v>2</v>
      </c>
    </row>
    <row r="135" spans="1:15" x14ac:dyDescent="0.45">
      <c r="A135" t="s">
        <v>168</v>
      </c>
      <c r="B135">
        <v>75.63</v>
      </c>
      <c r="C135" t="s">
        <v>16</v>
      </c>
      <c r="D135" t="s">
        <v>17</v>
      </c>
      <c r="E135" t="s">
        <v>18</v>
      </c>
      <c r="F135" t="s">
        <v>19</v>
      </c>
      <c r="G135" t="s">
        <v>20</v>
      </c>
      <c r="H135" t="s">
        <v>21</v>
      </c>
      <c r="I135" t="s">
        <v>21</v>
      </c>
      <c r="J135" t="s">
        <v>29</v>
      </c>
      <c r="K135">
        <v>3</v>
      </c>
      <c r="L135">
        <v>122.2</v>
      </c>
      <c r="M135" t="s">
        <v>24</v>
      </c>
      <c r="N135" t="str">
        <f>_xlfn.XLOOKUP(A135,[1]!brca_metabric_clinical_data__2[Patient ID], [1]!brca_metabric_clinical_data__2[Tumor Size])</f>
        <v>40</v>
      </c>
      <c r="O135" t="str">
        <f>_xlfn.XLOOKUP(A135,[1]!brca_metabric_clinical_data__2[Sample ID],[1]!brca_metabric_clinical_data__2[Tumor Stage])</f>
        <v>2</v>
      </c>
    </row>
    <row r="136" spans="1:15" x14ac:dyDescent="0.45">
      <c r="A136" t="s">
        <v>169</v>
      </c>
      <c r="B136">
        <v>43.39</v>
      </c>
      <c r="C136" t="s">
        <v>16</v>
      </c>
      <c r="D136" t="s">
        <v>26</v>
      </c>
      <c r="E136" t="s">
        <v>18</v>
      </c>
      <c r="F136" t="s">
        <v>19</v>
      </c>
      <c r="G136" t="s">
        <v>21</v>
      </c>
      <c r="H136" t="s">
        <v>21</v>
      </c>
      <c r="I136" t="s">
        <v>21</v>
      </c>
      <c r="J136" t="s">
        <v>29</v>
      </c>
      <c r="K136">
        <v>1</v>
      </c>
      <c r="L136">
        <v>131.066666666667</v>
      </c>
      <c r="M136" t="s">
        <v>24</v>
      </c>
      <c r="N136" t="str">
        <f>_xlfn.XLOOKUP(A136,[1]!brca_metabric_clinical_data__2[Patient ID], [1]!brca_metabric_clinical_data__2[Tumor Size])</f>
        <v>20</v>
      </c>
      <c r="O136" t="str">
        <f>_xlfn.XLOOKUP(A136,[1]!brca_metabric_clinical_data__2[Sample ID],[1]!brca_metabric_clinical_data__2[Tumor Stage])</f>
        <v>2</v>
      </c>
    </row>
    <row r="137" spans="1:15" x14ac:dyDescent="0.45">
      <c r="A137" t="s">
        <v>170</v>
      </c>
      <c r="B137">
        <v>37.24</v>
      </c>
      <c r="C137" t="s">
        <v>16</v>
      </c>
      <c r="D137" t="s">
        <v>26</v>
      </c>
      <c r="E137" t="s">
        <v>18</v>
      </c>
      <c r="F137" t="s">
        <v>43</v>
      </c>
      <c r="G137" t="s">
        <v>20</v>
      </c>
      <c r="H137" t="s">
        <v>20</v>
      </c>
      <c r="I137" t="s">
        <v>20</v>
      </c>
      <c r="J137" t="s">
        <v>22</v>
      </c>
      <c r="K137" t="s">
        <v>23</v>
      </c>
      <c r="L137">
        <v>39.8333333333333</v>
      </c>
      <c r="M137" t="s">
        <v>30</v>
      </c>
      <c r="N137" t="str">
        <f>_xlfn.XLOOKUP(A137,[1]!brca_metabric_clinical_data__2[Patient ID], [1]!brca_metabric_clinical_data__2[Tumor Size])</f>
        <v>20</v>
      </c>
      <c r="O137" t="str">
        <f>_xlfn.XLOOKUP(A137,[1]!brca_metabric_clinical_data__2[Sample ID],[1]!brca_metabric_clinical_data__2[Tumor Stage])</f>
        <v>2</v>
      </c>
    </row>
    <row r="138" spans="1:15" x14ac:dyDescent="0.45">
      <c r="A138" t="s">
        <v>171</v>
      </c>
      <c r="B138">
        <v>77.72</v>
      </c>
      <c r="C138" t="s">
        <v>16</v>
      </c>
      <c r="D138" t="s">
        <v>17</v>
      </c>
      <c r="E138" t="s">
        <v>37</v>
      </c>
      <c r="F138" t="s">
        <v>43</v>
      </c>
      <c r="G138" t="s">
        <v>20</v>
      </c>
      <c r="H138" t="s">
        <v>20</v>
      </c>
      <c r="I138" t="s">
        <v>20</v>
      </c>
      <c r="J138" t="s">
        <v>45</v>
      </c>
      <c r="K138" t="s">
        <v>39</v>
      </c>
      <c r="L138">
        <v>20.2</v>
      </c>
      <c r="M138" t="s">
        <v>30</v>
      </c>
      <c r="N138" t="str">
        <f>_xlfn.XLOOKUP(A138,[1]!brca_metabric_clinical_data__2[Patient ID], [1]!brca_metabric_clinical_data__2[Tumor Size])</f>
        <v>20</v>
      </c>
      <c r="O138" t="str">
        <f>_xlfn.XLOOKUP(A138,[1]!brca_metabric_clinical_data__2[Sample ID],[1]!brca_metabric_clinical_data__2[Tumor Stage])</f>
        <v>2</v>
      </c>
    </row>
    <row r="139" spans="1:15" x14ac:dyDescent="0.45">
      <c r="A139" t="s">
        <v>172</v>
      </c>
      <c r="B139">
        <v>50.31</v>
      </c>
      <c r="C139" t="s">
        <v>16</v>
      </c>
      <c r="D139" t="s">
        <v>17</v>
      </c>
      <c r="E139" t="s">
        <v>18</v>
      </c>
      <c r="F139" t="s">
        <v>19</v>
      </c>
      <c r="G139" t="s">
        <v>21</v>
      </c>
      <c r="H139" t="s">
        <v>21</v>
      </c>
      <c r="I139" t="s">
        <v>21</v>
      </c>
      <c r="J139" t="s">
        <v>22</v>
      </c>
      <c r="K139" t="s">
        <v>23</v>
      </c>
      <c r="L139">
        <v>212.7</v>
      </c>
      <c r="M139" t="s">
        <v>24</v>
      </c>
      <c r="N139" t="str">
        <f>_xlfn.XLOOKUP(A139,[1]!brca_metabric_clinical_data__2[Patient ID], [1]!brca_metabric_clinical_data__2[Tumor Size])</f>
        <v>20</v>
      </c>
      <c r="O139" t="str">
        <f>_xlfn.XLOOKUP(A139,[1]!brca_metabric_clinical_data__2[Sample ID],[1]!brca_metabric_clinical_data__2[Tumor Stage])</f>
        <v>2</v>
      </c>
    </row>
    <row r="140" spans="1:15" x14ac:dyDescent="0.45">
      <c r="A140" t="s">
        <v>173</v>
      </c>
      <c r="B140">
        <v>50.45</v>
      </c>
      <c r="C140" t="s">
        <v>16</v>
      </c>
      <c r="D140" t="s">
        <v>17</v>
      </c>
      <c r="E140" t="s">
        <v>18</v>
      </c>
      <c r="F140" t="s">
        <v>43</v>
      </c>
      <c r="G140" t="s">
        <v>21</v>
      </c>
      <c r="H140" t="s">
        <v>21</v>
      </c>
      <c r="I140" t="s">
        <v>21</v>
      </c>
      <c r="J140" t="s">
        <v>27</v>
      </c>
      <c r="K140" t="s">
        <v>23</v>
      </c>
      <c r="L140">
        <v>81.3333333333333</v>
      </c>
      <c r="M140" t="s">
        <v>30</v>
      </c>
      <c r="N140" t="str">
        <f>_xlfn.XLOOKUP(A140,[1]!brca_metabric_clinical_data__2[Patient ID], [1]!brca_metabric_clinical_data__2[Tumor Size])</f>
        <v>20</v>
      </c>
      <c r="O140" t="str">
        <f>_xlfn.XLOOKUP(A140,[1]!brca_metabric_clinical_data__2[Sample ID],[1]!brca_metabric_clinical_data__2[Tumor Stage])</f>
        <v>2</v>
      </c>
    </row>
    <row r="141" spans="1:15" x14ac:dyDescent="0.45">
      <c r="A141" t="s">
        <v>174</v>
      </c>
      <c r="B141">
        <v>44.01</v>
      </c>
      <c r="C141" t="s">
        <v>16</v>
      </c>
      <c r="D141" t="s">
        <v>26</v>
      </c>
      <c r="E141" t="s">
        <v>18</v>
      </c>
      <c r="F141" t="s">
        <v>19</v>
      </c>
      <c r="G141" t="s">
        <v>20</v>
      </c>
      <c r="H141" t="s">
        <v>21</v>
      </c>
      <c r="I141" t="s">
        <v>20</v>
      </c>
      <c r="J141" t="s">
        <v>27</v>
      </c>
      <c r="K141" t="s">
        <v>23</v>
      </c>
      <c r="L141">
        <v>176.76666666666699</v>
      </c>
      <c r="M141" t="s">
        <v>24</v>
      </c>
      <c r="N141" t="str">
        <f>_xlfn.XLOOKUP(A141,[1]!brca_metabric_clinical_data__2[Patient ID], [1]!brca_metabric_clinical_data__2[Tumor Size])</f>
        <v>25</v>
      </c>
      <c r="O141" t="str">
        <f>_xlfn.XLOOKUP(A141,[1]!brca_metabric_clinical_data__2[Sample ID],[1]!brca_metabric_clinical_data__2[Tumor Stage])</f>
        <v>NA</v>
      </c>
    </row>
    <row r="142" spans="1:15" x14ac:dyDescent="0.45">
      <c r="A142" t="s">
        <v>175</v>
      </c>
      <c r="B142">
        <v>59.15</v>
      </c>
      <c r="C142" t="s">
        <v>16</v>
      </c>
      <c r="D142" t="s">
        <v>17</v>
      </c>
      <c r="E142" t="s">
        <v>18</v>
      </c>
      <c r="F142" t="s">
        <v>43</v>
      </c>
      <c r="G142" t="s">
        <v>20</v>
      </c>
      <c r="H142" t="s">
        <v>21</v>
      </c>
      <c r="I142" t="s">
        <v>20</v>
      </c>
      <c r="J142" t="s">
        <v>29</v>
      </c>
      <c r="K142">
        <v>1</v>
      </c>
      <c r="L142">
        <v>212.2</v>
      </c>
      <c r="M142" t="s">
        <v>24</v>
      </c>
      <c r="N142" t="str">
        <f>_xlfn.XLOOKUP(A142,[1]!brca_metabric_clinical_data__2[Patient ID], [1]!brca_metabric_clinical_data__2[Tumor Size])</f>
        <v>19</v>
      </c>
      <c r="O142" t="str">
        <f>_xlfn.XLOOKUP(A142,[1]!brca_metabric_clinical_data__2[Sample ID],[1]!brca_metabric_clinical_data__2[Tumor Stage])</f>
        <v>1</v>
      </c>
    </row>
    <row r="143" spans="1:15" x14ac:dyDescent="0.45">
      <c r="A143" t="s">
        <v>176</v>
      </c>
      <c r="B143">
        <v>58.21</v>
      </c>
      <c r="C143" t="s">
        <v>16</v>
      </c>
      <c r="D143" t="s">
        <v>17</v>
      </c>
      <c r="E143" t="s">
        <v>18</v>
      </c>
      <c r="F143" t="s">
        <v>19</v>
      </c>
      <c r="G143" t="s">
        <v>20</v>
      </c>
      <c r="H143" t="s">
        <v>21</v>
      </c>
      <c r="I143" t="s">
        <v>21</v>
      </c>
      <c r="J143" t="s">
        <v>27</v>
      </c>
      <c r="K143">
        <v>8</v>
      </c>
      <c r="L143">
        <v>57.633333333333297</v>
      </c>
      <c r="M143" t="s">
        <v>24</v>
      </c>
      <c r="N143" t="str">
        <f>_xlfn.XLOOKUP(A143,[1]!brca_metabric_clinical_data__2[Patient ID], [1]!brca_metabric_clinical_data__2[Tumor Size])</f>
        <v>20</v>
      </c>
      <c r="O143" t="str">
        <f>_xlfn.XLOOKUP(A143,[1]!brca_metabric_clinical_data__2[Sample ID],[1]!brca_metabric_clinical_data__2[Tumor Stage])</f>
        <v>2</v>
      </c>
    </row>
    <row r="144" spans="1:15" x14ac:dyDescent="0.45">
      <c r="A144" t="s">
        <v>177</v>
      </c>
      <c r="B144">
        <v>52.95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 t="s">
        <v>21</v>
      </c>
      <c r="I144" t="s">
        <v>20</v>
      </c>
      <c r="J144" t="s">
        <v>27</v>
      </c>
      <c r="K144">
        <v>8</v>
      </c>
      <c r="L144">
        <v>111.866666666667</v>
      </c>
      <c r="M144" t="s">
        <v>24</v>
      </c>
      <c r="N144" t="str">
        <f>_xlfn.XLOOKUP(A144,[1]!brca_metabric_clinical_data__2[Patient ID], [1]!brca_metabric_clinical_data__2[Tumor Size])</f>
        <v>24</v>
      </c>
      <c r="O144" t="str">
        <f>_xlfn.XLOOKUP(A144,[1]!brca_metabric_clinical_data__2[Sample ID],[1]!brca_metabric_clinical_data__2[Tumor Stage])</f>
        <v>1</v>
      </c>
    </row>
    <row r="145" spans="1:15" x14ac:dyDescent="0.45">
      <c r="A145" t="s">
        <v>178</v>
      </c>
      <c r="B145">
        <v>63.35</v>
      </c>
      <c r="C145" t="s">
        <v>16</v>
      </c>
      <c r="D145" t="s">
        <v>17</v>
      </c>
      <c r="E145" t="s">
        <v>18</v>
      </c>
      <c r="F145" t="s">
        <v>19</v>
      </c>
      <c r="G145" t="s">
        <v>20</v>
      </c>
      <c r="H145" t="s">
        <v>20</v>
      </c>
      <c r="I145" t="s">
        <v>20</v>
      </c>
      <c r="J145" t="s">
        <v>38</v>
      </c>
      <c r="K145" t="s">
        <v>23</v>
      </c>
      <c r="L145">
        <v>10.8333333333333</v>
      </c>
      <c r="M145" t="s">
        <v>30</v>
      </c>
      <c r="N145" t="str">
        <f>_xlfn.XLOOKUP(A145,[1]!brca_metabric_clinical_data__2[Patient ID], [1]!brca_metabric_clinical_data__2[Tumor Size])</f>
        <v>17</v>
      </c>
      <c r="O145" t="str">
        <f>_xlfn.XLOOKUP(A145,[1]!brca_metabric_clinical_data__2[Sample ID],[1]!brca_metabric_clinical_data__2[Tumor Stage])</f>
        <v>2</v>
      </c>
    </row>
    <row r="146" spans="1:15" x14ac:dyDescent="0.45">
      <c r="A146" t="s">
        <v>179</v>
      </c>
      <c r="B146">
        <v>45.5</v>
      </c>
      <c r="C146" t="s">
        <v>16</v>
      </c>
      <c r="D146" t="s">
        <v>26</v>
      </c>
      <c r="E146" t="s">
        <v>18</v>
      </c>
      <c r="F146" t="s">
        <v>19</v>
      </c>
      <c r="G146" t="s">
        <v>20</v>
      </c>
      <c r="H146" t="s">
        <v>21</v>
      </c>
      <c r="I146" t="s">
        <v>21</v>
      </c>
      <c r="J146" t="s">
        <v>27</v>
      </c>
      <c r="K146">
        <v>7</v>
      </c>
      <c r="L146">
        <v>71.5</v>
      </c>
      <c r="M146" t="s">
        <v>24</v>
      </c>
      <c r="N146" t="str">
        <f>_xlfn.XLOOKUP(A146,[1]!brca_metabric_clinical_data__2[Patient ID], [1]!brca_metabric_clinical_data__2[Tumor Size])</f>
        <v>19</v>
      </c>
      <c r="O146" t="str">
        <f>_xlfn.XLOOKUP(A146,[1]!brca_metabric_clinical_data__2[Sample ID],[1]!brca_metabric_clinical_data__2[Tumor Stage])</f>
        <v>1</v>
      </c>
    </row>
    <row r="147" spans="1:15" x14ac:dyDescent="0.45">
      <c r="A147" t="s">
        <v>180</v>
      </c>
      <c r="B147">
        <v>41.98</v>
      </c>
      <c r="C147" t="s">
        <v>16</v>
      </c>
      <c r="D147" t="s">
        <v>26</v>
      </c>
      <c r="F147" t="s">
        <v>43</v>
      </c>
      <c r="G147" t="s">
        <v>20</v>
      </c>
      <c r="H147" t="s">
        <v>20</v>
      </c>
      <c r="I147" t="s">
        <v>20</v>
      </c>
      <c r="J147" t="s">
        <v>45</v>
      </c>
      <c r="K147">
        <v>5</v>
      </c>
      <c r="L147">
        <v>200.333333333333</v>
      </c>
      <c r="M147" t="s">
        <v>24</v>
      </c>
      <c r="N147" t="str">
        <f>_xlfn.XLOOKUP(A147,[1]!brca_metabric_clinical_data__2[Patient ID], [1]!brca_metabric_clinical_data__2[Tumor Size])</f>
        <v>35</v>
      </c>
      <c r="O147" t="str">
        <f>_xlfn.XLOOKUP(A147,[1]!brca_metabric_clinical_data__2[Sample ID],[1]!brca_metabric_clinical_data__2[Tumor Stage])</f>
        <v>0</v>
      </c>
    </row>
    <row r="148" spans="1:15" x14ac:dyDescent="0.45">
      <c r="A148" t="s">
        <v>181</v>
      </c>
      <c r="B148">
        <v>71.569999999999993</v>
      </c>
      <c r="C148" t="s">
        <v>16</v>
      </c>
      <c r="D148" t="s">
        <v>17</v>
      </c>
      <c r="F148" t="s">
        <v>43</v>
      </c>
      <c r="G148" t="s">
        <v>20</v>
      </c>
      <c r="H148" t="s">
        <v>20</v>
      </c>
      <c r="I148" t="s">
        <v>20</v>
      </c>
      <c r="J148" t="s">
        <v>27</v>
      </c>
      <c r="K148">
        <v>3</v>
      </c>
      <c r="L148">
        <v>19.600000000000001</v>
      </c>
      <c r="M148" t="s">
        <v>24</v>
      </c>
      <c r="N148" t="str">
        <f>_xlfn.XLOOKUP(A148,[1]!brca_metabric_clinical_data__2[Patient ID], [1]!brca_metabric_clinical_data__2[Tumor Size])</f>
        <v>30</v>
      </c>
      <c r="O148" t="str">
        <f>_xlfn.XLOOKUP(A148,[1]!brca_metabric_clinical_data__2[Sample ID],[1]!brca_metabric_clinical_data__2[Tumor Stage])</f>
        <v>NA</v>
      </c>
    </row>
    <row r="149" spans="1:15" x14ac:dyDescent="0.45">
      <c r="A149" t="s">
        <v>182</v>
      </c>
      <c r="B149">
        <v>44.73</v>
      </c>
      <c r="C149" t="s">
        <v>16</v>
      </c>
      <c r="D149" t="s">
        <v>26</v>
      </c>
      <c r="E149" t="s">
        <v>18</v>
      </c>
      <c r="F149" t="s">
        <v>19</v>
      </c>
      <c r="G149" t="s">
        <v>20</v>
      </c>
      <c r="H149" t="s">
        <v>20</v>
      </c>
      <c r="I149" t="s">
        <v>20</v>
      </c>
      <c r="J149" t="s">
        <v>27</v>
      </c>
      <c r="K149">
        <v>8</v>
      </c>
      <c r="L149">
        <v>207.63333333333301</v>
      </c>
      <c r="M149" t="s">
        <v>24</v>
      </c>
      <c r="N149" t="str">
        <f>_xlfn.XLOOKUP(A149,[1]!brca_metabric_clinical_data__2[Patient ID], [1]!brca_metabric_clinical_data__2[Tumor Size])</f>
        <v>14</v>
      </c>
      <c r="O149" t="str">
        <f>_xlfn.XLOOKUP(A149,[1]!brca_metabric_clinical_data__2[Sample ID],[1]!brca_metabric_clinical_data__2[Tumor Stage])</f>
        <v>1</v>
      </c>
    </row>
    <row r="150" spans="1:15" x14ac:dyDescent="0.45">
      <c r="A150" t="s">
        <v>183</v>
      </c>
      <c r="B150">
        <v>77.77</v>
      </c>
      <c r="C150" t="s">
        <v>16</v>
      </c>
      <c r="D150" t="s">
        <v>17</v>
      </c>
      <c r="F150" t="s">
        <v>43</v>
      </c>
      <c r="G150" t="s">
        <v>20</v>
      </c>
      <c r="H150" t="s">
        <v>21</v>
      </c>
      <c r="I150" t="s">
        <v>20</v>
      </c>
      <c r="J150" t="s">
        <v>27</v>
      </c>
      <c r="K150">
        <v>2</v>
      </c>
      <c r="L150">
        <v>72.433333333333294</v>
      </c>
      <c r="M150" t="s">
        <v>30</v>
      </c>
      <c r="N150" t="str">
        <f>_xlfn.XLOOKUP(A150,[1]!brca_metabric_clinical_data__2[Patient ID], [1]!brca_metabric_clinical_data__2[Tumor Size])</f>
        <v>17</v>
      </c>
      <c r="O150" t="str">
        <f>_xlfn.XLOOKUP(A150,[1]!brca_metabric_clinical_data__2[Sample ID],[1]!brca_metabric_clinical_data__2[Tumor Stage])</f>
        <v>1</v>
      </c>
    </row>
    <row r="151" spans="1:15" x14ac:dyDescent="0.45">
      <c r="A151" t="s">
        <v>184</v>
      </c>
      <c r="B151">
        <v>56.27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 t="s">
        <v>21</v>
      </c>
      <c r="I151" t="s">
        <v>21</v>
      </c>
      <c r="J151" t="s">
        <v>29</v>
      </c>
      <c r="K151">
        <v>8</v>
      </c>
      <c r="L151">
        <v>94.233333333333306</v>
      </c>
      <c r="M151" t="s">
        <v>30</v>
      </c>
      <c r="N151" t="str">
        <f>_xlfn.XLOOKUP(A151,[1]!brca_metabric_clinical_data__2[Patient ID], [1]!brca_metabric_clinical_data__2[Tumor Size])</f>
        <v>26</v>
      </c>
      <c r="O151" t="str">
        <f>_xlfn.XLOOKUP(A151,[1]!brca_metabric_clinical_data__2[Sample ID],[1]!brca_metabric_clinical_data__2[Tumor Stage])</f>
        <v>2</v>
      </c>
    </row>
    <row r="152" spans="1:15" x14ac:dyDescent="0.45">
      <c r="A152" t="s">
        <v>185</v>
      </c>
      <c r="B152">
        <v>52.55</v>
      </c>
      <c r="C152" t="s">
        <v>16</v>
      </c>
      <c r="D152" t="s">
        <v>17</v>
      </c>
      <c r="E152" t="s">
        <v>18</v>
      </c>
      <c r="F152" t="s">
        <v>19</v>
      </c>
      <c r="G152" t="s">
        <v>21</v>
      </c>
      <c r="H152" t="s">
        <v>21</v>
      </c>
      <c r="I152" t="s">
        <v>21</v>
      </c>
      <c r="J152" t="s">
        <v>27</v>
      </c>
      <c r="K152">
        <v>8</v>
      </c>
      <c r="L152">
        <v>142.566666666667</v>
      </c>
      <c r="M152" t="s">
        <v>30</v>
      </c>
      <c r="N152" t="str">
        <f>_xlfn.XLOOKUP(A152,[1]!brca_metabric_clinical_data__2[Patient ID], [1]!brca_metabric_clinical_data__2[Tumor Size])</f>
        <v>20</v>
      </c>
      <c r="O152" t="str">
        <f>_xlfn.XLOOKUP(A152,[1]!brca_metabric_clinical_data__2[Sample ID],[1]!brca_metabric_clinical_data__2[Tumor Stage])</f>
        <v>2</v>
      </c>
    </row>
    <row r="153" spans="1:15" x14ac:dyDescent="0.45">
      <c r="A153" t="s">
        <v>186</v>
      </c>
      <c r="B153">
        <v>43.63</v>
      </c>
      <c r="C153" t="s">
        <v>16</v>
      </c>
      <c r="D153" t="s">
        <v>26</v>
      </c>
      <c r="E153" t="s">
        <v>18</v>
      </c>
      <c r="F153" t="s">
        <v>43</v>
      </c>
      <c r="G153" t="s">
        <v>21</v>
      </c>
      <c r="H153" t="s">
        <v>21</v>
      </c>
      <c r="I153" t="s">
        <v>21</v>
      </c>
      <c r="J153" t="s">
        <v>27</v>
      </c>
      <c r="K153">
        <v>5</v>
      </c>
      <c r="L153">
        <v>205.03333333333299</v>
      </c>
      <c r="M153" t="s">
        <v>24</v>
      </c>
      <c r="N153" t="str">
        <f>_xlfn.XLOOKUP(A153,[1]!brca_metabric_clinical_data__2[Patient ID], [1]!brca_metabric_clinical_data__2[Tumor Size])</f>
        <v>27</v>
      </c>
      <c r="O153" t="str">
        <f>_xlfn.XLOOKUP(A153,[1]!brca_metabric_clinical_data__2[Sample ID],[1]!brca_metabric_clinical_data__2[Tumor Stage])</f>
        <v>2</v>
      </c>
    </row>
    <row r="154" spans="1:15" x14ac:dyDescent="0.45">
      <c r="A154" t="s">
        <v>187</v>
      </c>
      <c r="B154">
        <v>52.19</v>
      </c>
      <c r="C154" t="s">
        <v>16</v>
      </c>
      <c r="D154" t="s">
        <v>17</v>
      </c>
      <c r="E154" t="s">
        <v>37</v>
      </c>
      <c r="F154" t="s">
        <v>19</v>
      </c>
      <c r="G154" t="s">
        <v>21</v>
      </c>
      <c r="H154" t="s">
        <v>20</v>
      </c>
      <c r="I154" t="s">
        <v>21</v>
      </c>
      <c r="J154" t="s">
        <v>22</v>
      </c>
      <c r="K154">
        <v>10</v>
      </c>
      <c r="L154">
        <v>193.166666666667</v>
      </c>
      <c r="M154" t="s">
        <v>24</v>
      </c>
      <c r="N154" t="str">
        <f>_xlfn.XLOOKUP(A154,[1]!brca_metabric_clinical_data__2[Patient ID], [1]!brca_metabric_clinical_data__2[Tumor Size])</f>
        <v>35</v>
      </c>
      <c r="O154" t="str">
        <f>_xlfn.XLOOKUP(A154,[1]!brca_metabric_clinical_data__2[Sample ID],[1]!brca_metabric_clinical_data__2[Tumor Stage])</f>
        <v>2</v>
      </c>
    </row>
    <row r="155" spans="1:15" x14ac:dyDescent="0.45">
      <c r="A155" t="s">
        <v>188</v>
      </c>
      <c r="B155">
        <v>77.849999999999994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 t="s">
        <v>21</v>
      </c>
      <c r="I155" t="s">
        <v>21</v>
      </c>
      <c r="J155" t="s">
        <v>27</v>
      </c>
      <c r="K155">
        <v>3</v>
      </c>
      <c r="L155">
        <v>85.566666666666706</v>
      </c>
      <c r="M155" t="s">
        <v>30</v>
      </c>
      <c r="N155" t="str">
        <f>_xlfn.XLOOKUP(A155,[1]!brca_metabric_clinical_data__2[Patient ID], [1]!brca_metabric_clinical_data__2[Tumor Size])</f>
        <v>46</v>
      </c>
      <c r="O155" t="str">
        <f>_xlfn.XLOOKUP(A155,[1]!brca_metabric_clinical_data__2[Sample ID],[1]!brca_metabric_clinical_data__2[Tumor Stage])</f>
        <v>3</v>
      </c>
    </row>
    <row r="156" spans="1:15" x14ac:dyDescent="0.45">
      <c r="A156" t="s">
        <v>189</v>
      </c>
      <c r="B156">
        <v>55.09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 t="s">
        <v>20</v>
      </c>
      <c r="I156" t="s">
        <v>20</v>
      </c>
      <c r="J156" t="s">
        <v>22</v>
      </c>
      <c r="K156" t="s">
        <v>23</v>
      </c>
      <c r="L156">
        <v>73.133333333333297</v>
      </c>
      <c r="M156" t="s">
        <v>30</v>
      </c>
      <c r="N156" t="str">
        <f>_xlfn.XLOOKUP(A156,[1]!brca_metabric_clinical_data__2[Patient ID], [1]!brca_metabric_clinical_data__2[Tumor Size])</f>
        <v>29</v>
      </c>
      <c r="O156" t="str">
        <f>_xlfn.XLOOKUP(A156,[1]!brca_metabric_clinical_data__2[Sample ID],[1]!brca_metabric_clinical_data__2[Tumor Stage])</f>
        <v>2</v>
      </c>
    </row>
    <row r="157" spans="1:15" x14ac:dyDescent="0.45">
      <c r="A157" t="s">
        <v>190</v>
      </c>
      <c r="B157">
        <v>51.25</v>
      </c>
      <c r="C157" t="s">
        <v>16</v>
      </c>
      <c r="D157" t="s">
        <v>17</v>
      </c>
      <c r="F157" t="s">
        <v>19</v>
      </c>
      <c r="G157" t="s">
        <v>20</v>
      </c>
      <c r="H157" t="s">
        <v>21</v>
      </c>
      <c r="I157" t="s">
        <v>20</v>
      </c>
      <c r="J157" t="s">
        <v>29</v>
      </c>
      <c r="K157">
        <v>8</v>
      </c>
      <c r="L157">
        <v>199.1</v>
      </c>
      <c r="M157" t="s">
        <v>24</v>
      </c>
      <c r="N157" t="str">
        <f>_xlfn.XLOOKUP(A157,[1]!brca_metabric_clinical_data__2[Patient ID], [1]!brca_metabric_clinical_data__2[Tumor Size])</f>
        <v>18</v>
      </c>
      <c r="O157" t="str">
        <f>_xlfn.XLOOKUP(A157,[1]!brca_metabric_clinical_data__2[Sample ID],[1]!brca_metabric_clinical_data__2[Tumor Stage])</f>
        <v>1</v>
      </c>
    </row>
    <row r="158" spans="1:15" x14ac:dyDescent="0.45">
      <c r="A158" t="s">
        <v>191</v>
      </c>
      <c r="B158">
        <v>53.72</v>
      </c>
      <c r="C158" t="s">
        <v>16</v>
      </c>
      <c r="D158" t="s">
        <v>17</v>
      </c>
      <c r="E158" t="s">
        <v>18</v>
      </c>
      <c r="F158" t="s">
        <v>19</v>
      </c>
      <c r="G158" t="s">
        <v>21</v>
      </c>
      <c r="H158" t="s">
        <v>21</v>
      </c>
      <c r="I158" t="s">
        <v>21</v>
      </c>
      <c r="J158" t="s">
        <v>29</v>
      </c>
      <c r="K158">
        <v>8</v>
      </c>
      <c r="L158">
        <v>149.76666666666699</v>
      </c>
      <c r="M158" t="s">
        <v>24</v>
      </c>
      <c r="N158" t="str">
        <f>_xlfn.XLOOKUP(A158,[1]!brca_metabric_clinical_data__2[Patient ID], [1]!brca_metabric_clinical_data__2[Tumor Size])</f>
        <v>22</v>
      </c>
      <c r="O158" t="str">
        <f>_xlfn.XLOOKUP(A158,[1]!brca_metabric_clinical_data__2[Sample ID],[1]!brca_metabric_clinical_data__2[Tumor Stage])</f>
        <v>2</v>
      </c>
    </row>
    <row r="159" spans="1:15" x14ac:dyDescent="0.45">
      <c r="A159" t="s">
        <v>192</v>
      </c>
      <c r="B159">
        <v>67.83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H159" t="s">
        <v>21</v>
      </c>
      <c r="I159" t="s">
        <v>20</v>
      </c>
      <c r="J159" t="s">
        <v>38</v>
      </c>
      <c r="K159" t="s">
        <v>23</v>
      </c>
      <c r="L159">
        <v>149.73333333333301</v>
      </c>
      <c r="M159" t="s">
        <v>24</v>
      </c>
      <c r="N159" t="str">
        <f>_xlfn.XLOOKUP(A159,[1]!brca_metabric_clinical_data__2[Patient ID], [1]!brca_metabric_clinical_data__2[Tumor Size])</f>
        <v>11</v>
      </c>
      <c r="O159" t="str">
        <f>_xlfn.XLOOKUP(A159,[1]!brca_metabric_clinical_data__2[Sample ID],[1]!brca_metabric_clinical_data__2[Tumor Stage])</f>
        <v>1</v>
      </c>
    </row>
    <row r="160" spans="1:15" x14ac:dyDescent="0.45">
      <c r="A160" t="s">
        <v>193</v>
      </c>
      <c r="B160">
        <v>54.76</v>
      </c>
      <c r="C160" t="s">
        <v>16</v>
      </c>
      <c r="D160" t="s">
        <v>17</v>
      </c>
      <c r="E160" t="s">
        <v>18</v>
      </c>
      <c r="F160" t="s">
        <v>19</v>
      </c>
      <c r="G160" t="s">
        <v>20</v>
      </c>
      <c r="H160" t="s">
        <v>21</v>
      </c>
      <c r="I160" t="s">
        <v>20</v>
      </c>
      <c r="J160" t="s">
        <v>27</v>
      </c>
      <c r="K160">
        <v>3</v>
      </c>
      <c r="L160">
        <v>164.7</v>
      </c>
      <c r="M160" t="s">
        <v>24</v>
      </c>
      <c r="N160" t="str">
        <f>_xlfn.XLOOKUP(A160,[1]!brca_metabric_clinical_data__2[Patient ID], [1]!brca_metabric_clinical_data__2[Tumor Size])</f>
        <v>14</v>
      </c>
      <c r="O160" t="str">
        <f>_xlfn.XLOOKUP(A160,[1]!brca_metabric_clinical_data__2[Sample ID],[1]!brca_metabric_clinical_data__2[Tumor Stage])</f>
        <v>1</v>
      </c>
    </row>
    <row r="161" spans="1:15" x14ac:dyDescent="0.45">
      <c r="A161" t="s">
        <v>194</v>
      </c>
      <c r="B161">
        <v>66.75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 t="s">
        <v>21</v>
      </c>
      <c r="I161" t="s">
        <v>21</v>
      </c>
      <c r="J161" t="s">
        <v>27</v>
      </c>
      <c r="K161" t="s">
        <v>23</v>
      </c>
      <c r="L161">
        <v>185.6</v>
      </c>
      <c r="M161" t="s">
        <v>24</v>
      </c>
      <c r="N161" t="str">
        <f>_xlfn.XLOOKUP(A161,[1]!brca_metabric_clinical_data__2[Patient ID], [1]!brca_metabric_clinical_data__2[Tumor Size])</f>
        <v>15</v>
      </c>
      <c r="O161" t="str">
        <f>_xlfn.XLOOKUP(A161,[1]!brca_metabric_clinical_data__2[Sample ID],[1]!brca_metabric_clinical_data__2[Tumor Stage])</f>
        <v>2</v>
      </c>
    </row>
    <row r="162" spans="1:15" x14ac:dyDescent="0.45">
      <c r="A162" t="s">
        <v>195</v>
      </c>
      <c r="B162">
        <v>45.76</v>
      </c>
      <c r="C162" t="s">
        <v>16</v>
      </c>
      <c r="D162" t="s">
        <v>26</v>
      </c>
      <c r="E162" t="s">
        <v>18</v>
      </c>
      <c r="F162" t="s">
        <v>19</v>
      </c>
      <c r="G162" t="s">
        <v>21</v>
      </c>
      <c r="H162" t="s">
        <v>21</v>
      </c>
      <c r="I162" t="s">
        <v>21</v>
      </c>
      <c r="J162" t="s">
        <v>27</v>
      </c>
      <c r="K162">
        <v>8</v>
      </c>
      <c r="L162">
        <v>71</v>
      </c>
      <c r="M162" t="s">
        <v>24</v>
      </c>
      <c r="N162" t="str">
        <f>_xlfn.XLOOKUP(A162,[1]!brca_metabric_clinical_data__2[Patient ID], [1]!brca_metabric_clinical_data__2[Tumor Size])</f>
        <v>21</v>
      </c>
      <c r="O162" t="str">
        <f>_xlfn.XLOOKUP(A162,[1]!brca_metabric_clinical_data__2[Sample ID],[1]!brca_metabric_clinical_data__2[Tumor Stage])</f>
        <v>2</v>
      </c>
    </row>
    <row r="163" spans="1:15" x14ac:dyDescent="0.45">
      <c r="A163" t="s">
        <v>196</v>
      </c>
      <c r="B163">
        <v>53.45</v>
      </c>
      <c r="C163" t="s">
        <v>16</v>
      </c>
      <c r="D163" t="s">
        <v>17</v>
      </c>
      <c r="E163" t="s">
        <v>37</v>
      </c>
      <c r="F163" t="s">
        <v>43</v>
      </c>
      <c r="G163" t="s">
        <v>20</v>
      </c>
      <c r="H163" t="s">
        <v>20</v>
      </c>
      <c r="I163" t="s">
        <v>21</v>
      </c>
      <c r="J163" t="s">
        <v>45</v>
      </c>
      <c r="K163">
        <v>10</v>
      </c>
      <c r="L163">
        <v>188.333333333333</v>
      </c>
      <c r="M163" t="s">
        <v>24</v>
      </c>
      <c r="N163" t="str">
        <f>_xlfn.XLOOKUP(A163,[1]!brca_metabric_clinical_data__2[Patient ID], [1]!brca_metabric_clinical_data__2[Tumor Size])</f>
        <v>11</v>
      </c>
      <c r="O163" t="str">
        <f>_xlfn.XLOOKUP(A163,[1]!brca_metabric_clinical_data__2[Sample ID],[1]!brca_metabric_clinical_data__2[Tumor Stage])</f>
        <v>1</v>
      </c>
    </row>
    <row r="164" spans="1:15" x14ac:dyDescent="0.45">
      <c r="A164" t="s">
        <v>197</v>
      </c>
      <c r="B164">
        <v>69.19</v>
      </c>
      <c r="C164" t="s">
        <v>16</v>
      </c>
      <c r="D164" t="s">
        <v>17</v>
      </c>
      <c r="E164" t="s">
        <v>18</v>
      </c>
      <c r="F164" t="s">
        <v>19</v>
      </c>
      <c r="G164" t="s">
        <v>20</v>
      </c>
      <c r="H164" t="s">
        <v>21</v>
      </c>
      <c r="I164" t="s">
        <v>20</v>
      </c>
      <c r="J164" t="s">
        <v>38</v>
      </c>
      <c r="K164" t="s">
        <v>23</v>
      </c>
      <c r="L164">
        <v>152.30000000000001</v>
      </c>
      <c r="M164" t="s">
        <v>24</v>
      </c>
      <c r="N164" t="str">
        <f>_xlfn.XLOOKUP(A164,[1]!brca_metabric_clinical_data__2[Patient ID], [1]!brca_metabric_clinical_data__2[Tumor Size])</f>
        <v>12</v>
      </c>
      <c r="O164" t="str">
        <f>_xlfn.XLOOKUP(A164,[1]!brca_metabric_clinical_data__2[Sample ID],[1]!brca_metabric_clinical_data__2[Tumor Stage])</f>
        <v>1</v>
      </c>
    </row>
    <row r="165" spans="1:15" x14ac:dyDescent="0.45">
      <c r="A165" t="s">
        <v>198</v>
      </c>
      <c r="B165">
        <v>53.1</v>
      </c>
      <c r="C165" t="s">
        <v>16</v>
      </c>
      <c r="D165" t="s">
        <v>17</v>
      </c>
      <c r="E165" t="s">
        <v>18</v>
      </c>
      <c r="F165" t="s">
        <v>19</v>
      </c>
      <c r="G165" t="s">
        <v>20</v>
      </c>
      <c r="H165" t="s">
        <v>21</v>
      </c>
      <c r="I165" t="s">
        <v>20</v>
      </c>
      <c r="J165" t="s">
        <v>27</v>
      </c>
      <c r="K165">
        <v>3</v>
      </c>
      <c r="L165">
        <v>200.7</v>
      </c>
      <c r="M165" t="s">
        <v>24</v>
      </c>
      <c r="N165" t="str">
        <f>_xlfn.XLOOKUP(A165,[1]!brca_metabric_clinical_data__2[Patient ID], [1]!brca_metabric_clinical_data__2[Tumor Size])</f>
        <v>17</v>
      </c>
      <c r="O165" t="str">
        <f>_xlfn.XLOOKUP(A165,[1]!brca_metabric_clinical_data__2[Sample ID],[1]!brca_metabric_clinical_data__2[Tumor Stage])</f>
        <v>1</v>
      </c>
    </row>
    <row r="166" spans="1:15" x14ac:dyDescent="0.45">
      <c r="A166" t="s">
        <v>199</v>
      </c>
      <c r="B166">
        <v>57.61</v>
      </c>
      <c r="C166" t="s">
        <v>16</v>
      </c>
      <c r="D166" t="s">
        <v>17</v>
      </c>
      <c r="E166" t="s">
        <v>18</v>
      </c>
      <c r="F166" t="s">
        <v>43</v>
      </c>
      <c r="G166" t="s">
        <v>21</v>
      </c>
      <c r="H166" t="s">
        <v>21</v>
      </c>
      <c r="I166" t="s">
        <v>21</v>
      </c>
      <c r="J166" t="s">
        <v>27</v>
      </c>
      <c r="K166">
        <v>8</v>
      </c>
      <c r="L166">
        <v>91.733333333333306</v>
      </c>
      <c r="M166" t="s">
        <v>30</v>
      </c>
      <c r="N166" t="str">
        <f>_xlfn.XLOOKUP(A166,[1]!brca_metabric_clinical_data__2[Patient ID], [1]!brca_metabric_clinical_data__2[Tumor Size])</f>
        <v>25</v>
      </c>
      <c r="O166" t="str">
        <f>_xlfn.XLOOKUP(A166,[1]!brca_metabric_clinical_data__2[Sample ID],[1]!brca_metabric_clinical_data__2[Tumor Stage])</f>
        <v>2</v>
      </c>
    </row>
    <row r="167" spans="1:15" x14ac:dyDescent="0.45">
      <c r="A167" t="s">
        <v>200</v>
      </c>
      <c r="B167">
        <v>62.7</v>
      </c>
      <c r="C167" t="s">
        <v>16</v>
      </c>
      <c r="D167" t="s">
        <v>17</v>
      </c>
      <c r="E167" t="s">
        <v>18</v>
      </c>
      <c r="F167" t="s">
        <v>43</v>
      </c>
      <c r="G167" t="s">
        <v>20</v>
      </c>
      <c r="H167" t="s">
        <v>21</v>
      </c>
      <c r="I167" t="s">
        <v>21</v>
      </c>
      <c r="J167" t="s">
        <v>27</v>
      </c>
      <c r="K167">
        <v>7</v>
      </c>
      <c r="L167">
        <v>86.133333333333297</v>
      </c>
      <c r="M167" t="s">
        <v>24</v>
      </c>
      <c r="N167" t="str">
        <f>_xlfn.XLOOKUP(A167,[1]!brca_metabric_clinical_data__2[Patient ID], [1]!brca_metabric_clinical_data__2[Tumor Size])</f>
        <v>11</v>
      </c>
      <c r="O167" t="str">
        <f>_xlfn.XLOOKUP(A167,[1]!brca_metabric_clinical_data__2[Sample ID],[1]!brca_metabric_clinical_data__2[Tumor Stage])</f>
        <v>1</v>
      </c>
    </row>
    <row r="168" spans="1:15" x14ac:dyDescent="0.45">
      <c r="A168" t="s">
        <v>201</v>
      </c>
      <c r="B168">
        <v>38.99</v>
      </c>
      <c r="C168" t="s">
        <v>16</v>
      </c>
      <c r="D168" t="s">
        <v>26</v>
      </c>
      <c r="E168" t="s">
        <v>37</v>
      </c>
      <c r="F168" t="s">
        <v>43</v>
      </c>
      <c r="G168" t="s">
        <v>21</v>
      </c>
      <c r="H168" t="s">
        <v>20</v>
      </c>
      <c r="I168" t="s">
        <v>20</v>
      </c>
      <c r="J168" t="s">
        <v>58</v>
      </c>
      <c r="K168">
        <v>9</v>
      </c>
      <c r="L168">
        <v>11.866666666666699</v>
      </c>
      <c r="M168" t="s">
        <v>30</v>
      </c>
      <c r="N168" t="str">
        <f>_xlfn.XLOOKUP(A168,[1]!brca_metabric_clinical_data__2[Patient ID], [1]!brca_metabric_clinical_data__2[Tumor Size])</f>
        <v>NA</v>
      </c>
      <c r="O168" t="str">
        <f>_xlfn.XLOOKUP(A168,[1]!brca_metabric_clinical_data__2[Sample ID],[1]!brca_metabric_clinical_data__2[Tumor Stage])</f>
        <v>3</v>
      </c>
    </row>
    <row r="169" spans="1:15" x14ac:dyDescent="0.45">
      <c r="A169" t="s">
        <v>202</v>
      </c>
      <c r="B169">
        <v>78.260000000000005</v>
      </c>
      <c r="C169" t="s">
        <v>16</v>
      </c>
      <c r="D169" t="s">
        <v>17</v>
      </c>
      <c r="E169" t="s">
        <v>18</v>
      </c>
      <c r="F169" t="s">
        <v>19</v>
      </c>
      <c r="G169" t="s">
        <v>20</v>
      </c>
      <c r="H169" t="s">
        <v>21</v>
      </c>
      <c r="I169" t="s">
        <v>21</v>
      </c>
      <c r="J169" t="s">
        <v>27</v>
      </c>
      <c r="K169">
        <v>3</v>
      </c>
      <c r="L169">
        <v>169.833333333333</v>
      </c>
      <c r="M169" t="s">
        <v>30</v>
      </c>
      <c r="N169" t="str">
        <f>_xlfn.XLOOKUP(A169,[1]!brca_metabric_clinical_data__2[Patient ID], [1]!brca_metabric_clinical_data__2[Tumor Size])</f>
        <v>12</v>
      </c>
      <c r="O169" t="str">
        <f>_xlfn.XLOOKUP(A169,[1]!brca_metabric_clinical_data__2[Sample ID],[1]!brca_metabric_clinical_data__2[Tumor Stage])</f>
        <v>1</v>
      </c>
    </row>
    <row r="170" spans="1:15" x14ac:dyDescent="0.45">
      <c r="A170" t="s">
        <v>203</v>
      </c>
      <c r="B170">
        <v>63.93</v>
      </c>
      <c r="C170" t="s">
        <v>16</v>
      </c>
      <c r="D170" t="s">
        <v>17</v>
      </c>
      <c r="E170" t="s">
        <v>18</v>
      </c>
      <c r="F170" t="s">
        <v>19</v>
      </c>
      <c r="G170" t="s">
        <v>20</v>
      </c>
      <c r="H170" t="s">
        <v>21</v>
      </c>
      <c r="I170" t="s">
        <v>21</v>
      </c>
      <c r="J170" t="s">
        <v>29</v>
      </c>
      <c r="K170">
        <v>8</v>
      </c>
      <c r="L170">
        <v>90.233333333333306</v>
      </c>
      <c r="M170" t="s">
        <v>30</v>
      </c>
      <c r="N170" t="str">
        <f>_xlfn.XLOOKUP(A170,[1]!brca_metabric_clinical_data__2[Patient ID], [1]!brca_metabric_clinical_data__2[Tumor Size])</f>
        <v>26</v>
      </c>
      <c r="O170" t="str">
        <f>_xlfn.XLOOKUP(A170,[1]!brca_metabric_clinical_data__2[Sample ID],[1]!brca_metabric_clinical_data__2[Tumor Stage])</f>
        <v>2</v>
      </c>
    </row>
    <row r="171" spans="1:15" x14ac:dyDescent="0.45">
      <c r="A171" t="s">
        <v>204</v>
      </c>
      <c r="B171">
        <v>55.44</v>
      </c>
      <c r="C171" t="s">
        <v>16</v>
      </c>
      <c r="D171" t="s">
        <v>17</v>
      </c>
      <c r="E171" t="s">
        <v>18</v>
      </c>
      <c r="F171" t="s">
        <v>19</v>
      </c>
      <c r="G171" t="s">
        <v>20</v>
      </c>
      <c r="H171" t="s">
        <v>21</v>
      </c>
      <c r="I171" t="s">
        <v>20</v>
      </c>
      <c r="J171" t="s">
        <v>45</v>
      </c>
      <c r="K171">
        <v>7</v>
      </c>
      <c r="L171">
        <v>182.26666666666699</v>
      </c>
      <c r="M171" t="s">
        <v>30</v>
      </c>
      <c r="N171" t="str">
        <f>_xlfn.XLOOKUP(A171,[1]!brca_metabric_clinical_data__2[Patient ID], [1]!brca_metabric_clinical_data__2[Tumor Size])</f>
        <v>26</v>
      </c>
      <c r="O171" t="str">
        <f>_xlfn.XLOOKUP(A171,[1]!brca_metabric_clinical_data__2[Sample ID],[1]!brca_metabric_clinical_data__2[Tumor Stage])</f>
        <v>2</v>
      </c>
    </row>
    <row r="172" spans="1:15" x14ac:dyDescent="0.45">
      <c r="A172" t="s">
        <v>205</v>
      </c>
      <c r="B172">
        <v>76.489999999999995</v>
      </c>
      <c r="C172" t="s">
        <v>16</v>
      </c>
      <c r="D172" t="s">
        <v>17</v>
      </c>
      <c r="E172" t="s">
        <v>18</v>
      </c>
      <c r="F172" t="s">
        <v>19</v>
      </c>
      <c r="G172" t="s">
        <v>20</v>
      </c>
      <c r="H172" t="s">
        <v>21</v>
      </c>
      <c r="I172" t="s">
        <v>20</v>
      </c>
      <c r="J172" t="s">
        <v>27</v>
      </c>
      <c r="K172">
        <v>7</v>
      </c>
      <c r="L172">
        <v>176.03333333333299</v>
      </c>
      <c r="M172" t="s">
        <v>30</v>
      </c>
      <c r="N172" t="str">
        <f>_xlfn.XLOOKUP(A172,[1]!brca_metabric_clinical_data__2[Patient ID], [1]!brca_metabric_clinical_data__2[Tumor Size])</f>
        <v>27</v>
      </c>
      <c r="O172" t="str">
        <f>_xlfn.XLOOKUP(A172,[1]!brca_metabric_clinical_data__2[Sample ID],[1]!brca_metabric_clinical_data__2[Tumor Stage])</f>
        <v>1</v>
      </c>
    </row>
    <row r="173" spans="1:15" x14ac:dyDescent="0.45">
      <c r="A173" t="s">
        <v>206</v>
      </c>
      <c r="B173">
        <v>83.93</v>
      </c>
      <c r="C173" t="s">
        <v>16</v>
      </c>
      <c r="D173" t="s">
        <v>17</v>
      </c>
      <c r="F173" t="s">
        <v>19</v>
      </c>
      <c r="G173" t="s">
        <v>20</v>
      </c>
      <c r="H173" t="s">
        <v>20</v>
      </c>
      <c r="I173" t="s">
        <v>20</v>
      </c>
      <c r="J173" t="s">
        <v>45</v>
      </c>
      <c r="K173">
        <v>9</v>
      </c>
      <c r="L173">
        <v>43.1</v>
      </c>
      <c r="M173" t="s">
        <v>30</v>
      </c>
      <c r="N173" t="str">
        <f>_xlfn.XLOOKUP(A173,[1]!brca_metabric_clinical_data__2[Patient ID], [1]!brca_metabric_clinical_data__2[Tumor Size])</f>
        <v>31</v>
      </c>
      <c r="O173" t="str">
        <f>_xlfn.XLOOKUP(A173,[1]!brca_metabric_clinical_data__2[Sample ID],[1]!brca_metabric_clinical_data__2[Tumor Stage])</f>
        <v>NA</v>
      </c>
    </row>
    <row r="174" spans="1:15" x14ac:dyDescent="0.45">
      <c r="A174" t="s">
        <v>207</v>
      </c>
      <c r="B174">
        <v>46.44</v>
      </c>
      <c r="C174" t="s">
        <v>16</v>
      </c>
      <c r="D174" t="s">
        <v>26</v>
      </c>
      <c r="E174" t="s">
        <v>18</v>
      </c>
      <c r="F174" t="s">
        <v>19</v>
      </c>
      <c r="G174" t="s">
        <v>20</v>
      </c>
      <c r="H174" t="s">
        <v>21</v>
      </c>
      <c r="I174" t="s">
        <v>21</v>
      </c>
      <c r="J174" t="s">
        <v>22</v>
      </c>
      <c r="K174" t="s">
        <v>23</v>
      </c>
      <c r="L174">
        <v>189.13333333333301</v>
      </c>
      <c r="M174" t="s">
        <v>24</v>
      </c>
      <c r="N174" t="str">
        <f>_xlfn.XLOOKUP(A174,[1]!brca_metabric_clinical_data__2[Patient ID], [1]!brca_metabric_clinical_data__2[Tumor Size])</f>
        <v>21</v>
      </c>
      <c r="O174" t="str">
        <f>_xlfn.XLOOKUP(A174,[1]!brca_metabric_clinical_data__2[Sample ID],[1]!brca_metabric_clinical_data__2[Tumor Stage])</f>
        <v>2</v>
      </c>
    </row>
    <row r="175" spans="1:15" x14ac:dyDescent="0.45">
      <c r="A175" t="s">
        <v>208</v>
      </c>
      <c r="B175">
        <v>84.88</v>
      </c>
      <c r="C175" t="s">
        <v>16</v>
      </c>
      <c r="D175" t="s">
        <v>17</v>
      </c>
      <c r="F175" t="s">
        <v>43</v>
      </c>
      <c r="G175" t="s">
        <v>20</v>
      </c>
      <c r="H175" t="s">
        <v>21</v>
      </c>
      <c r="I175" t="s">
        <v>21</v>
      </c>
      <c r="J175" t="s">
        <v>27</v>
      </c>
      <c r="K175">
        <v>8</v>
      </c>
      <c r="L175">
        <v>90.6666666666667</v>
      </c>
      <c r="M175" t="s">
        <v>30</v>
      </c>
      <c r="N175" t="str">
        <f>_xlfn.XLOOKUP(A175,[1]!brca_metabric_clinical_data__2[Patient ID], [1]!brca_metabric_clinical_data__2[Tumor Size])</f>
        <v>30</v>
      </c>
      <c r="O175" t="str">
        <f>_xlfn.XLOOKUP(A175,[1]!brca_metabric_clinical_data__2[Sample ID],[1]!brca_metabric_clinical_data__2[Tumor Stage])</f>
        <v>2</v>
      </c>
    </row>
    <row r="176" spans="1:15" x14ac:dyDescent="0.45">
      <c r="A176" t="s">
        <v>209</v>
      </c>
      <c r="B176">
        <v>66.540000000000006</v>
      </c>
      <c r="C176" t="s">
        <v>16</v>
      </c>
      <c r="D176" t="s">
        <v>17</v>
      </c>
      <c r="E176" t="s">
        <v>18</v>
      </c>
      <c r="F176" t="s">
        <v>19</v>
      </c>
      <c r="G176" t="s">
        <v>20</v>
      </c>
      <c r="H176" t="s">
        <v>20</v>
      </c>
      <c r="I176" t="s">
        <v>20</v>
      </c>
      <c r="J176" t="s">
        <v>29</v>
      </c>
      <c r="K176">
        <v>9</v>
      </c>
      <c r="L176">
        <v>28.5</v>
      </c>
      <c r="M176" t="s">
        <v>30</v>
      </c>
      <c r="N176" t="str">
        <f>_xlfn.XLOOKUP(A176,[1]!brca_metabric_clinical_data__2[Patient ID], [1]!brca_metabric_clinical_data__2[Tumor Size])</f>
        <v>19</v>
      </c>
      <c r="O176" t="str">
        <f>_xlfn.XLOOKUP(A176,[1]!brca_metabric_clinical_data__2[Sample ID],[1]!brca_metabric_clinical_data__2[Tumor Stage])</f>
        <v>4</v>
      </c>
    </row>
    <row r="177" spans="1:15" x14ac:dyDescent="0.45">
      <c r="A177" t="s">
        <v>210</v>
      </c>
      <c r="B177">
        <v>45.39</v>
      </c>
      <c r="C177" t="s">
        <v>16</v>
      </c>
      <c r="D177" t="s">
        <v>26</v>
      </c>
      <c r="E177" t="s">
        <v>37</v>
      </c>
      <c r="F177" t="s">
        <v>19</v>
      </c>
      <c r="G177" t="s">
        <v>21</v>
      </c>
      <c r="H177" t="s">
        <v>20</v>
      </c>
      <c r="I177" t="s">
        <v>21</v>
      </c>
      <c r="J177" t="s">
        <v>22</v>
      </c>
      <c r="K177" t="s">
        <v>39</v>
      </c>
      <c r="L177">
        <v>22.233333333333299</v>
      </c>
      <c r="M177" t="s">
        <v>24</v>
      </c>
      <c r="N177" t="str">
        <f>_xlfn.XLOOKUP(A177,[1]!brca_metabric_clinical_data__2[Patient ID], [1]!brca_metabric_clinical_data__2[Tumor Size])</f>
        <v>26</v>
      </c>
      <c r="O177" t="str">
        <f>_xlfn.XLOOKUP(A177,[1]!brca_metabric_clinical_data__2[Sample ID],[1]!brca_metabric_clinical_data__2[Tumor Stage])</f>
        <v>2</v>
      </c>
    </row>
    <row r="178" spans="1:15" x14ac:dyDescent="0.45">
      <c r="A178" t="s">
        <v>211</v>
      </c>
      <c r="B178">
        <v>29.98</v>
      </c>
      <c r="C178" t="s">
        <v>16</v>
      </c>
      <c r="D178" t="s">
        <v>26</v>
      </c>
      <c r="E178" t="s">
        <v>18</v>
      </c>
      <c r="F178" t="s">
        <v>19</v>
      </c>
      <c r="G178" t="s">
        <v>20</v>
      </c>
      <c r="H178" t="s">
        <v>20</v>
      </c>
      <c r="I178" t="s">
        <v>20</v>
      </c>
      <c r="J178" t="s">
        <v>29</v>
      </c>
      <c r="K178">
        <v>10</v>
      </c>
      <c r="L178">
        <v>337.03333333333302</v>
      </c>
      <c r="M178" t="s">
        <v>24</v>
      </c>
      <c r="N178" t="str">
        <f>_xlfn.XLOOKUP(A178,[1]!brca_metabric_clinical_data__2[Patient ID], [1]!brca_metabric_clinical_data__2[Tumor Size])</f>
        <v>14</v>
      </c>
      <c r="O178" t="str">
        <f>_xlfn.XLOOKUP(A178,[1]!brca_metabric_clinical_data__2[Sample ID],[1]!brca_metabric_clinical_data__2[Tumor Stage])</f>
        <v>2</v>
      </c>
    </row>
    <row r="179" spans="1:15" x14ac:dyDescent="0.45">
      <c r="A179" t="s">
        <v>212</v>
      </c>
      <c r="B179">
        <v>55.36</v>
      </c>
      <c r="C179" t="s">
        <v>16</v>
      </c>
      <c r="D179" t="s">
        <v>17</v>
      </c>
      <c r="E179" t="s">
        <v>18</v>
      </c>
      <c r="F179" t="s">
        <v>19</v>
      </c>
      <c r="G179" t="s">
        <v>20</v>
      </c>
      <c r="H179" t="s">
        <v>20</v>
      </c>
      <c r="I179" t="s">
        <v>20</v>
      </c>
      <c r="J179" t="s">
        <v>29</v>
      </c>
      <c r="K179">
        <v>8</v>
      </c>
      <c r="L179">
        <v>122</v>
      </c>
      <c r="M179" t="s">
        <v>30</v>
      </c>
      <c r="N179" t="str">
        <f>_xlfn.XLOOKUP(A179,[1]!brca_metabric_clinical_data__2[Patient ID], [1]!brca_metabric_clinical_data__2[Tumor Size])</f>
        <v>28</v>
      </c>
      <c r="O179" t="str">
        <f>_xlfn.XLOOKUP(A179,[1]!brca_metabric_clinical_data__2[Sample ID],[1]!brca_metabric_clinical_data__2[Tumor Stage])</f>
        <v>1</v>
      </c>
    </row>
    <row r="180" spans="1:15" x14ac:dyDescent="0.45">
      <c r="A180" t="s">
        <v>213</v>
      </c>
      <c r="B180">
        <v>68.66</v>
      </c>
      <c r="C180" t="s">
        <v>16</v>
      </c>
      <c r="D180" t="s">
        <v>17</v>
      </c>
      <c r="E180" t="s">
        <v>18</v>
      </c>
      <c r="F180" t="s">
        <v>19</v>
      </c>
      <c r="G180" t="s">
        <v>20</v>
      </c>
      <c r="H180" t="s">
        <v>21</v>
      </c>
      <c r="I180" t="s">
        <v>21</v>
      </c>
      <c r="J180" t="s">
        <v>27</v>
      </c>
      <c r="K180">
        <v>8</v>
      </c>
      <c r="L180">
        <v>186.53333333333299</v>
      </c>
      <c r="M180" t="s">
        <v>24</v>
      </c>
      <c r="N180" t="str">
        <f>_xlfn.XLOOKUP(A180,[1]!brca_metabric_clinical_data__2[Patient ID], [1]!brca_metabric_clinical_data__2[Tumor Size])</f>
        <v>25</v>
      </c>
      <c r="O180" t="str">
        <f>_xlfn.XLOOKUP(A180,[1]!brca_metabric_clinical_data__2[Sample ID],[1]!brca_metabric_clinical_data__2[Tumor Stage])</f>
        <v>2</v>
      </c>
    </row>
    <row r="181" spans="1:15" x14ac:dyDescent="0.45">
      <c r="A181" t="s">
        <v>214</v>
      </c>
      <c r="B181">
        <v>61.94</v>
      </c>
      <c r="C181" t="s">
        <v>16</v>
      </c>
      <c r="D181" t="s">
        <v>17</v>
      </c>
      <c r="E181" t="s">
        <v>18</v>
      </c>
      <c r="F181" t="s">
        <v>19</v>
      </c>
      <c r="G181" t="s">
        <v>20</v>
      </c>
      <c r="H181" t="s">
        <v>21</v>
      </c>
      <c r="I181" t="s">
        <v>21</v>
      </c>
      <c r="J181" t="s">
        <v>22</v>
      </c>
      <c r="K181" t="s">
        <v>23</v>
      </c>
      <c r="L181">
        <v>186.1</v>
      </c>
      <c r="M181" t="s">
        <v>24</v>
      </c>
      <c r="N181" t="str">
        <f>_xlfn.XLOOKUP(A181,[1]!brca_metabric_clinical_data__2[Patient ID], [1]!brca_metabric_clinical_data__2[Tumor Size])</f>
        <v>9</v>
      </c>
      <c r="O181" t="str">
        <f>_xlfn.XLOOKUP(A181,[1]!brca_metabric_clinical_data__2[Sample ID],[1]!brca_metabric_clinical_data__2[Tumor Stage])</f>
        <v>1</v>
      </c>
    </row>
    <row r="182" spans="1:15" x14ac:dyDescent="0.45">
      <c r="A182" t="s">
        <v>215</v>
      </c>
      <c r="B182">
        <v>34.299999999999997</v>
      </c>
      <c r="C182" t="s">
        <v>16</v>
      </c>
      <c r="D182" t="s">
        <v>26</v>
      </c>
      <c r="E182" t="s">
        <v>18</v>
      </c>
      <c r="F182" t="s">
        <v>19</v>
      </c>
      <c r="G182" t="s">
        <v>21</v>
      </c>
      <c r="H182" t="s">
        <v>20</v>
      </c>
      <c r="I182" t="s">
        <v>20</v>
      </c>
      <c r="J182" t="s">
        <v>58</v>
      </c>
      <c r="K182">
        <v>10</v>
      </c>
      <c r="L182">
        <v>5.8333333333333304</v>
      </c>
      <c r="M182" t="s">
        <v>30</v>
      </c>
      <c r="N182" t="str">
        <f>_xlfn.XLOOKUP(A182,[1]!brca_metabric_clinical_data__2[Patient ID], [1]!brca_metabric_clinical_data__2[Tumor Size])</f>
        <v>53</v>
      </c>
      <c r="O182" t="str">
        <f>_xlfn.XLOOKUP(A182,[1]!brca_metabric_clinical_data__2[Sample ID],[1]!brca_metabric_clinical_data__2[Tumor Stage])</f>
        <v>3</v>
      </c>
    </row>
    <row r="183" spans="1:15" x14ac:dyDescent="0.45">
      <c r="A183" t="s">
        <v>216</v>
      </c>
      <c r="B183">
        <v>69.52</v>
      </c>
      <c r="C183" t="s">
        <v>16</v>
      </c>
      <c r="D183" t="s">
        <v>17</v>
      </c>
      <c r="E183" t="s">
        <v>18</v>
      </c>
      <c r="F183" t="s">
        <v>35</v>
      </c>
      <c r="G183" t="s">
        <v>20</v>
      </c>
      <c r="H183" t="s">
        <v>21</v>
      </c>
      <c r="I183" t="s">
        <v>21</v>
      </c>
      <c r="J183" t="s">
        <v>22</v>
      </c>
      <c r="K183" t="s">
        <v>23</v>
      </c>
      <c r="L183">
        <v>192.26666666666699</v>
      </c>
      <c r="M183" t="s">
        <v>30</v>
      </c>
      <c r="N183" t="str">
        <f>_xlfn.XLOOKUP(A183,[1]!brca_metabric_clinical_data__2[Patient ID], [1]!brca_metabric_clinical_data__2[Tumor Size])</f>
        <v>21</v>
      </c>
      <c r="O183" t="str">
        <f>_xlfn.XLOOKUP(A183,[1]!brca_metabric_clinical_data__2[Sample ID],[1]!brca_metabric_clinical_data__2[Tumor Stage])</f>
        <v>2</v>
      </c>
    </row>
    <row r="184" spans="1:15" x14ac:dyDescent="0.45">
      <c r="A184" t="s">
        <v>217</v>
      </c>
      <c r="B184">
        <v>47.64</v>
      </c>
      <c r="C184" t="s">
        <v>16</v>
      </c>
      <c r="D184" t="s">
        <v>26</v>
      </c>
      <c r="E184" t="s">
        <v>18</v>
      </c>
      <c r="F184" t="s">
        <v>19</v>
      </c>
      <c r="G184" t="s">
        <v>20</v>
      </c>
      <c r="H184" t="s">
        <v>21</v>
      </c>
      <c r="I184" t="s">
        <v>21</v>
      </c>
      <c r="J184" t="s">
        <v>38</v>
      </c>
      <c r="K184">
        <v>7</v>
      </c>
      <c r="L184">
        <v>172.9</v>
      </c>
      <c r="M184" t="s">
        <v>30</v>
      </c>
      <c r="N184" t="str">
        <f>_xlfn.XLOOKUP(A184,[1]!brca_metabric_clinical_data__2[Patient ID], [1]!brca_metabric_clinical_data__2[Tumor Size])</f>
        <v>21</v>
      </c>
      <c r="O184" t="str">
        <f>_xlfn.XLOOKUP(A184,[1]!brca_metabric_clinical_data__2[Sample ID],[1]!brca_metabric_clinical_data__2[Tumor Stage])</f>
        <v>2</v>
      </c>
    </row>
    <row r="185" spans="1:15" x14ac:dyDescent="0.45">
      <c r="A185" t="s">
        <v>218</v>
      </c>
      <c r="B185">
        <v>52.79</v>
      </c>
      <c r="C185" t="s">
        <v>16</v>
      </c>
      <c r="D185" t="s">
        <v>17</v>
      </c>
      <c r="F185" t="s">
        <v>19</v>
      </c>
      <c r="G185" t="s">
        <v>20</v>
      </c>
      <c r="H185" t="s">
        <v>20</v>
      </c>
      <c r="I185" t="s">
        <v>20</v>
      </c>
      <c r="J185" t="s">
        <v>22</v>
      </c>
      <c r="K185" t="s">
        <v>23</v>
      </c>
      <c r="L185">
        <v>72.8</v>
      </c>
      <c r="M185" t="s">
        <v>24</v>
      </c>
      <c r="N185" t="str">
        <f>_xlfn.XLOOKUP(A185,[1]!brca_metabric_clinical_data__2[Patient ID], [1]!brca_metabric_clinical_data__2[Tumor Size])</f>
        <v>NA</v>
      </c>
      <c r="O185" t="str">
        <f>_xlfn.XLOOKUP(A185,[1]!brca_metabric_clinical_data__2[Sample ID],[1]!brca_metabric_clinical_data__2[Tumor Stage])</f>
        <v>0</v>
      </c>
    </row>
    <row r="186" spans="1:15" x14ac:dyDescent="0.45">
      <c r="A186" t="s">
        <v>219</v>
      </c>
      <c r="B186">
        <v>51.81</v>
      </c>
      <c r="C186" t="s">
        <v>16</v>
      </c>
      <c r="D186" t="s">
        <v>17</v>
      </c>
      <c r="E186" t="s">
        <v>18</v>
      </c>
      <c r="F186" t="s">
        <v>19</v>
      </c>
      <c r="G186" t="s">
        <v>21</v>
      </c>
      <c r="H186" t="s">
        <v>21</v>
      </c>
      <c r="I186" t="s">
        <v>21</v>
      </c>
      <c r="J186" t="s">
        <v>22</v>
      </c>
      <c r="K186" t="s">
        <v>23</v>
      </c>
      <c r="L186">
        <v>194.23333333333301</v>
      </c>
      <c r="M186" t="s">
        <v>24</v>
      </c>
      <c r="N186" t="str">
        <f>_xlfn.XLOOKUP(A186,[1]!brca_metabric_clinical_data__2[Patient ID], [1]!brca_metabric_clinical_data__2[Tumor Size])</f>
        <v>18</v>
      </c>
      <c r="O186" t="str">
        <f>_xlfn.XLOOKUP(A186,[1]!brca_metabric_clinical_data__2[Sample ID],[1]!brca_metabric_clinical_data__2[Tumor Stage])</f>
        <v>2</v>
      </c>
    </row>
    <row r="187" spans="1:15" x14ac:dyDescent="0.45">
      <c r="A187" t="s">
        <v>220</v>
      </c>
      <c r="B187">
        <v>60.3</v>
      </c>
      <c r="C187" t="s">
        <v>16</v>
      </c>
      <c r="D187" t="s">
        <v>17</v>
      </c>
      <c r="E187" t="s">
        <v>18</v>
      </c>
      <c r="F187" t="s">
        <v>19</v>
      </c>
      <c r="G187" t="s">
        <v>20</v>
      </c>
      <c r="H187" t="s">
        <v>20</v>
      </c>
      <c r="I187" t="s">
        <v>20</v>
      </c>
      <c r="J187" t="s">
        <v>29</v>
      </c>
      <c r="K187">
        <v>1</v>
      </c>
      <c r="L187">
        <v>22.033333333333299</v>
      </c>
      <c r="M187" t="s">
        <v>30</v>
      </c>
      <c r="N187" t="str">
        <f>_xlfn.XLOOKUP(A187,[1]!brca_metabric_clinical_data__2[Patient ID], [1]!brca_metabric_clinical_data__2[Tumor Size])</f>
        <v>33</v>
      </c>
      <c r="O187" t="str">
        <f>_xlfn.XLOOKUP(A187,[1]!brca_metabric_clinical_data__2[Sample ID],[1]!brca_metabric_clinical_data__2[Tumor Stage])</f>
        <v>4</v>
      </c>
    </row>
    <row r="188" spans="1:15" x14ac:dyDescent="0.45">
      <c r="A188" t="s">
        <v>221</v>
      </c>
      <c r="B188">
        <v>51.42</v>
      </c>
      <c r="C188" t="s">
        <v>16</v>
      </c>
      <c r="D188" t="s">
        <v>17</v>
      </c>
      <c r="F188" t="s">
        <v>19</v>
      </c>
      <c r="G188" t="s">
        <v>20</v>
      </c>
      <c r="H188" t="s">
        <v>20</v>
      </c>
      <c r="I188" t="s">
        <v>20</v>
      </c>
      <c r="J188" t="s">
        <v>22</v>
      </c>
      <c r="K188">
        <v>10</v>
      </c>
      <c r="L188">
        <v>0</v>
      </c>
      <c r="M188" t="s">
        <v>24</v>
      </c>
      <c r="N188" t="str">
        <f>_xlfn.XLOOKUP(A188,[1]!brca_metabric_clinical_data__2[Patient ID], [1]!brca_metabric_clinical_data__2[Tumor Size])</f>
        <v>NA</v>
      </c>
      <c r="O188" t="str">
        <f>_xlfn.XLOOKUP(A188,[1]!brca_metabric_clinical_data__2[Sample ID],[1]!brca_metabric_clinical_data__2[Tumor Stage])</f>
        <v>NA</v>
      </c>
    </row>
    <row r="189" spans="1:15" x14ac:dyDescent="0.45">
      <c r="A189" t="s">
        <v>222</v>
      </c>
      <c r="B189">
        <v>48.07</v>
      </c>
      <c r="C189" t="s">
        <v>16</v>
      </c>
      <c r="D189" t="s">
        <v>26</v>
      </c>
      <c r="E189" t="s">
        <v>18</v>
      </c>
      <c r="F189" t="s">
        <v>19</v>
      </c>
      <c r="G189" t="s">
        <v>20</v>
      </c>
      <c r="H189" t="s">
        <v>20</v>
      </c>
      <c r="I189" t="s">
        <v>20</v>
      </c>
      <c r="J189" t="s">
        <v>22</v>
      </c>
      <c r="K189" t="s">
        <v>23</v>
      </c>
      <c r="L189">
        <v>3.3666666666666698</v>
      </c>
      <c r="M189" t="s">
        <v>24</v>
      </c>
      <c r="N189" t="str">
        <f>_xlfn.XLOOKUP(A189,[1]!brca_metabric_clinical_data__2[Patient ID], [1]!brca_metabric_clinical_data__2[Tumor Size])</f>
        <v>28</v>
      </c>
      <c r="O189" t="str">
        <f>_xlfn.XLOOKUP(A189,[1]!brca_metabric_clinical_data__2[Sample ID],[1]!brca_metabric_clinical_data__2[Tumor Stage])</f>
        <v>2</v>
      </c>
    </row>
    <row r="190" spans="1:15" x14ac:dyDescent="0.45">
      <c r="A190" t="s">
        <v>223</v>
      </c>
      <c r="B190">
        <v>62.92</v>
      </c>
      <c r="C190" t="s">
        <v>16</v>
      </c>
      <c r="D190" t="s">
        <v>17</v>
      </c>
      <c r="E190" t="s">
        <v>18</v>
      </c>
      <c r="F190" t="s">
        <v>19</v>
      </c>
      <c r="G190" t="s">
        <v>20</v>
      </c>
      <c r="H190" t="s">
        <v>20</v>
      </c>
      <c r="I190" t="s">
        <v>20</v>
      </c>
      <c r="J190" t="s">
        <v>22</v>
      </c>
      <c r="K190" t="s">
        <v>23</v>
      </c>
      <c r="L190">
        <v>192.6</v>
      </c>
      <c r="M190" t="s">
        <v>24</v>
      </c>
      <c r="N190" t="str">
        <f>_xlfn.XLOOKUP(A190,[1]!brca_metabric_clinical_data__2[Patient ID], [1]!brca_metabric_clinical_data__2[Tumor Size])</f>
        <v>23</v>
      </c>
      <c r="O190" t="str">
        <f>_xlfn.XLOOKUP(A190,[1]!brca_metabric_clinical_data__2[Sample ID],[1]!brca_metabric_clinical_data__2[Tumor Stage])</f>
        <v>2</v>
      </c>
    </row>
    <row r="191" spans="1:15" x14ac:dyDescent="0.45">
      <c r="A191" t="s">
        <v>224</v>
      </c>
      <c r="B191">
        <v>77.540000000000006</v>
      </c>
      <c r="C191" t="s">
        <v>16</v>
      </c>
      <c r="D191" t="s">
        <v>17</v>
      </c>
      <c r="E191" t="s">
        <v>18</v>
      </c>
      <c r="F191" t="s">
        <v>19</v>
      </c>
      <c r="G191" t="s">
        <v>20</v>
      </c>
      <c r="H191" t="s">
        <v>20</v>
      </c>
      <c r="I191" t="s">
        <v>20</v>
      </c>
      <c r="J191" t="s">
        <v>29</v>
      </c>
      <c r="K191">
        <v>7</v>
      </c>
      <c r="L191">
        <v>94.733333333333306</v>
      </c>
      <c r="M191" t="s">
        <v>30</v>
      </c>
      <c r="N191" t="str">
        <f>_xlfn.XLOOKUP(A191,[1]!brca_metabric_clinical_data__2[Patient ID], [1]!brca_metabric_clinical_data__2[Tumor Size])</f>
        <v>19</v>
      </c>
      <c r="O191" t="str">
        <f>_xlfn.XLOOKUP(A191,[1]!brca_metabric_clinical_data__2[Sample ID],[1]!brca_metabric_clinical_data__2[Tumor Stage])</f>
        <v>2</v>
      </c>
    </row>
    <row r="192" spans="1:15" x14ac:dyDescent="0.45">
      <c r="A192" t="s">
        <v>225</v>
      </c>
      <c r="B192">
        <v>55.22</v>
      </c>
      <c r="C192" t="s">
        <v>16</v>
      </c>
      <c r="D192" t="s">
        <v>17</v>
      </c>
      <c r="E192" t="s">
        <v>18</v>
      </c>
      <c r="F192" t="s">
        <v>43</v>
      </c>
      <c r="G192" t="s">
        <v>21</v>
      </c>
      <c r="H192" t="s">
        <v>21</v>
      </c>
      <c r="I192" t="s">
        <v>20</v>
      </c>
      <c r="J192" t="s">
        <v>38</v>
      </c>
      <c r="K192">
        <v>1</v>
      </c>
      <c r="L192">
        <v>63.8</v>
      </c>
      <c r="M192" t="s">
        <v>30</v>
      </c>
      <c r="N192" t="str">
        <f>_xlfn.XLOOKUP(A192,[1]!brca_metabric_clinical_data__2[Patient ID], [1]!brca_metabric_clinical_data__2[Tumor Size])</f>
        <v>30</v>
      </c>
      <c r="O192" t="str">
        <f>_xlfn.XLOOKUP(A192,[1]!brca_metabric_clinical_data__2[Sample ID],[1]!brca_metabric_clinical_data__2[Tumor Stage])</f>
        <v>2</v>
      </c>
    </row>
    <row r="193" spans="1:15" x14ac:dyDescent="0.45">
      <c r="A193" t="s">
        <v>226</v>
      </c>
      <c r="B193">
        <v>75.91</v>
      </c>
      <c r="C193" t="s">
        <v>16</v>
      </c>
      <c r="D193" t="s">
        <v>17</v>
      </c>
      <c r="E193" t="s">
        <v>18</v>
      </c>
      <c r="F193" t="s">
        <v>19</v>
      </c>
      <c r="G193" t="s">
        <v>20</v>
      </c>
      <c r="H193" t="s">
        <v>21</v>
      </c>
      <c r="I193" t="s">
        <v>21</v>
      </c>
      <c r="J193" t="s">
        <v>22</v>
      </c>
      <c r="K193" t="s">
        <v>23</v>
      </c>
      <c r="L193">
        <v>71.599999999999994</v>
      </c>
      <c r="M193" t="s">
        <v>30</v>
      </c>
      <c r="N193" t="str">
        <f>_xlfn.XLOOKUP(A193,[1]!brca_metabric_clinical_data__2[Patient ID], [1]!brca_metabric_clinical_data__2[Tumor Size])</f>
        <v>20</v>
      </c>
      <c r="O193" t="str">
        <f>_xlfn.XLOOKUP(A193,[1]!brca_metabric_clinical_data__2[Sample ID],[1]!brca_metabric_clinical_data__2[Tumor Stage])</f>
        <v>2</v>
      </c>
    </row>
    <row r="194" spans="1:15" x14ac:dyDescent="0.45">
      <c r="A194" t="s">
        <v>227</v>
      </c>
      <c r="B194">
        <v>49.92</v>
      </c>
      <c r="C194" t="s">
        <v>16</v>
      </c>
      <c r="D194" t="s">
        <v>26</v>
      </c>
      <c r="E194" t="s">
        <v>18</v>
      </c>
      <c r="F194" t="s">
        <v>19</v>
      </c>
      <c r="G194" t="s">
        <v>20</v>
      </c>
      <c r="H194" t="s">
        <v>20</v>
      </c>
      <c r="I194" t="s">
        <v>20</v>
      </c>
      <c r="J194" t="s">
        <v>27</v>
      </c>
      <c r="K194">
        <v>8</v>
      </c>
      <c r="L194">
        <v>199.53333333333299</v>
      </c>
      <c r="M194" t="s">
        <v>24</v>
      </c>
      <c r="N194" t="str">
        <f>_xlfn.XLOOKUP(A194,[1]!brca_metabric_clinical_data__2[Patient ID], [1]!brca_metabric_clinical_data__2[Tumor Size])</f>
        <v>25</v>
      </c>
      <c r="O194" t="str">
        <f>_xlfn.XLOOKUP(A194,[1]!brca_metabric_clinical_data__2[Sample ID],[1]!brca_metabric_clinical_data__2[Tumor Stage])</f>
        <v>NA</v>
      </c>
    </row>
    <row r="195" spans="1:15" x14ac:dyDescent="0.45">
      <c r="A195" t="s">
        <v>228</v>
      </c>
      <c r="B195">
        <v>51.19</v>
      </c>
      <c r="C195" t="s">
        <v>16</v>
      </c>
      <c r="D195" t="s">
        <v>17</v>
      </c>
      <c r="E195" t="s">
        <v>18</v>
      </c>
      <c r="F195" t="s">
        <v>43</v>
      </c>
      <c r="G195" t="s">
        <v>21</v>
      </c>
      <c r="H195" t="s">
        <v>21</v>
      </c>
      <c r="I195" t="s">
        <v>20</v>
      </c>
      <c r="J195" t="s">
        <v>29</v>
      </c>
      <c r="K195">
        <v>5</v>
      </c>
      <c r="L195">
        <v>39.200000000000003</v>
      </c>
      <c r="M195" t="s">
        <v>30</v>
      </c>
      <c r="N195" t="str">
        <f>_xlfn.XLOOKUP(A195,[1]!brca_metabric_clinical_data__2[Patient ID], [1]!brca_metabric_clinical_data__2[Tumor Size])</f>
        <v>26</v>
      </c>
      <c r="O195" t="str">
        <f>_xlfn.XLOOKUP(A195,[1]!brca_metabric_clinical_data__2[Sample ID],[1]!brca_metabric_clinical_data__2[Tumor Stage])</f>
        <v>2</v>
      </c>
    </row>
    <row r="196" spans="1:15" x14ac:dyDescent="0.45">
      <c r="A196" t="s">
        <v>229</v>
      </c>
      <c r="B196">
        <v>80.34</v>
      </c>
      <c r="C196" t="s">
        <v>16</v>
      </c>
      <c r="D196" t="s">
        <v>17</v>
      </c>
      <c r="E196" t="s">
        <v>37</v>
      </c>
      <c r="F196" t="s">
        <v>19</v>
      </c>
      <c r="G196" t="s">
        <v>20</v>
      </c>
      <c r="H196" t="s">
        <v>20</v>
      </c>
      <c r="I196" t="s">
        <v>20</v>
      </c>
      <c r="J196" t="s">
        <v>45</v>
      </c>
      <c r="K196">
        <v>9</v>
      </c>
      <c r="L196">
        <v>49.433333333333302</v>
      </c>
      <c r="M196" t="s">
        <v>30</v>
      </c>
      <c r="N196" t="str">
        <f>_xlfn.XLOOKUP(A196,[1]!brca_metabric_clinical_data__2[Patient ID], [1]!brca_metabric_clinical_data__2[Tumor Size])</f>
        <v>55</v>
      </c>
      <c r="O196" t="str">
        <f>_xlfn.XLOOKUP(A196,[1]!brca_metabric_clinical_data__2[Sample ID],[1]!brca_metabric_clinical_data__2[Tumor Stage])</f>
        <v>2</v>
      </c>
    </row>
    <row r="197" spans="1:15" x14ac:dyDescent="0.45">
      <c r="A197" t="s">
        <v>230</v>
      </c>
      <c r="B197">
        <v>51.62</v>
      </c>
      <c r="C197" t="s">
        <v>16</v>
      </c>
      <c r="D197" t="s">
        <v>17</v>
      </c>
      <c r="E197" t="s">
        <v>18</v>
      </c>
      <c r="F197" t="s">
        <v>19</v>
      </c>
      <c r="G197" t="s">
        <v>20</v>
      </c>
      <c r="H197" t="s">
        <v>21</v>
      </c>
      <c r="I197" t="s">
        <v>20</v>
      </c>
      <c r="J197" t="s">
        <v>22</v>
      </c>
      <c r="K197" t="s">
        <v>23</v>
      </c>
      <c r="L197">
        <v>64.366666666666703</v>
      </c>
      <c r="M197" t="s">
        <v>24</v>
      </c>
      <c r="N197" t="str">
        <f>_xlfn.XLOOKUP(A197,[1]!brca_metabric_clinical_data__2[Patient ID], [1]!brca_metabric_clinical_data__2[Tumor Size])</f>
        <v>13</v>
      </c>
      <c r="O197" t="str">
        <f>_xlfn.XLOOKUP(A197,[1]!brca_metabric_clinical_data__2[Sample ID],[1]!brca_metabric_clinical_data__2[Tumor Stage])</f>
        <v>1</v>
      </c>
    </row>
    <row r="198" spans="1:15" x14ac:dyDescent="0.45">
      <c r="A198" t="s">
        <v>231</v>
      </c>
      <c r="B198">
        <v>46.17</v>
      </c>
      <c r="C198" t="s">
        <v>16</v>
      </c>
      <c r="D198" t="s">
        <v>26</v>
      </c>
      <c r="E198" t="s">
        <v>18</v>
      </c>
      <c r="F198" t="s">
        <v>43</v>
      </c>
      <c r="G198" t="s">
        <v>21</v>
      </c>
      <c r="H198" t="s">
        <v>21</v>
      </c>
      <c r="I198" t="s">
        <v>21</v>
      </c>
      <c r="J198" t="s">
        <v>38</v>
      </c>
      <c r="K198" t="s">
        <v>23</v>
      </c>
      <c r="L198">
        <v>72.900000000000006</v>
      </c>
      <c r="M198" t="s">
        <v>24</v>
      </c>
      <c r="N198" t="str">
        <f>_xlfn.XLOOKUP(A198,[1]!brca_metabric_clinical_data__2[Patient ID], [1]!brca_metabric_clinical_data__2[Tumor Size])</f>
        <v>14</v>
      </c>
      <c r="O198" t="str">
        <f>_xlfn.XLOOKUP(A198,[1]!brca_metabric_clinical_data__2[Sample ID],[1]!brca_metabric_clinical_data__2[Tumor Stage])</f>
        <v>2</v>
      </c>
    </row>
    <row r="199" spans="1:15" x14ac:dyDescent="0.45">
      <c r="A199" t="s">
        <v>232</v>
      </c>
      <c r="B199">
        <v>47.13</v>
      </c>
      <c r="C199" t="s">
        <v>16</v>
      </c>
      <c r="D199" t="s">
        <v>26</v>
      </c>
      <c r="E199" t="s">
        <v>18</v>
      </c>
      <c r="F199" t="s">
        <v>35</v>
      </c>
      <c r="G199" t="s">
        <v>20</v>
      </c>
      <c r="H199" t="s">
        <v>21</v>
      </c>
      <c r="I199" t="s">
        <v>20</v>
      </c>
      <c r="J199" t="s">
        <v>27</v>
      </c>
      <c r="K199" t="s">
        <v>23</v>
      </c>
      <c r="L199">
        <v>164.5</v>
      </c>
      <c r="M199" t="s">
        <v>24</v>
      </c>
      <c r="N199" t="str">
        <f>_xlfn.XLOOKUP(A199,[1]!brca_metabric_clinical_data__2[Patient ID], [1]!brca_metabric_clinical_data__2[Tumor Size])</f>
        <v>9</v>
      </c>
      <c r="O199" t="str">
        <f>_xlfn.XLOOKUP(A199,[1]!brca_metabric_clinical_data__2[Sample ID],[1]!brca_metabric_clinical_data__2[Tumor Stage])</f>
        <v>2</v>
      </c>
    </row>
    <row r="200" spans="1:15" x14ac:dyDescent="0.45">
      <c r="A200" t="s">
        <v>233</v>
      </c>
      <c r="B200">
        <v>68.83</v>
      </c>
      <c r="C200" t="s">
        <v>16</v>
      </c>
      <c r="D200" t="s">
        <v>17</v>
      </c>
      <c r="F200" t="s">
        <v>19</v>
      </c>
      <c r="G200" t="s">
        <v>20</v>
      </c>
      <c r="H200" t="s">
        <v>20</v>
      </c>
      <c r="I200" t="s">
        <v>21</v>
      </c>
      <c r="J200" t="s">
        <v>58</v>
      </c>
      <c r="K200">
        <v>10</v>
      </c>
      <c r="L200">
        <v>188.13333333333301</v>
      </c>
      <c r="M200" t="s">
        <v>24</v>
      </c>
      <c r="N200" t="str">
        <f>_xlfn.XLOOKUP(A200,[1]!brca_metabric_clinical_data__2[Patient ID], [1]!brca_metabric_clinical_data__2[Tumor Size])</f>
        <v>25</v>
      </c>
      <c r="O200" t="str">
        <f>_xlfn.XLOOKUP(A200,[1]!brca_metabric_clinical_data__2[Sample ID],[1]!brca_metabric_clinical_data__2[Tumor Stage])</f>
        <v>0</v>
      </c>
    </row>
    <row r="201" spans="1:15" x14ac:dyDescent="0.45">
      <c r="A201" t="s">
        <v>234</v>
      </c>
      <c r="B201">
        <v>82.46</v>
      </c>
      <c r="C201" t="s">
        <v>16</v>
      </c>
      <c r="D201" t="s">
        <v>17</v>
      </c>
      <c r="E201" t="s">
        <v>18</v>
      </c>
      <c r="F201" t="s">
        <v>19</v>
      </c>
      <c r="G201" t="s">
        <v>20</v>
      </c>
      <c r="H201" t="s">
        <v>21</v>
      </c>
      <c r="I201" t="s">
        <v>21</v>
      </c>
      <c r="J201" t="s">
        <v>27</v>
      </c>
      <c r="K201">
        <v>7</v>
      </c>
      <c r="L201">
        <v>122.7</v>
      </c>
      <c r="M201" t="s">
        <v>30</v>
      </c>
      <c r="N201" t="str">
        <f>_xlfn.XLOOKUP(A201,[1]!brca_metabric_clinical_data__2[Patient ID], [1]!brca_metabric_clinical_data__2[Tumor Size])</f>
        <v>23</v>
      </c>
      <c r="O201" t="str">
        <f>_xlfn.XLOOKUP(A201,[1]!brca_metabric_clinical_data__2[Sample ID],[1]!brca_metabric_clinical_data__2[Tumor Stage])</f>
        <v>2</v>
      </c>
    </row>
    <row r="202" spans="1:15" x14ac:dyDescent="0.45">
      <c r="A202" t="s">
        <v>235</v>
      </c>
      <c r="B202">
        <v>81.53</v>
      </c>
      <c r="C202" t="s">
        <v>16</v>
      </c>
      <c r="D202" t="s">
        <v>17</v>
      </c>
      <c r="E202" t="s">
        <v>18</v>
      </c>
      <c r="F202" t="s">
        <v>19</v>
      </c>
      <c r="G202" t="s">
        <v>20</v>
      </c>
      <c r="H202" t="s">
        <v>21</v>
      </c>
      <c r="I202" t="s">
        <v>21</v>
      </c>
      <c r="J202" t="s">
        <v>27</v>
      </c>
      <c r="K202">
        <v>3</v>
      </c>
      <c r="L202">
        <v>84.2</v>
      </c>
      <c r="M202" t="s">
        <v>30</v>
      </c>
      <c r="N202" t="str">
        <f>_xlfn.XLOOKUP(A202,[1]!brca_metabric_clinical_data__2[Patient ID], [1]!brca_metabric_clinical_data__2[Tumor Size])</f>
        <v>29</v>
      </c>
      <c r="O202" t="str">
        <f>_xlfn.XLOOKUP(A202,[1]!brca_metabric_clinical_data__2[Sample ID],[1]!brca_metabric_clinical_data__2[Tumor Stage])</f>
        <v>2</v>
      </c>
    </row>
    <row r="203" spans="1:15" x14ac:dyDescent="0.45">
      <c r="A203" t="s">
        <v>236</v>
      </c>
      <c r="B203">
        <v>47.71</v>
      </c>
      <c r="C203" t="s">
        <v>16</v>
      </c>
      <c r="D203" t="s">
        <v>26</v>
      </c>
      <c r="E203" t="s">
        <v>37</v>
      </c>
      <c r="F203" t="s">
        <v>19</v>
      </c>
      <c r="G203" t="s">
        <v>20</v>
      </c>
      <c r="H203" t="s">
        <v>21</v>
      </c>
      <c r="I203" t="s">
        <v>20</v>
      </c>
      <c r="J203" t="s">
        <v>22</v>
      </c>
      <c r="K203">
        <v>10</v>
      </c>
      <c r="L203">
        <v>60.133333333333297</v>
      </c>
      <c r="M203" t="s">
        <v>24</v>
      </c>
      <c r="N203" t="str">
        <f>_xlfn.XLOOKUP(A203,[1]!brca_metabric_clinical_data__2[Patient ID], [1]!brca_metabric_clinical_data__2[Tumor Size])</f>
        <v>11</v>
      </c>
      <c r="O203" t="str">
        <f>_xlfn.XLOOKUP(A203,[1]!brca_metabric_clinical_data__2[Sample ID],[1]!brca_metabric_clinical_data__2[Tumor Stage])</f>
        <v>1</v>
      </c>
    </row>
    <row r="204" spans="1:15" x14ac:dyDescent="0.45">
      <c r="A204" t="s">
        <v>237</v>
      </c>
      <c r="B204">
        <v>84.85</v>
      </c>
      <c r="C204" t="s">
        <v>16</v>
      </c>
      <c r="D204" t="s">
        <v>17</v>
      </c>
      <c r="E204" t="s">
        <v>18</v>
      </c>
      <c r="F204" t="s">
        <v>19</v>
      </c>
      <c r="G204" t="s">
        <v>20</v>
      </c>
      <c r="H204" t="s">
        <v>21</v>
      </c>
      <c r="I204" t="s">
        <v>21</v>
      </c>
      <c r="J204" t="s">
        <v>29</v>
      </c>
      <c r="K204">
        <v>6</v>
      </c>
      <c r="L204">
        <v>111.533333333333</v>
      </c>
      <c r="M204" t="s">
        <v>30</v>
      </c>
      <c r="N204" t="str">
        <f>_xlfn.XLOOKUP(A204,[1]!brca_metabric_clinical_data__2[Patient ID], [1]!brca_metabric_clinical_data__2[Tumor Size])</f>
        <v>14</v>
      </c>
      <c r="O204" t="str">
        <f>_xlfn.XLOOKUP(A204,[1]!brca_metabric_clinical_data__2[Sample ID],[1]!brca_metabric_clinical_data__2[Tumor Stage])</f>
        <v>NA</v>
      </c>
    </row>
    <row r="205" spans="1:15" x14ac:dyDescent="0.45">
      <c r="A205" t="s">
        <v>238</v>
      </c>
      <c r="B205">
        <v>60.62</v>
      </c>
      <c r="C205" t="s">
        <v>16</v>
      </c>
      <c r="D205" t="s">
        <v>17</v>
      </c>
      <c r="E205" t="s">
        <v>18</v>
      </c>
      <c r="F205" t="s">
        <v>19</v>
      </c>
      <c r="G205" t="s">
        <v>21</v>
      </c>
      <c r="H205" t="s">
        <v>21</v>
      </c>
      <c r="I205" t="s">
        <v>20</v>
      </c>
      <c r="J205" t="s">
        <v>38</v>
      </c>
      <c r="K205">
        <v>8</v>
      </c>
      <c r="L205">
        <v>63.5</v>
      </c>
      <c r="M205" t="s">
        <v>30</v>
      </c>
      <c r="N205" t="str">
        <f>_xlfn.XLOOKUP(A205,[1]!brca_metabric_clinical_data__2[Patient ID], [1]!brca_metabric_clinical_data__2[Tumor Size])</f>
        <v>35</v>
      </c>
      <c r="O205" t="str">
        <f>_xlfn.XLOOKUP(A205,[1]!brca_metabric_clinical_data__2[Sample ID],[1]!brca_metabric_clinical_data__2[Tumor Stage])</f>
        <v>2</v>
      </c>
    </row>
    <row r="206" spans="1:15" x14ac:dyDescent="0.45">
      <c r="A206" t="s">
        <v>239</v>
      </c>
      <c r="B206">
        <v>82.53</v>
      </c>
      <c r="C206" t="s">
        <v>16</v>
      </c>
      <c r="D206" t="s">
        <v>17</v>
      </c>
      <c r="E206" t="s">
        <v>18</v>
      </c>
      <c r="F206" t="s">
        <v>19</v>
      </c>
      <c r="G206" t="s">
        <v>20</v>
      </c>
      <c r="H206" t="s">
        <v>21</v>
      </c>
      <c r="I206" t="s">
        <v>21</v>
      </c>
      <c r="J206" t="s">
        <v>27</v>
      </c>
      <c r="K206">
        <v>3</v>
      </c>
      <c r="L206">
        <v>42.966666666666697</v>
      </c>
      <c r="M206" t="s">
        <v>30</v>
      </c>
      <c r="N206" t="str">
        <f>_xlfn.XLOOKUP(A206,[1]!brca_metabric_clinical_data__2[Patient ID], [1]!brca_metabric_clinical_data__2[Tumor Size])</f>
        <v>35</v>
      </c>
      <c r="O206" t="str">
        <f>_xlfn.XLOOKUP(A206,[1]!brca_metabric_clinical_data__2[Sample ID],[1]!brca_metabric_clinical_data__2[Tumor Stage])</f>
        <v>2</v>
      </c>
    </row>
    <row r="207" spans="1:15" x14ac:dyDescent="0.45">
      <c r="A207" t="s">
        <v>240</v>
      </c>
      <c r="B207">
        <v>41.63</v>
      </c>
      <c r="C207" t="s">
        <v>16</v>
      </c>
      <c r="D207" t="s">
        <v>26</v>
      </c>
      <c r="E207" t="s">
        <v>18</v>
      </c>
      <c r="F207" t="s">
        <v>43</v>
      </c>
      <c r="G207" t="s">
        <v>21</v>
      </c>
      <c r="H207" t="s">
        <v>21</v>
      </c>
      <c r="I207" t="s">
        <v>21</v>
      </c>
      <c r="J207" t="s">
        <v>22</v>
      </c>
      <c r="K207">
        <v>5</v>
      </c>
      <c r="L207">
        <v>177.333333333333</v>
      </c>
      <c r="M207" t="s">
        <v>24</v>
      </c>
      <c r="N207" t="str">
        <f>_xlfn.XLOOKUP(A207,[1]!brca_metabric_clinical_data__2[Patient ID], [1]!brca_metabric_clinical_data__2[Tumor Size])</f>
        <v>10</v>
      </c>
      <c r="O207" t="str">
        <f>_xlfn.XLOOKUP(A207,[1]!brca_metabric_clinical_data__2[Sample ID],[1]!brca_metabric_clinical_data__2[Tumor Stage])</f>
        <v>2</v>
      </c>
    </row>
    <row r="208" spans="1:15" x14ac:dyDescent="0.45">
      <c r="A208" t="s">
        <v>241</v>
      </c>
      <c r="B208">
        <v>51.21</v>
      </c>
      <c r="C208" t="s">
        <v>16</v>
      </c>
      <c r="D208" t="s">
        <v>17</v>
      </c>
      <c r="E208" t="s">
        <v>18</v>
      </c>
      <c r="F208" t="s">
        <v>19</v>
      </c>
      <c r="G208" t="s">
        <v>20</v>
      </c>
      <c r="H208" t="s">
        <v>20</v>
      </c>
      <c r="I208" t="s">
        <v>20</v>
      </c>
      <c r="J208" t="s">
        <v>27</v>
      </c>
      <c r="K208">
        <v>3</v>
      </c>
      <c r="L208">
        <v>183.26666666666699</v>
      </c>
      <c r="M208" t="s">
        <v>24</v>
      </c>
      <c r="N208" t="str">
        <f>_xlfn.XLOOKUP(A208,[1]!brca_metabric_clinical_data__2[Patient ID], [1]!brca_metabric_clinical_data__2[Tumor Size])</f>
        <v>19</v>
      </c>
      <c r="O208" t="str">
        <f>_xlfn.XLOOKUP(A208,[1]!brca_metabric_clinical_data__2[Sample ID],[1]!brca_metabric_clinical_data__2[Tumor Stage])</f>
        <v>1</v>
      </c>
    </row>
    <row r="209" spans="1:15" x14ac:dyDescent="0.45">
      <c r="A209" t="s">
        <v>242</v>
      </c>
      <c r="B209">
        <v>89.43</v>
      </c>
      <c r="C209" t="s">
        <v>16</v>
      </c>
      <c r="D209" t="s">
        <v>17</v>
      </c>
      <c r="E209" t="s">
        <v>18</v>
      </c>
      <c r="F209" t="s">
        <v>19</v>
      </c>
      <c r="G209" t="s">
        <v>20</v>
      </c>
      <c r="H209" t="s">
        <v>21</v>
      </c>
      <c r="I209" t="s">
        <v>20</v>
      </c>
      <c r="J209" t="s">
        <v>27</v>
      </c>
      <c r="K209">
        <v>8</v>
      </c>
      <c r="L209">
        <v>42.3333333333333</v>
      </c>
      <c r="M209" t="s">
        <v>30</v>
      </c>
      <c r="N209" t="str">
        <f>_xlfn.XLOOKUP(A209,[1]!brca_metabric_clinical_data__2[Patient ID], [1]!brca_metabric_clinical_data__2[Tumor Size])</f>
        <v>21</v>
      </c>
      <c r="O209" t="str">
        <f>_xlfn.XLOOKUP(A209,[1]!brca_metabric_clinical_data__2[Sample ID],[1]!brca_metabric_clinical_data__2[Tumor Stage])</f>
        <v>2</v>
      </c>
    </row>
    <row r="210" spans="1:15" x14ac:dyDescent="0.45">
      <c r="A210" t="s">
        <v>243</v>
      </c>
      <c r="B210">
        <v>67.38</v>
      </c>
      <c r="C210" t="s">
        <v>16</v>
      </c>
      <c r="D210" t="s">
        <v>17</v>
      </c>
      <c r="E210" t="s">
        <v>18</v>
      </c>
      <c r="F210" t="s">
        <v>19</v>
      </c>
      <c r="G210" t="s">
        <v>20</v>
      </c>
      <c r="H210" t="s">
        <v>21</v>
      </c>
      <c r="I210" t="s">
        <v>21</v>
      </c>
      <c r="J210" t="s">
        <v>27</v>
      </c>
      <c r="K210">
        <v>3</v>
      </c>
      <c r="L210">
        <v>185.166666666667</v>
      </c>
      <c r="M210" t="s">
        <v>24</v>
      </c>
      <c r="N210" t="str">
        <f>_xlfn.XLOOKUP(A210,[1]!brca_metabric_clinical_data__2[Patient ID], [1]!brca_metabric_clinical_data__2[Tumor Size])</f>
        <v>16</v>
      </c>
      <c r="O210" t="str">
        <f>_xlfn.XLOOKUP(A210,[1]!brca_metabric_clinical_data__2[Sample ID],[1]!brca_metabric_clinical_data__2[Tumor Stage])</f>
        <v>2</v>
      </c>
    </row>
    <row r="211" spans="1:15" x14ac:dyDescent="0.45">
      <c r="A211" t="s">
        <v>244</v>
      </c>
      <c r="B211">
        <v>77.94</v>
      </c>
      <c r="C211" t="s">
        <v>16</v>
      </c>
      <c r="D211" t="s">
        <v>17</v>
      </c>
      <c r="E211" t="s">
        <v>18</v>
      </c>
      <c r="F211" t="s">
        <v>19</v>
      </c>
      <c r="G211" t="s">
        <v>20</v>
      </c>
      <c r="H211" t="s">
        <v>21</v>
      </c>
      <c r="I211" t="s">
        <v>20</v>
      </c>
      <c r="J211" t="s">
        <v>29</v>
      </c>
      <c r="K211">
        <v>8</v>
      </c>
      <c r="L211">
        <v>151.166666666667</v>
      </c>
      <c r="M211" t="s">
        <v>30</v>
      </c>
      <c r="N211" t="str">
        <f>_xlfn.XLOOKUP(A211,[1]!brca_metabric_clinical_data__2[Patient ID], [1]!brca_metabric_clinical_data__2[Tumor Size])</f>
        <v>47</v>
      </c>
      <c r="O211" t="str">
        <f>_xlfn.XLOOKUP(A211,[1]!brca_metabric_clinical_data__2[Sample ID],[1]!brca_metabric_clinical_data__2[Tumor Stage])</f>
        <v>2</v>
      </c>
    </row>
    <row r="212" spans="1:15" x14ac:dyDescent="0.45">
      <c r="A212" t="s">
        <v>245</v>
      </c>
      <c r="B212">
        <v>70.489999999999995</v>
      </c>
      <c r="C212" t="s">
        <v>16</v>
      </c>
      <c r="D212" t="s">
        <v>17</v>
      </c>
      <c r="E212" t="s">
        <v>18</v>
      </c>
      <c r="F212" t="s">
        <v>19</v>
      </c>
      <c r="G212" t="s">
        <v>20</v>
      </c>
      <c r="H212" t="s">
        <v>21</v>
      </c>
      <c r="I212" t="s">
        <v>20</v>
      </c>
      <c r="J212" t="s">
        <v>29</v>
      </c>
      <c r="K212">
        <v>2</v>
      </c>
      <c r="L212">
        <v>169.6</v>
      </c>
      <c r="M212" t="s">
        <v>30</v>
      </c>
      <c r="N212" t="str">
        <f>_xlfn.XLOOKUP(A212,[1]!brca_metabric_clinical_data__2[Patient ID], [1]!brca_metabric_clinical_data__2[Tumor Size])</f>
        <v>33</v>
      </c>
      <c r="O212" t="str">
        <f>_xlfn.XLOOKUP(A212,[1]!brca_metabric_clinical_data__2[Sample ID],[1]!brca_metabric_clinical_data__2[Tumor Stage])</f>
        <v>2</v>
      </c>
    </row>
    <row r="213" spans="1:15" x14ac:dyDescent="0.45">
      <c r="A213" t="s">
        <v>246</v>
      </c>
      <c r="B213">
        <v>55.52</v>
      </c>
      <c r="C213" t="s">
        <v>16</v>
      </c>
      <c r="D213" t="s">
        <v>17</v>
      </c>
      <c r="E213" t="s">
        <v>18</v>
      </c>
      <c r="F213" t="s">
        <v>19</v>
      </c>
      <c r="G213" t="s">
        <v>20</v>
      </c>
      <c r="H213" t="s">
        <v>21</v>
      </c>
      <c r="I213" t="s">
        <v>20</v>
      </c>
      <c r="J213" t="s">
        <v>29</v>
      </c>
      <c r="K213">
        <v>10</v>
      </c>
      <c r="L213">
        <v>184.76666666666699</v>
      </c>
      <c r="M213" t="s">
        <v>24</v>
      </c>
      <c r="N213" t="str">
        <f>_xlfn.XLOOKUP(A213,[1]!brca_metabric_clinical_data__2[Patient ID], [1]!brca_metabric_clinical_data__2[Tumor Size])</f>
        <v>23</v>
      </c>
      <c r="O213" t="str">
        <f>_xlfn.XLOOKUP(A213,[1]!brca_metabric_clinical_data__2[Sample ID],[1]!brca_metabric_clinical_data__2[Tumor Stage])</f>
        <v>2</v>
      </c>
    </row>
    <row r="214" spans="1:15" x14ac:dyDescent="0.45">
      <c r="A214" t="s">
        <v>247</v>
      </c>
      <c r="B214">
        <v>73.48</v>
      </c>
      <c r="C214" t="s">
        <v>16</v>
      </c>
      <c r="D214" t="s">
        <v>17</v>
      </c>
      <c r="E214" t="s">
        <v>37</v>
      </c>
      <c r="F214" t="s">
        <v>43</v>
      </c>
      <c r="G214" t="s">
        <v>20</v>
      </c>
      <c r="H214" t="s">
        <v>20</v>
      </c>
      <c r="I214" t="s">
        <v>20</v>
      </c>
      <c r="J214" t="s">
        <v>45</v>
      </c>
      <c r="K214">
        <v>5</v>
      </c>
      <c r="L214">
        <v>4.43333333333333</v>
      </c>
      <c r="M214" t="s">
        <v>30</v>
      </c>
      <c r="N214" t="str">
        <f>_xlfn.XLOOKUP(A214,[1]!brca_metabric_clinical_data__2[Patient ID], [1]!brca_metabric_clinical_data__2[Tumor Size])</f>
        <v>50</v>
      </c>
      <c r="O214" t="str">
        <f>_xlfn.XLOOKUP(A214,[1]!brca_metabric_clinical_data__2[Sample ID],[1]!brca_metabric_clinical_data__2[Tumor Stage])</f>
        <v>2</v>
      </c>
    </row>
    <row r="215" spans="1:15" x14ac:dyDescent="0.45">
      <c r="A215" t="s">
        <v>248</v>
      </c>
      <c r="B215">
        <v>56.32</v>
      </c>
      <c r="C215" t="s">
        <v>16</v>
      </c>
      <c r="D215" t="s">
        <v>17</v>
      </c>
      <c r="E215" t="s">
        <v>18</v>
      </c>
      <c r="F215" t="s">
        <v>43</v>
      </c>
      <c r="G215" t="s">
        <v>21</v>
      </c>
      <c r="H215" t="s">
        <v>21</v>
      </c>
      <c r="I215" t="s">
        <v>21</v>
      </c>
      <c r="J215" t="s">
        <v>27</v>
      </c>
      <c r="K215">
        <v>6</v>
      </c>
      <c r="L215">
        <v>186.2</v>
      </c>
      <c r="M215" t="s">
        <v>24</v>
      </c>
      <c r="N215" t="str">
        <f>_xlfn.XLOOKUP(A215,[1]!brca_metabric_clinical_data__2[Patient ID], [1]!brca_metabric_clinical_data__2[Tumor Size])</f>
        <v>50</v>
      </c>
      <c r="O215" t="str">
        <f>_xlfn.XLOOKUP(A215,[1]!brca_metabric_clinical_data__2[Sample ID],[1]!brca_metabric_clinical_data__2[Tumor Stage])</f>
        <v>2</v>
      </c>
    </row>
    <row r="216" spans="1:15" x14ac:dyDescent="0.45">
      <c r="A216" t="s">
        <v>249</v>
      </c>
      <c r="B216">
        <v>50.82</v>
      </c>
      <c r="C216" t="s">
        <v>16</v>
      </c>
      <c r="D216" t="s">
        <v>17</v>
      </c>
      <c r="E216" t="s">
        <v>37</v>
      </c>
      <c r="F216" t="s">
        <v>19</v>
      </c>
      <c r="G216" t="s">
        <v>20</v>
      </c>
      <c r="H216" t="s">
        <v>20</v>
      </c>
      <c r="I216" t="s">
        <v>21</v>
      </c>
      <c r="J216" t="s">
        <v>58</v>
      </c>
      <c r="K216">
        <v>10</v>
      </c>
      <c r="L216">
        <v>182.9</v>
      </c>
      <c r="M216" t="s">
        <v>24</v>
      </c>
      <c r="N216" t="str">
        <f>_xlfn.XLOOKUP(A216,[1]!brca_metabric_clinical_data__2[Patient ID], [1]!brca_metabric_clinical_data__2[Tumor Size])</f>
        <v>30</v>
      </c>
      <c r="O216" t="str">
        <f>_xlfn.XLOOKUP(A216,[1]!brca_metabric_clinical_data__2[Sample ID],[1]!brca_metabric_clinical_data__2[Tumor Stage])</f>
        <v>2</v>
      </c>
    </row>
    <row r="217" spans="1:15" x14ac:dyDescent="0.45">
      <c r="A217" t="s">
        <v>250</v>
      </c>
      <c r="B217">
        <v>76.680000000000007</v>
      </c>
      <c r="C217" t="s">
        <v>16</v>
      </c>
      <c r="D217" t="s">
        <v>17</v>
      </c>
      <c r="E217" t="s">
        <v>18</v>
      </c>
      <c r="F217" t="s">
        <v>19</v>
      </c>
      <c r="G217" t="s">
        <v>20</v>
      </c>
      <c r="H217" t="s">
        <v>20</v>
      </c>
      <c r="I217" t="s">
        <v>20</v>
      </c>
      <c r="J217" t="s">
        <v>27</v>
      </c>
      <c r="K217">
        <v>7</v>
      </c>
      <c r="L217">
        <v>151.666666666667</v>
      </c>
      <c r="M217" t="s">
        <v>30</v>
      </c>
      <c r="N217" t="str">
        <f>_xlfn.XLOOKUP(A217,[1]!brca_metabric_clinical_data__2[Patient ID], [1]!brca_metabric_clinical_data__2[Tumor Size])</f>
        <v>39</v>
      </c>
      <c r="O217" t="str">
        <f>_xlfn.XLOOKUP(A217,[1]!brca_metabric_clinical_data__2[Sample ID],[1]!brca_metabric_clinical_data__2[Tumor Stage])</f>
        <v>NA</v>
      </c>
    </row>
    <row r="218" spans="1:15" x14ac:dyDescent="0.45">
      <c r="A218" t="s">
        <v>251</v>
      </c>
      <c r="B218">
        <v>58.01</v>
      </c>
      <c r="C218" t="s">
        <v>16</v>
      </c>
      <c r="D218" t="s">
        <v>17</v>
      </c>
      <c r="E218" t="s">
        <v>37</v>
      </c>
      <c r="F218" t="s">
        <v>19</v>
      </c>
      <c r="G218" t="s">
        <v>20</v>
      </c>
      <c r="H218" t="s">
        <v>20</v>
      </c>
      <c r="I218" t="s">
        <v>20</v>
      </c>
      <c r="J218" t="s">
        <v>38</v>
      </c>
      <c r="K218" t="s">
        <v>39</v>
      </c>
      <c r="L218">
        <v>168.7</v>
      </c>
      <c r="M218" t="s">
        <v>24</v>
      </c>
      <c r="N218" t="str">
        <f>_xlfn.XLOOKUP(A218,[1]!brca_metabric_clinical_data__2[Patient ID], [1]!brca_metabric_clinical_data__2[Tumor Size])</f>
        <v>18</v>
      </c>
      <c r="O218" t="str">
        <f>_xlfn.XLOOKUP(A218,[1]!brca_metabric_clinical_data__2[Sample ID],[1]!brca_metabric_clinical_data__2[Tumor Stage])</f>
        <v>1</v>
      </c>
    </row>
    <row r="219" spans="1:15" x14ac:dyDescent="0.45">
      <c r="A219" t="s">
        <v>252</v>
      </c>
      <c r="B219">
        <v>92.14</v>
      </c>
      <c r="C219" t="s">
        <v>16</v>
      </c>
      <c r="D219" t="s">
        <v>17</v>
      </c>
      <c r="E219" t="s">
        <v>18</v>
      </c>
      <c r="F219" t="s">
        <v>43</v>
      </c>
      <c r="G219" t="s">
        <v>20</v>
      </c>
      <c r="H219" t="s">
        <v>21</v>
      </c>
      <c r="I219" t="s">
        <v>21</v>
      </c>
      <c r="J219" t="s">
        <v>29</v>
      </c>
      <c r="K219">
        <v>2</v>
      </c>
      <c r="L219">
        <v>40.700000000000003</v>
      </c>
      <c r="M219" t="s">
        <v>30</v>
      </c>
      <c r="N219" t="str">
        <f>_xlfn.XLOOKUP(A219,[1]!brca_metabric_clinical_data__2[Patient ID], [1]!brca_metabric_clinical_data__2[Tumor Size])</f>
        <v>32</v>
      </c>
      <c r="O219" t="str">
        <f>_xlfn.XLOOKUP(A219,[1]!brca_metabric_clinical_data__2[Sample ID],[1]!brca_metabric_clinical_data__2[Tumor Stage])</f>
        <v>2</v>
      </c>
    </row>
    <row r="220" spans="1:15" x14ac:dyDescent="0.45">
      <c r="A220" t="s">
        <v>253</v>
      </c>
      <c r="B220">
        <v>50.98</v>
      </c>
      <c r="C220" t="s">
        <v>16</v>
      </c>
      <c r="D220" t="s">
        <v>17</v>
      </c>
      <c r="E220" t="s">
        <v>18</v>
      </c>
      <c r="F220" t="s">
        <v>19</v>
      </c>
      <c r="G220" t="s">
        <v>20</v>
      </c>
      <c r="H220" t="s">
        <v>21</v>
      </c>
      <c r="I220" t="s">
        <v>21</v>
      </c>
      <c r="J220" t="s">
        <v>27</v>
      </c>
      <c r="K220">
        <v>3</v>
      </c>
      <c r="L220">
        <v>63.733333333333299</v>
      </c>
      <c r="M220" t="s">
        <v>24</v>
      </c>
      <c r="N220" t="str">
        <f>_xlfn.XLOOKUP(A220,[1]!brca_metabric_clinical_data__2[Patient ID], [1]!brca_metabric_clinical_data__2[Tumor Size])</f>
        <v>17</v>
      </c>
      <c r="O220" t="str">
        <f>_xlfn.XLOOKUP(A220,[1]!brca_metabric_clinical_data__2[Sample ID],[1]!brca_metabric_clinical_data__2[Tumor Stage])</f>
        <v>1</v>
      </c>
    </row>
    <row r="221" spans="1:15" x14ac:dyDescent="0.45">
      <c r="A221" t="s">
        <v>254</v>
      </c>
      <c r="B221">
        <v>46.86</v>
      </c>
      <c r="C221" t="s">
        <v>16</v>
      </c>
      <c r="D221" t="s">
        <v>26</v>
      </c>
      <c r="E221" t="s">
        <v>18</v>
      </c>
      <c r="F221" t="s">
        <v>19</v>
      </c>
      <c r="G221" t="s">
        <v>21</v>
      </c>
      <c r="H221" t="s">
        <v>21</v>
      </c>
      <c r="I221" t="s">
        <v>20</v>
      </c>
      <c r="J221" t="s">
        <v>27</v>
      </c>
      <c r="K221">
        <v>8</v>
      </c>
      <c r="L221">
        <v>174.63333333333301</v>
      </c>
      <c r="M221" t="s">
        <v>24</v>
      </c>
      <c r="N221" t="str">
        <f>_xlfn.XLOOKUP(A221,[1]!brca_metabric_clinical_data__2[Patient ID], [1]!brca_metabric_clinical_data__2[Tumor Size])</f>
        <v>30</v>
      </c>
      <c r="O221" t="str">
        <f>_xlfn.XLOOKUP(A221,[1]!brca_metabric_clinical_data__2[Sample ID],[1]!brca_metabric_clinical_data__2[Tumor Stage])</f>
        <v>2</v>
      </c>
    </row>
    <row r="222" spans="1:15" x14ac:dyDescent="0.45">
      <c r="A222" t="s">
        <v>255</v>
      </c>
      <c r="B222">
        <v>86.28</v>
      </c>
      <c r="C222" t="s">
        <v>16</v>
      </c>
      <c r="D222" t="s">
        <v>17</v>
      </c>
      <c r="E222" t="s">
        <v>18</v>
      </c>
      <c r="F222" t="s">
        <v>19</v>
      </c>
      <c r="G222" t="s">
        <v>20</v>
      </c>
      <c r="H222" t="s">
        <v>21</v>
      </c>
      <c r="I222" t="s">
        <v>21</v>
      </c>
      <c r="J222" t="s">
        <v>27</v>
      </c>
      <c r="K222">
        <v>8</v>
      </c>
      <c r="L222">
        <v>50.533333333333303</v>
      </c>
      <c r="M222" t="s">
        <v>30</v>
      </c>
      <c r="N222" t="str">
        <f>_xlfn.XLOOKUP(A222,[1]!brca_metabric_clinical_data__2[Patient ID], [1]!brca_metabric_clinical_data__2[Tumor Size])</f>
        <v>25</v>
      </c>
      <c r="O222" t="str">
        <f>_xlfn.XLOOKUP(A222,[1]!brca_metabric_clinical_data__2[Sample ID],[1]!brca_metabric_clinical_data__2[Tumor Stage])</f>
        <v>2</v>
      </c>
    </row>
    <row r="223" spans="1:15" x14ac:dyDescent="0.45">
      <c r="A223" t="s">
        <v>256</v>
      </c>
      <c r="B223">
        <v>47.64</v>
      </c>
      <c r="C223" t="s">
        <v>16</v>
      </c>
      <c r="D223" t="s">
        <v>26</v>
      </c>
      <c r="E223" t="s">
        <v>18</v>
      </c>
      <c r="F223" t="s">
        <v>43</v>
      </c>
      <c r="G223" t="s">
        <v>21</v>
      </c>
      <c r="H223" t="s">
        <v>21</v>
      </c>
      <c r="I223" t="s">
        <v>21</v>
      </c>
      <c r="J223" t="s">
        <v>27</v>
      </c>
      <c r="K223">
        <v>6</v>
      </c>
      <c r="L223">
        <v>144.96666666666701</v>
      </c>
      <c r="M223" t="s">
        <v>30</v>
      </c>
      <c r="N223" t="str">
        <f>_xlfn.XLOOKUP(A223,[1]!brca_metabric_clinical_data__2[Patient ID], [1]!brca_metabric_clinical_data__2[Tumor Size])</f>
        <v>32</v>
      </c>
      <c r="O223" t="str">
        <f>_xlfn.XLOOKUP(A223,[1]!brca_metabric_clinical_data__2[Sample ID],[1]!brca_metabric_clinical_data__2[Tumor Stage])</f>
        <v>2</v>
      </c>
    </row>
    <row r="224" spans="1:15" x14ac:dyDescent="0.45">
      <c r="A224" t="s">
        <v>257</v>
      </c>
      <c r="B224">
        <v>79.34</v>
      </c>
      <c r="C224" t="s">
        <v>16</v>
      </c>
      <c r="D224" t="s">
        <v>17</v>
      </c>
      <c r="E224" t="s">
        <v>18</v>
      </c>
      <c r="F224" t="s">
        <v>19</v>
      </c>
      <c r="G224" t="s">
        <v>20</v>
      </c>
      <c r="H224" t="s">
        <v>21</v>
      </c>
      <c r="I224" t="s">
        <v>21</v>
      </c>
      <c r="J224" t="s">
        <v>29</v>
      </c>
      <c r="K224">
        <v>10</v>
      </c>
      <c r="L224">
        <v>177.53333333333299</v>
      </c>
      <c r="M224" t="s">
        <v>24</v>
      </c>
      <c r="N224" t="str">
        <f>_xlfn.XLOOKUP(A224,[1]!brca_metabric_clinical_data__2[Patient ID], [1]!brca_metabric_clinical_data__2[Tumor Size])</f>
        <v>45</v>
      </c>
      <c r="O224" t="str">
        <f>_xlfn.XLOOKUP(A224,[1]!brca_metabric_clinical_data__2[Sample ID],[1]!brca_metabric_clinical_data__2[Tumor Stage])</f>
        <v>2</v>
      </c>
    </row>
    <row r="225" spans="1:15" x14ac:dyDescent="0.45">
      <c r="A225" t="s">
        <v>258</v>
      </c>
      <c r="B225">
        <v>51.45</v>
      </c>
      <c r="C225" t="s">
        <v>16</v>
      </c>
      <c r="E225" t="s">
        <v>18</v>
      </c>
      <c r="N225" t="str">
        <f>_xlfn.XLOOKUP(A225,[1]!brca_metabric_clinical_data__2[Patient ID], [1]!brca_metabric_clinical_data__2[Tumor Size])</f>
        <v>12</v>
      </c>
      <c r="O225" t="str">
        <f>_xlfn.XLOOKUP(A225,[1]!brca_metabric_clinical_data__2[Sample ID],[1]!brca_metabric_clinical_data__2[Tumor Stage])</f>
        <v>2</v>
      </c>
    </row>
    <row r="226" spans="1:15" x14ac:dyDescent="0.45">
      <c r="A226" t="s">
        <v>259</v>
      </c>
      <c r="B226">
        <v>66.73</v>
      </c>
      <c r="C226" t="s">
        <v>16</v>
      </c>
      <c r="D226" t="s">
        <v>17</v>
      </c>
      <c r="E226" t="s">
        <v>18</v>
      </c>
      <c r="F226" t="s">
        <v>19</v>
      </c>
      <c r="G226" t="s">
        <v>20</v>
      </c>
      <c r="H226" t="s">
        <v>21</v>
      </c>
      <c r="I226" t="s">
        <v>21</v>
      </c>
      <c r="J226" t="s">
        <v>27</v>
      </c>
      <c r="K226">
        <v>3</v>
      </c>
      <c r="L226">
        <v>187.933333333333</v>
      </c>
      <c r="M226" t="s">
        <v>24</v>
      </c>
      <c r="N226" t="str">
        <f>_xlfn.XLOOKUP(A226,[1]!brca_metabric_clinical_data__2[Patient ID], [1]!brca_metabric_clinical_data__2[Tumor Size])</f>
        <v>25</v>
      </c>
      <c r="O226" t="str">
        <f>_xlfn.XLOOKUP(A226,[1]!brca_metabric_clinical_data__2[Sample ID],[1]!brca_metabric_clinical_data__2[Tumor Stage])</f>
        <v>2</v>
      </c>
    </row>
    <row r="227" spans="1:15" x14ac:dyDescent="0.45">
      <c r="A227" t="s">
        <v>260</v>
      </c>
      <c r="B227">
        <v>69.62</v>
      </c>
      <c r="C227" t="s">
        <v>16</v>
      </c>
      <c r="D227" t="s">
        <v>17</v>
      </c>
      <c r="E227" t="s">
        <v>18</v>
      </c>
      <c r="F227" t="s">
        <v>19</v>
      </c>
      <c r="G227" t="s">
        <v>20</v>
      </c>
      <c r="H227" t="s">
        <v>21</v>
      </c>
      <c r="I227" t="s">
        <v>21</v>
      </c>
      <c r="J227" t="s">
        <v>29</v>
      </c>
      <c r="K227">
        <v>9</v>
      </c>
      <c r="L227">
        <v>125.6</v>
      </c>
      <c r="M227" t="s">
        <v>30</v>
      </c>
      <c r="N227" t="str">
        <f>_xlfn.XLOOKUP(A227,[1]!brca_metabric_clinical_data__2[Patient ID], [1]!brca_metabric_clinical_data__2[Tumor Size])</f>
        <v>34</v>
      </c>
      <c r="O227" t="str">
        <f>_xlfn.XLOOKUP(A227,[1]!brca_metabric_clinical_data__2[Sample ID],[1]!brca_metabric_clinical_data__2[Tumor Stage])</f>
        <v>2</v>
      </c>
    </row>
    <row r="228" spans="1:15" x14ac:dyDescent="0.45">
      <c r="A228" t="s">
        <v>261</v>
      </c>
      <c r="B228">
        <v>76.84</v>
      </c>
      <c r="C228" t="s">
        <v>16</v>
      </c>
      <c r="E228" t="s">
        <v>18</v>
      </c>
      <c r="N228" t="str">
        <f>_xlfn.XLOOKUP(A228,[1]!brca_metabric_clinical_data__2[Patient ID], [1]!brca_metabric_clinical_data__2[Tumor Size])</f>
        <v>30</v>
      </c>
      <c r="O228" t="str">
        <f>_xlfn.XLOOKUP(A228,[1]!brca_metabric_clinical_data__2[Sample ID],[1]!brca_metabric_clinical_data__2[Tumor Stage])</f>
        <v>2</v>
      </c>
    </row>
    <row r="229" spans="1:15" x14ac:dyDescent="0.45">
      <c r="A229" t="s">
        <v>262</v>
      </c>
      <c r="B229">
        <v>62.81</v>
      </c>
      <c r="C229" t="s">
        <v>16</v>
      </c>
      <c r="D229" t="s">
        <v>17</v>
      </c>
      <c r="F229" t="s">
        <v>43</v>
      </c>
      <c r="G229" t="s">
        <v>21</v>
      </c>
      <c r="H229" t="s">
        <v>20</v>
      </c>
      <c r="I229" t="s">
        <v>20</v>
      </c>
      <c r="J229" t="s">
        <v>22</v>
      </c>
      <c r="K229">
        <v>10</v>
      </c>
      <c r="L229">
        <v>26.566666666666698</v>
      </c>
      <c r="M229" t="s">
        <v>30</v>
      </c>
      <c r="N229" t="str">
        <f>_xlfn.XLOOKUP(A229,[1]!brca_metabric_clinical_data__2[Patient ID], [1]!brca_metabric_clinical_data__2[Tumor Size])</f>
        <v>NA</v>
      </c>
      <c r="O229" t="str">
        <f>_xlfn.XLOOKUP(A229,[1]!brca_metabric_clinical_data__2[Sample ID],[1]!brca_metabric_clinical_data__2[Tumor Stage])</f>
        <v>NA</v>
      </c>
    </row>
    <row r="230" spans="1:15" x14ac:dyDescent="0.45">
      <c r="A230" t="s">
        <v>263</v>
      </c>
      <c r="B230">
        <v>74.760000000000005</v>
      </c>
      <c r="C230" t="s">
        <v>16</v>
      </c>
      <c r="D230" t="s">
        <v>17</v>
      </c>
      <c r="E230" t="s">
        <v>18</v>
      </c>
      <c r="F230" t="s">
        <v>19</v>
      </c>
      <c r="G230" t="s">
        <v>20</v>
      </c>
      <c r="H230" t="s">
        <v>21</v>
      </c>
      <c r="I230" t="s">
        <v>21</v>
      </c>
      <c r="J230" t="s">
        <v>29</v>
      </c>
      <c r="K230">
        <v>10</v>
      </c>
      <c r="L230">
        <v>170.63333333333301</v>
      </c>
      <c r="M230" t="s">
        <v>30</v>
      </c>
      <c r="N230" t="str">
        <f>_xlfn.XLOOKUP(A230,[1]!brca_metabric_clinical_data__2[Patient ID], [1]!brca_metabric_clinical_data__2[Tumor Size])</f>
        <v>22</v>
      </c>
      <c r="O230" t="str">
        <f>_xlfn.XLOOKUP(A230,[1]!brca_metabric_clinical_data__2[Sample ID],[1]!brca_metabric_clinical_data__2[Tumor Stage])</f>
        <v>2</v>
      </c>
    </row>
    <row r="231" spans="1:15" x14ac:dyDescent="0.45">
      <c r="A231" t="s">
        <v>264</v>
      </c>
      <c r="B231">
        <v>90.43</v>
      </c>
      <c r="C231" t="s">
        <v>16</v>
      </c>
      <c r="D231" t="s">
        <v>17</v>
      </c>
      <c r="F231" t="s">
        <v>19</v>
      </c>
      <c r="G231" t="s">
        <v>20</v>
      </c>
      <c r="H231" t="s">
        <v>20</v>
      </c>
      <c r="I231" t="s">
        <v>20</v>
      </c>
      <c r="J231" t="s">
        <v>29</v>
      </c>
      <c r="K231" t="s">
        <v>23</v>
      </c>
      <c r="L231">
        <v>26.733333333333299</v>
      </c>
      <c r="M231" t="s">
        <v>30</v>
      </c>
      <c r="N231" t="str">
        <f>_xlfn.XLOOKUP(A231,[1]!brca_metabric_clinical_data__2[Patient ID], [1]!brca_metabric_clinical_data__2[Tumor Size])</f>
        <v>24</v>
      </c>
      <c r="O231" t="str">
        <f>_xlfn.XLOOKUP(A231,[1]!brca_metabric_clinical_data__2[Sample ID],[1]!brca_metabric_clinical_data__2[Tumor Stage])</f>
        <v>2</v>
      </c>
    </row>
    <row r="232" spans="1:15" x14ac:dyDescent="0.45">
      <c r="A232" t="s">
        <v>265</v>
      </c>
      <c r="B232">
        <v>79.97</v>
      </c>
      <c r="C232" t="s">
        <v>16</v>
      </c>
      <c r="D232" t="s">
        <v>17</v>
      </c>
      <c r="E232" t="s">
        <v>18</v>
      </c>
      <c r="F232" t="s">
        <v>19</v>
      </c>
      <c r="G232" t="s">
        <v>20</v>
      </c>
      <c r="H232" t="s">
        <v>21</v>
      </c>
      <c r="I232" t="s">
        <v>21</v>
      </c>
      <c r="J232" t="s">
        <v>58</v>
      </c>
      <c r="K232">
        <v>10</v>
      </c>
      <c r="L232">
        <v>164.73333333333301</v>
      </c>
      <c r="M232" t="s">
        <v>24</v>
      </c>
      <c r="N232" t="str">
        <f>_xlfn.XLOOKUP(A232,[1]!brca_metabric_clinical_data__2[Patient ID], [1]!brca_metabric_clinical_data__2[Tumor Size])</f>
        <v>16</v>
      </c>
      <c r="O232" t="str">
        <f>_xlfn.XLOOKUP(A232,[1]!brca_metabric_clinical_data__2[Sample ID],[1]!brca_metabric_clinical_data__2[Tumor Stage])</f>
        <v>2</v>
      </c>
    </row>
    <row r="233" spans="1:15" x14ac:dyDescent="0.45">
      <c r="A233" t="s">
        <v>266</v>
      </c>
      <c r="B233">
        <v>67.010000000000005</v>
      </c>
      <c r="C233" t="s">
        <v>16</v>
      </c>
      <c r="D233" t="s">
        <v>17</v>
      </c>
      <c r="E233" t="s">
        <v>18</v>
      </c>
      <c r="F233" t="s">
        <v>19</v>
      </c>
      <c r="G233" t="s">
        <v>20</v>
      </c>
      <c r="H233" t="s">
        <v>21</v>
      </c>
      <c r="I233" t="s">
        <v>21</v>
      </c>
      <c r="J233" t="s">
        <v>27</v>
      </c>
      <c r="K233">
        <v>8</v>
      </c>
      <c r="L233">
        <v>173.9</v>
      </c>
      <c r="M233" t="s">
        <v>30</v>
      </c>
      <c r="N233" t="str">
        <f>_xlfn.XLOOKUP(A233,[1]!brca_metabric_clinical_data__2[Patient ID], [1]!brca_metabric_clinical_data__2[Tumor Size])</f>
        <v>26</v>
      </c>
      <c r="O233" t="str">
        <f>_xlfn.XLOOKUP(A233,[1]!brca_metabric_clinical_data__2[Sample ID],[1]!brca_metabric_clinical_data__2[Tumor Stage])</f>
        <v>2</v>
      </c>
    </row>
    <row r="234" spans="1:15" x14ac:dyDescent="0.45">
      <c r="A234" t="s">
        <v>267</v>
      </c>
      <c r="B234">
        <v>54.96</v>
      </c>
      <c r="C234" t="s">
        <v>16</v>
      </c>
      <c r="D234" t="s">
        <v>17</v>
      </c>
      <c r="E234" t="s">
        <v>18</v>
      </c>
      <c r="F234" t="s">
        <v>19</v>
      </c>
      <c r="G234" t="s">
        <v>20</v>
      </c>
      <c r="H234" t="s">
        <v>20</v>
      </c>
      <c r="I234" t="s">
        <v>20</v>
      </c>
      <c r="J234" t="s">
        <v>38</v>
      </c>
      <c r="K234">
        <v>3</v>
      </c>
      <c r="L234">
        <v>125.333333333333</v>
      </c>
      <c r="M234" t="s">
        <v>30</v>
      </c>
      <c r="N234" t="str">
        <f>_xlfn.XLOOKUP(A234,[1]!brca_metabric_clinical_data__2[Patient ID], [1]!brca_metabric_clinical_data__2[Tumor Size])</f>
        <v>29</v>
      </c>
      <c r="O234" t="str">
        <f>_xlfn.XLOOKUP(A234,[1]!brca_metabric_clinical_data__2[Sample ID],[1]!brca_metabric_clinical_data__2[Tumor Stage])</f>
        <v>NA</v>
      </c>
    </row>
    <row r="235" spans="1:15" x14ac:dyDescent="0.45">
      <c r="A235" t="s">
        <v>268</v>
      </c>
      <c r="B235">
        <v>70.510000000000005</v>
      </c>
      <c r="C235" t="s">
        <v>16</v>
      </c>
      <c r="D235" t="s">
        <v>17</v>
      </c>
      <c r="E235" t="s">
        <v>18</v>
      </c>
      <c r="F235" t="s">
        <v>19</v>
      </c>
      <c r="G235" t="s">
        <v>20</v>
      </c>
      <c r="H235" t="s">
        <v>21</v>
      </c>
      <c r="I235" t="s">
        <v>20</v>
      </c>
      <c r="J235" t="s">
        <v>38</v>
      </c>
      <c r="K235">
        <v>6</v>
      </c>
      <c r="L235">
        <v>91.133333333333297</v>
      </c>
      <c r="M235" t="s">
        <v>30</v>
      </c>
      <c r="N235" t="str">
        <f>_xlfn.XLOOKUP(A235,[1]!brca_metabric_clinical_data__2[Patient ID], [1]!brca_metabric_clinical_data__2[Tumor Size])</f>
        <v>30</v>
      </c>
      <c r="O235" t="str">
        <f>_xlfn.XLOOKUP(A235,[1]!brca_metabric_clinical_data__2[Sample ID],[1]!brca_metabric_clinical_data__2[Tumor Stage])</f>
        <v>2</v>
      </c>
    </row>
    <row r="236" spans="1:15" x14ac:dyDescent="0.45">
      <c r="A236" t="s">
        <v>269</v>
      </c>
      <c r="B236">
        <v>59.75</v>
      </c>
      <c r="C236" t="s">
        <v>16</v>
      </c>
      <c r="D236" t="s">
        <v>17</v>
      </c>
      <c r="E236" t="s">
        <v>18</v>
      </c>
      <c r="F236" t="s">
        <v>19</v>
      </c>
      <c r="G236" t="s">
        <v>20</v>
      </c>
      <c r="H236" t="s">
        <v>21</v>
      </c>
      <c r="I236" t="s">
        <v>21</v>
      </c>
      <c r="J236" t="s">
        <v>38</v>
      </c>
      <c r="K236">
        <v>3</v>
      </c>
      <c r="L236">
        <v>152.933333333333</v>
      </c>
      <c r="M236" t="s">
        <v>24</v>
      </c>
      <c r="N236" t="str">
        <f>_xlfn.XLOOKUP(A236,[1]!brca_metabric_clinical_data__2[Patient ID], [1]!brca_metabric_clinical_data__2[Tumor Size])</f>
        <v>29</v>
      </c>
      <c r="O236" t="str">
        <f>_xlfn.XLOOKUP(A236,[1]!brca_metabric_clinical_data__2[Sample ID],[1]!brca_metabric_clinical_data__2[Tumor Stage])</f>
        <v>2</v>
      </c>
    </row>
    <row r="237" spans="1:15" x14ac:dyDescent="0.45">
      <c r="A237" t="s">
        <v>270</v>
      </c>
      <c r="B237">
        <v>37.299999999999997</v>
      </c>
      <c r="C237" t="s">
        <v>16</v>
      </c>
      <c r="D237" t="s">
        <v>26</v>
      </c>
      <c r="E237" t="s">
        <v>18</v>
      </c>
      <c r="F237" t="s">
        <v>19</v>
      </c>
      <c r="G237" t="s">
        <v>21</v>
      </c>
      <c r="H237" t="s">
        <v>21</v>
      </c>
      <c r="I237" t="s">
        <v>20</v>
      </c>
      <c r="J237" t="s">
        <v>27</v>
      </c>
      <c r="K237">
        <v>3</v>
      </c>
      <c r="L237">
        <v>72.6666666666667</v>
      </c>
      <c r="M237" t="s">
        <v>24</v>
      </c>
      <c r="N237" t="str">
        <f>_xlfn.XLOOKUP(A237,[1]!brca_metabric_clinical_data__2[Patient ID], [1]!brca_metabric_clinical_data__2[Tumor Size])</f>
        <v>28</v>
      </c>
      <c r="O237" t="str">
        <f>_xlfn.XLOOKUP(A237,[1]!brca_metabric_clinical_data__2[Sample ID],[1]!brca_metabric_clinical_data__2[Tumor Stage])</f>
        <v>2</v>
      </c>
    </row>
    <row r="238" spans="1:15" x14ac:dyDescent="0.45">
      <c r="A238" t="s">
        <v>271</v>
      </c>
      <c r="B238">
        <v>32.61</v>
      </c>
      <c r="C238" t="s">
        <v>16</v>
      </c>
      <c r="D238" t="s">
        <v>26</v>
      </c>
      <c r="E238" t="s">
        <v>37</v>
      </c>
      <c r="F238" t="s">
        <v>43</v>
      </c>
      <c r="G238" t="s">
        <v>20</v>
      </c>
      <c r="H238" t="s">
        <v>20</v>
      </c>
      <c r="I238" t="s">
        <v>20</v>
      </c>
      <c r="J238" t="s">
        <v>45</v>
      </c>
      <c r="K238">
        <v>5</v>
      </c>
      <c r="L238">
        <v>20.433333333333302</v>
      </c>
      <c r="M238" t="s">
        <v>30</v>
      </c>
      <c r="N238" t="str">
        <f>_xlfn.XLOOKUP(A238,[1]!brca_metabric_clinical_data__2[Patient ID], [1]!brca_metabric_clinical_data__2[Tumor Size])</f>
        <v>16</v>
      </c>
      <c r="O238" t="str">
        <f>_xlfn.XLOOKUP(A238,[1]!brca_metabric_clinical_data__2[Sample ID],[1]!brca_metabric_clinical_data__2[Tumor Stage])</f>
        <v>2</v>
      </c>
    </row>
    <row r="239" spans="1:15" x14ac:dyDescent="0.45">
      <c r="A239" t="s">
        <v>272</v>
      </c>
      <c r="B239">
        <v>52.24</v>
      </c>
      <c r="C239" t="s">
        <v>16</v>
      </c>
      <c r="D239" t="s">
        <v>17</v>
      </c>
      <c r="E239" t="s">
        <v>18</v>
      </c>
      <c r="F239" t="s">
        <v>19</v>
      </c>
      <c r="G239" t="s">
        <v>21</v>
      </c>
      <c r="H239" t="s">
        <v>21</v>
      </c>
      <c r="I239" t="s">
        <v>21</v>
      </c>
      <c r="J239" t="s">
        <v>22</v>
      </c>
      <c r="K239" t="s">
        <v>23</v>
      </c>
      <c r="L239">
        <v>205.566666666667</v>
      </c>
      <c r="M239" t="s">
        <v>30</v>
      </c>
      <c r="N239" t="str">
        <f>_xlfn.XLOOKUP(A239,[1]!brca_metabric_clinical_data__2[Patient ID], [1]!brca_metabric_clinical_data__2[Tumor Size])</f>
        <v>40</v>
      </c>
      <c r="O239" t="str">
        <f>_xlfn.XLOOKUP(A239,[1]!brca_metabric_clinical_data__2[Sample ID],[1]!brca_metabric_clinical_data__2[Tumor Stage])</f>
        <v>1</v>
      </c>
    </row>
    <row r="240" spans="1:15" x14ac:dyDescent="0.45">
      <c r="A240" t="s">
        <v>273</v>
      </c>
      <c r="B240">
        <v>81.88</v>
      </c>
      <c r="C240" t="s">
        <v>16</v>
      </c>
      <c r="D240" t="s">
        <v>17</v>
      </c>
      <c r="E240" t="s">
        <v>18</v>
      </c>
      <c r="F240" t="s">
        <v>19</v>
      </c>
      <c r="G240" t="s">
        <v>20</v>
      </c>
      <c r="H240" t="s">
        <v>21</v>
      </c>
      <c r="I240" t="s">
        <v>21</v>
      </c>
      <c r="J240" t="s">
        <v>27</v>
      </c>
      <c r="K240">
        <v>8</v>
      </c>
      <c r="L240">
        <v>122.7</v>
      </c>
      <c r="M240" t="s">
        <v>30</v>
      </c>
      <c r="N240" t="str">
        <f>_xlfn.XLOOKUP(A240,[1]!brca_metabric_clinical_data__2[Patient ID], [1]!brca_metabric_clinical_data__2[Tumor Size])</f>
        <v>22</v>
      </c>
      <c r="O240" t="str">
        <f>_xlfn.XLOOKUP(A240,[1]!brca_metabric_clinical_data__2[Sample ID],[1]!brca_metabric_clinical_data__2[Tumor Stage])</f>
        <v>2</v>
      </c>
    </row>
    <row r="241" spans="1:15" x14ac:dyDescent="0.45">
      <c r="A241" t="s">
        <v>274</v>
      </c>
      <c r="B241">
        <v>72.260000000000005</v>
      </c>
      <c r="C241" t="s">
        <v>16</v>
      </c>
      <c r="D241" t="s">
        <v>17</v>
      </c>
      <c r="E241" t="s">
        <v>18</v>
      </c>
      <c r="F241" t="s">
        <v>35</v>
      </c>
      <c r="G241" t="s">
        <v>20</v>
      </c>
      <c r="H241" t="s">
        <v>21</v>
      </c>
      <c r="I241" t="s">
        <v>20</v>
      </c>
      <c r="J241" t="s">
        <v>29</v>
      </c>
      <c r="K241">
        <v>3</v>
      </c>
      <c r="L241">
        <v>146.03333333333299</v>
      </c>
      <c r="M241" t="s">
        <v>30</v>
      </c>
      <c r="N241" t="str">
        <f>_xlfn.XLOOKUP(A241,[1]!brca_metabric_clinical_data__2[Patient ID], [1]!brca_metabric_clinical_data__2[Tumor Size])</f>
        <v>30</v>
      </c>
      <c r="O241" t="str">
        <f>_xlfn.XLOOKUP(A241,[1]!brca_metabric_clinical_data__2[Sample ID],[1]!brca_metabric_clinical_data__2[Tumor Stage])</f>
        <v>2</v>
      </c>
    </row>
    <row r="242" spans="1:15" x14ac:dyDescent="0.45">
      <c r="A242" t="s">
        <v>275</v>
      </c>
      <c r="B242">
        <v>49.05</v>
      </c>
      <c r="C242" t="s">
        <v>16</v>
      </c>
      <c r="D242" t="s">
        <v>26</v>
      </c>
      <c r="E242" t="s">
        <v>37</v>
      </c>
      <c r="F242" t="s">
        <v>19</v>
      </c>
      <c r="G242" t="s">
        <v>20</v>
      </c>
      <c r="H242" t="s">
        <v>20</v>
      </c>
      <c r="I242" t="s">
        <v>20</v>
      </c>
      <c r="J242" t="s">
        <v>58</v>
      </c>
      <c r="K242">
        <v>10</v>
      </c>
      <c r="L242">
        <v>46.066666666666698</v>
      </c>
      <c r="M242" t="s">
        <v>30</v>
      </c>
      <c r="N242" t="str">
        <f>_xlfn.XLOOKUP(A242,[1]!brca_metabric_clinical_data__2[Patient ID], [1]!brca_metabric_clinical_data__2[Tumor Size])</f>
        <v>80</v>
      </c>
      <c r="O242" t="str">
        <f>_xlfn.XLOOKUP(A242,[1]!brca_metabric_clinical_data__2[Sample ID],[1]!brca_metabric_clinical_data__2[Tumor Stage])</f>
        <v>2</v>
      </c>
    </row>
    <row r="243" spans="1:15" x14ac:dyDescent="0.45">
      <c r="A243" t="s">
        <v>276</v>
      </c>
      <c r="B243">
        <v>69.53</v>
      </c>
      <c r="C243" t="s">
        <v>16</v>
      </c>
      <c r="D243" t="s">
        <v>17</v>
      </c>
      <c r="E243" t="s">
        <v>18</v>
      </c>
      <c r="F243" t="s">
        <v>19</v>
      </c>
      <c r="G243" t="s">
        <v>20</v>
      </c>
      <c r="H243" t="s">
        <v>20</v>
      </c>
      <c r="I243" t="s">
        <v>20</v>
      </c>
      <c r="J243" t="s">
        <v>29</v>
      </c>
      <c r="K243">
        <v>3</v>
      </c>
      <c r="L243">
        <v>195.333333333333</v>
      </c>
      <c r="M243" t="s">
        <v>30</v>
      </c>
      <c r="N243" t="str">
        <f>_xlfn.XLOOKUP(A243,[1]!brca_metabric_clinical_data__2[Patient ID], [1]!brca_metabric_clinical_data__2[Tumor Size])</f>
        <v>NA</v>
      </c>
      <c r="O243" t="str">
        <f>_xlfn.XLOOKUP(A243,[1]!brca_metabric_clinical_data__2[Sample ID],[1]!brca_metabric_clinical_data__2[Tumor Stage])</f>
        <v>1</v>
      </c>
    </row>
    <row r="244" spans="1:15" x14ac:dyDescent="0.45">
      <c r="A244" t="s">
        <v>277</v>
      </c>
      <c r="B244">
        <v>61.32</v>
      </c>
      <c r="C244" t="s">
        <v>16</v>
      </c>
      <c r="D244" t="s">
        <v>17</v>
      </c>
      <c r="E244" t="s">
        <v>18</v>
      </c>
      <c r="F244" t="s">
        <v>19</v>
      </c>
      <c r="G244" t="s">
        <v>21</v>
      </c>
      <c r="H244" t="s">
        <v>21</v>
      </c>
      <c r="I244" t="s">
        <v>21</v>
      </c>
      <c r="J244" t="s">
        <v>22</v>
      </c>
      <c r="K244" t="s">
        <v>23</v>
      </c>
      <c r="L244">
        <v>55.2</v>
      </c>
      <c r="M244" t="s">
        <v>30</v>
      </c>
      <c r="N244" t="str">
        <f>_xlfn.XLOOKUP(A244,[1]!brca_metabric_clinical_data__2[Patient ID], [1]!brca_metabric_clinical_data__2[Tumor Size])</f>
        <v>13</v>
      </c>
      <c r="O244" t="str">
        <f>_xlfn.XLOOKUP(A244,[1]!brca_metabric_clinical_data__2[Sample ID],[1]!brca_metabric_clinical_data__2[Tumor Stage])</f>
        <v>1</v>
      </c>
    </row>
    <row r="245" spans="1:15" x14ac:dyDescent="0.45">
      <c r="A245" t="s">
        <v>278</v>
      </c>
      <c r="B245">
        <v>86.26</v>
      </c>
      <c r="C245" t="s">
        <v>16</v>
      </c>
      <c r="D245" t="s">
        <v>17</v>
      </c>
      <c r="E245" t="s">
        <v>18</v>
      </c>
      <c r="F245" t="s">
        <v>19</v>
      </c>
      <c r="G245" t="s">
        <v>20</v>
      </c>
      <c r="H245" t="s">
        <v>21</v>
      </c>
      <c r="I245" t="s">
        <v>21</v>
      </c>
      <c r="J245" t="s">
        <v>27</v>
      </c>
      <c r="K245">
        <v>7</v>
      </c>
      <c r="L245">
        <v>41.8333333333333</v>
      </c>
      <c r="M245" t="s">
        <v>30</v>
      </c>
      <c r="N245" t="str">
        <f>_xlfn.XLOOKUP(A245,[1]!brca_metabric_clinical_data__2[Patient ID], [1]!brca_metabric_clinical_data__2[Tumor Size])</f>
        <v>40</v>
      </c>
      <c r="O245" t="str">
        <f>_xlfn.XLOOKUP(A245,[1]!brca_metabric_clinical_data__2[Sample ID],[1]!brca_metabric_clinical_data__2[Tumor Stage])</f>
        <v>2</v>
      </c>
    </row>
    <row r="246" spans="1:15" x14ac:dyDescent="0.45">
      <c r="A246" t="s">
        <v>279</v>
      </c>
      <c r="B246">
        <v>73.010000000000005</v>
      </c>
      <c r="C246" t="s">
        <v>16</v>
      </c>
      <c r="D246" t="s">
        <v>17</v>
      </c>
      <c r="E246" t="s">
        <v>37</v>
      </c>
      <c r="F246" t="s">
        <v>19</v>
      </c>
      <c r="G246" t="s">
        <v>20</v>
      </c>
      <c r="H246" t="s">
        <v>20</v>
      </c>
      <c r="I246" t="s">
        <v>20</v>
      </c>
      <c r="J246" t="s">
        <v>22</v>
      </c>
      <c r="K246" t="s">
        <v>39</v>
      </c>
      <c r="L246">
        <v>11.6</v>
      </c>
      <c r="M246" t="s">
        <v>30</v>
      </c>
      <c r="N246" t="str">
        <f>_xlfn.XLOOKUP(A246,[1]!brca_metabric_clinical_data__2[Patient ID], [1]!brca_metabric_clinical_data__2[Tumor Size])</f>
        <v>17</v>
      </c>
      <c r="O246" t="str">
        <f>_xlfn.XLOOKUP(A246,[1]!brca_metabric_clinical_data__2[Sample ID],[1]!brca_metabric_clinical_data__2[Tumor Stage])</f>
        <v>2</v>
      </c>
    </row>
    <row r="247" spans="1:15" x14ac:dyDescent="0.45">
      <c r="A247" t="s">
        <v>280</v>
      </c>
      <c r="B247">
        <v>58.16</v>
      </c>
      <c r="C247" t="s">
        <v>16</v>
      </c>
      <c r="D247" t="s">
        <v>17</v>
      </c>
      <c r="E247" t="s">
        <v>18</v>
      </c>
      <c r="F247" t="s">
        <v>19</v>
      </c>
      <c r="G247" t="s">
        <v>20</v>
      </c>
      <c r="H247" t="s">
        <v>20</v>
      </c>
      <c r="I247" t="s">
        <v>20</v>
      </c>
      <c r="J247" t="s">
        <v>27</v>
      </c>
      <c r="K247">
        <v>8</v>
      </c>
      <c r="L247">
        <v>213.5</v>
      </c>
      <c r="M247" t="s">
        <v>24</v>
      </c>
      <c r="N247" t="str">
        <f>_xlfn.XLOOKUP(A247,[1]!brca_metabric_clinical_data__2[Patient ID], [1]!brca_metabric_clinical_data__2[Tumor Size])</f>
        <v>16</v>
      </c>
      <c r="O247" t="str">
        <f>_xlfn.XLOOKUP(A247,[1]!brca_metabric_clinical_data__2[Sample ID],[1]!brca_metabric_clinical_data__2[Tumor Stage])</f>
        <v>2</v>
      </c>
    </row>
    <row r="248" spans="1:15" x14ac:dyDescent="0.45">
      <c r="A248" t="s">
        <v>281</v>
      </c>
      <c r="B248">
        <v>57.87</v>
      </c>
      <c r="C248" t="s">
        <v>16</v>
      </c>
      <c r="D248" t="s">
        <v>17</v>
      </c>
      <c r="E248" t="s">
        <v>18</v>
      </c>
      <c r="F248" t="s">
        <v>43</v>
      </c>
      <c r="G248" t="s">
        <v>21</v>
      </c>
      <c r="H248" t="s">
        <v>21</v>
      </c>
      <c r="I248" t="s">
        <v>21</v>
      </c>
      <c r="J248" t="s">
        <v>27</v>
      </c>
      <c r="K248">
        <v>9</v>
      </c>
      <c r="L248">
        <v>32.866666666666703</v>
      </c>
      <c r="M248" t="s">
        <v>24</v>
      </c>
      <c r="N248" t="str">
        <f>_xlfn.XLOOKUP(A248,[1]!brca_metabric_clinical_data__2[Patient ID], [1]!brca_metabric_clinical_data__2[Tumor Size])</f>
        <v>26</v>
      </c>
      <c r="O248" t="str">
        <f>_xlfn.XLOOKUP(A248,[1]!brca_metabric_clinical_data__2[Sample ID],[1]!brca_metabric_clinical_data__2[Tumor Stage])</f>
        <v>2</v>
      </c>
    </row>
    <row r="249" spans="1:15" x14ac:dyDescent="0.45">
      <c r="A249" t="s">
        <v>282</v>
      </c>
      <c r="B249">
        <v>44.21</v>
      </c>
      <c r="C249" t="s">
        <v>16</v>
      </c>
      <c r="D249" t="s">
        <v>26</v>
      </c>
      <c r="E249" t="s">
        <v>18</v>
      </c>
      <c r="F249" t="s">
        <v>19</v>
      </c>
      <c r="G249" t="s">
        <v>20</v>
      </c>
      <c r="H249" t="s">
        <v>20</v>
      </c>
      <c r="I249" t="s">
        <v>21</v>
      </c>
      <c r="J249" t="s">
        <v>27</v>
      </c>
      <c r="K249">
        <v>3</v>
      </c>
      <c r="L249">
        <v>21.6</v>
      </c>
      <c r="M249" t="s">
        <v>24</v>
      </c>
      <c r="N249" t="str">
        <f>_xlfn.XLOOKUP(A249,[1]!brca_metabric_clinical_data__2[Patient ID], [1]!brca_metabric_clinical_data__2[Tumor Size])</f>
        <v>22</v>
      </c>
      <c r="O249" t="str">
        <f>_xlfn.XLOOKUP(A249,[1]!brca_metabric_clinical_data__2[Sample ID],[1]!brca_metabric_clinical_data__2[Tumor Stage])</f>
        <v>2</v>
      </c>
    </row>
    <row r="250" spans="1:15" x14ac:dyDescent="0.45">
      <c r="A250" t="s">
        <v>283</v>
      </c>
      <c r="B250">
        <v>83.58</v>
      </c>
      <c r="C250" t="s">
        <v>16</v>
      </c>
      <c r="D250" t="s">
        <v>17</v>
      </c>
      <c r="E250" t="s">
        <v>18</v>
      </c>
      <c r="F250" t="s">
        <v>19</v>
      </c>
      <c r="G250" t="s">
        <v>20</v>
      </c>
      <c r="H250" t="s">
        <v>21</v>
      </c>
      <c r="I250" t="s">
        <v>21</v>
      </c>
      <c r="J250" t="s">
        <v>29</v>
      </c>
      <c r="K250">
        <v>7</v>
      </c>
      <c r="L250">
        <v>132.566666666667</v>
      </c>
      <c r="M250" t="s">
        <v>30</v>
      </c>
      <c r="N250" t="str">
        <f>_xlfn.XLOOKUP(A250,[1]!brca_metabric_clinical_data__2[Patient ID], [1]!brca_metabric_clinical_data__2[Tumor Size])</f>
        <v>50</v>
      </c>
      <c r="O250" t="str">
        <f>_xlfn.XLOOKUP(A250,[1]!brca_metabric_clinical_data__2[Sample ID],[1]!brca_metabric_clinical_data__2[Tumor Stage])</f>
        <v>2</v>
      </c>
    </row>
    <row r="251" spans="1:15" x14ac:dyDescent="0.45">
      <c r="A251" t="s">
        <v>284</v>
      </c>
      <c r="B251">
        <v>40.5</v>
      </c>
      <c r="C251" t="s">
        <v>16</v>
      </c>
      <c r="D251" t="s">
        <v>26</v>
      </c>
      <c r="E251" t="s">
        <v>37</v>
      </c>
      <c r="F251" t="s">
        <v>43</v>
      </c>
      <c r="G251" t="s">
        <v>20</v>
      </c>
      <c r="H251" t="s">
        <v>20</v>
      </c>
      <c r="I251" t="s">
        <v>20</v>
      </c>
      <c r="J251" t="s">
        <v>45</v>
      </c>
      <c r="K251">
        <v>5</v>
      </c>
      <c r="L251">
        <v>15.0666666666667</v>
      </c>
      <c r="M251" t="s">
        <v>30</v>
      </c>
      <c r="N251" t="str">
        <f>_xlfn.XLOOKUP(A251,[1]!brca_metabric_clinical_data__2[Patient ID], [1]!brca_metabric_clinical_data__2[Tumor Size])</f>
        <v>24</v>
      </c>
      <c r="O251" t="str">
        <f>_xlfn.XLOOKUP(A251,[1]!brca_metabric_clinical_data__2[Sample ID],[1]!brca_metabric_clinical_data__2[Tumor Stage])</f>
        <v>2</v>
      </c>
    </row>
    <row r="252" spans="1:15" x14ac:dyDescent="0.45">
      <c r="A252" t="s">
        <v>285</v>
      </c>
      <c r="B252">
        <v>52.79</v>
      </c>
      <c r="C252" t="s">
        <v>16</v>
      </c>
      <c r="D252" t="s">
        <v>17</v>
      </c>
      <c r="E252" t="s">
        <v>18</v>
      </c>
      <c r="F252" t="s">
        <v>19</v>
      </c>
      <c r="G252" t="s">
        <v>21</v>
      </c>
      <c r="H252" t="s">
        <v>21</v>
      </c>
      <c r="I252" t="s">
        <v>21</v>
      </c>
      <c r="J252" t="s">
        <v>27</v>
      </c>
      <c r="K252">
        <v>2</v>
      </c>
      <c r="L252">
        <v>47.033333333333303</v>
      </c>
      <c r="M252" t="s">
        <v>30</v>
      </c>
      <c r="N252" t="str">
        <f>_xlfn.XLOOKUP(A252,[1]!brca_metabric_clinical_data__2[Patient ID], [1]!brca_metabric_clinical_data__2[Tumor Size])</f>
        <v>18</v>
      </c>
      <c r="O252" t="str">
        <f>_xlfn.XLOOKUP(A252,[1]!brca_metabric_clinical_data__2[Sample ID],[1]!brca_metabric_clinical_data__2[Tumor Stage])</f>
        <v>2</v>
      </c>
    </row>
    <row r="253" spans="1:15" x14ac:dyDescent="0.45">
      <c r="A253" t="s">
        <v>286</v>
      </c>
      <c r="B253">
        <v>73.239999999999995</v>
      </c>
      <c r="C253" t="s">
        <v>16</v>
      </c>
      <c r="D253" t="s">
        <v>17</v>
      </c>
      <c r="E253" t="s">
        <v>18</v>
      </c>
      <c r="F253" t="s">
        <v>19</v>
      </c>
      <c r="G253" t="s">
        <v>20</v>
      </c>
      <c r="H253" t="s">
        <v>20</v>
      </c>
      <c r="I253" t="s">
        <v>20</v>
      </c>
      <c r="J253" t="s">
        <v>29</v>
      </c>
      <c r="K253">
        <v>2</v>
      </c>
      <c r="L253">
        <v>89.9</v>
      </c>
      <c r="M253" t="s">
        <v>30</v>
      </c>
      <c r="N253" t="str">
        <f>_xlfn.XLOOKUP(A253,[1]!brca_metabric_clinical_data__2[Patient ID], [1]!brca_metabric_clinical_data__2[Tumor Size])</f>
        <v>67</v>
      </c>
      <c r="O253" t="str">
        <f>_xlfn.XLOOKUP(A253,[1]!brca_metabric_clinical_data__2[Sample ID],[1]!brca_metabric_clinical_data__2[Tumor Stage])</f>
        <v>4</v>
      </c>
    </row>
    <row r="254" spans="1:15" x14ac:dyDescent="0.45">
      <c r="A254" t="s">
        <v>287</v>
      </c>
      <c r="B254">
        <v>48.67</v>
      </c>
      <c r="C254" t="s">
        <v>16</v>
      </c>
      <c r="D254" t="s">
        <v>26</v>
      </c>
      <c r="E254" t="s">
        <v>18</v>
      </c>
      <c r="F254" t="s">
        <v>19</v>
      </c>
      <c r="G254" t="s">
        <v>21</v>
      </c>
      <c r="H254" t="s">
        <v>21</v>
      </c>
      <c r="I254" t="s">
        <v>21</v>
      </c>
      <c r="J254" t="s">
        <v>27</v>
      </c>
      <c r="K254" t="s">
        <v>23</v>
      </c>
      <c r="L254">
        <v>176.6</v>
      </c>
      <c r="M254" t="s">
        <v>24</v>
      </c>
      <c r="N254" t="str">
        <f>_xlfn.XLOOKUP(A254,[1]!brca_metabric_clinical_data__2[Patient ID], [1]!brca_metabric_clinical_data__2[Tumor Size])</f>
        <v>50</v>
      </c>
      <c r="O254" t="str">
        <f>_xlfn.XLOOKUP(A254,[1]!brca_metabric_clinical_data__2[Sample ID],[1]!brca_metabric_clinical_data__2[Tumor Stage])</f>
        <v>3</v>
      </c>
    </row>
    <row r="255" spans="1:15" x14ac:dyDescent="0.45">
      <c r="A255" t="s">
        <v>288</v>
      </c>
      <c r="B255">
        <v>76.84</v>
      </c>
      <c r="C255" t="s">
        <v>16</v>
      </c>
      <c r="D255" t="s">
        <v>17</v>
      </c>
      <c r="E255" t="s">
        <v>18</v>
      </c>
      <c r="F255" t="s">
        <v>43</v>
      </c>
      <c r="G255" t="s">
        <v>20</v>
      </c>
      <c r="H255" t="s">
        <v>21</v>
      </c>
      <c r="I255" t="s">
        <v>21</v>
      </c>
      <c r="J255" t="s">
        <v>22</v>
      </c>
      <c r="K255" t="s">
        <v>23</v>
      </c>
      <c r="L255">
        <v>87.233333333333306</v>
      </c>
      <c r="M255" t="s">
        <v>30</v>
      </c>
      <c r="N255" t="str">
        <f>_xlfn.XLOOKUP(A255,[1]!brca_metabric_clinical_data__2[Patient ID], [1]!brca_metabric_clinical_data__2[Tumor Size])</f>
        <v>15</v>
      </c>
      <c r="O255" t="str">
        <f>_xlfn.XLOOKUP(A255,[1]!brca_metabric_clinical_data__2[Sample ID],[1]!brca_metabric_clinical_data__2[Tumor Stage])</f>
        <v>1</v>
      </c>
    </row>
    <row r="256" spans="1:15" x14ac:dyDescent="0.45">
      <c r="A256" t="s">
        <v>289</v>
      </c>
      <c r="B256">
        <v>51.74</v>
      </c>
      <c r="C256" t="s">
        <v>16</v>
      </c>
      <c r="D256" t="s">
        <v>17</v>
      </c>
      <c r="E256" t="s">
        <v>18</v>
      </c>
      <c r="F256" t="s">
        <v>19</v>
      </c>
      <c r="G256" t="s">
        <v>20</v>
      </c>
      <c r="H256" t="s">
        <v>21</v>
      </c>
      <c r="I256" t="s">
        <v>20</v>
      </c>
      <c r="J256" t="s">
        <v>27</v>
      </c>
      <c r="K256">
        <v>8</v>
      </c>
      <c r="L256">
        <v>64.233333333333306</v>
      </c>
      <c r="M256" t="s">
        <v>24</v>
      </c>
      <c r="N256" t="str">
        <f>_xlfn.XLOOKUP(A256,[1]!brca_metabric_clinical_data__2[Patient ID], [1]!brca_metabric_clinical_data__2[Tumor Size])</f>
        <v>22</v>
      </c>
      <c r="O256" t="str">
        <f>_xlfn.XLOOKUP(A256,[1]!brca_metabric_clinical_data__2[Sample ID],[1]!brca_metabric_clinical_data__2[Tumor Stage])</f>
        <v>2</v>
      </c>
    </row>
    <row r="257" spans="1:15" x14ac:dyDescent="0.45">
      <c r="A257" t="s">
        <v>290</v>
      </c>
      <c r="B257">
        <v>70.98</v>
      </c>
      <c r="C257" t="s">
        <v>16</v>
      </c>
      <c r="D257" t="s">
        <v>17</v>
      </c>
      <c r="E257" t="s">
        <v>18</v>
      </c>
      <c r="F257" t="s">
        <v>19</v>
      </c>
      <c r="G257" t="s">
        <v>20</v>
      </c>
      <c r="H257" t="s">
        <v>21</v>
      </c>
      <c r="I257" t="s">
        <v>21</v>
      </c>
      <c r="J257" t="s">
        <v>22</v>
      </c>
      <c r="K257" t="s">
        <v>23</v>
      </c>
      <c r="L257">
        <v>142.433333333333</v>
      </c>
      <c r="M257" t="s">
        <v>24</v>
      </c>
      <c r="N257" t="str">
        <f>_xlfn.XLOOKUP(A257,[1]!brca_metabric_clinical_data__2[Patient ID], [1]!brca_metabric_clinical_data__2[Tumor Size])</f>
        <v>9</v>
      </c>
      <c r="O257" t="str">
        <f>_xlfn.XLOOKUP(A257,[1]!brca_metabric_clinical_data__2[Sample ID],[1]!brca_metabric_clinical_data__2[Tumor Stage])</f>
        <v>1</v>
      </c>
    </row>
    <row r="258" spans="1:15" x14ac:dyDescent="0.45">
      <c r="A258" t="s">
        <v>291</v>
      </c>
      <c r="B258">
        <v>74.790000000000006</v>
      </c>
      <c r="C258" t="s">
        <v>16</v>
      </c>
      <c r="D258" t="s">
        <v>17</v>
      </c>
      <c r="E258" t="s">
        <v>18</v>
      </c>
      <c r="F258" t="s">
        <v>19</v>
      </c>
      <c r="G258" t="s">
        <v>21</v>
      </c>
      <c r="H258" t="s">
        <v>21</v>
      </c>
      <c r="I258" t="s">
        <v>21</v>
      </c>
      <c r="J258" t="s">
        <v>29</v>
      </c>
      <c r="K258">
        <v>2</v>
      </c>
      <c r="L258">
        <v>61.9</v>
      </c>
      <c r="M258" t="s">
        <v>30</v>
      </c>
      <c r="N258" t="str">
        <f>_xlfn.XLOOKUP(A258,[1]!brca_metabric_clinical_data__2[Patient ID], [1]!brca_metabric_clinical_data__2[Tumor Size])</f>
        <v>31</v>
      </c>
      <c r="O258" t="str">
        <f>_xlfn.XLOOKUP(A258,[1]!brca_metabric_clinical_data__2[Sample ID],[1]!brca_metabric_clinical_data__2[Tumor Stage])</f>
        <v>2</v>
      </c>
    </row>
    <row r="259" spans="1:15" x14ac:dyDescent="0.45">
      <c r="A259" t="s">
        <v>292</v>
      </c>
      <c r="B259">
        <v>65.47</v>
      </c>
      <c r="C259" t="s">
        <v>16</v>
      </c>
      <c r="D259" t="s">
        <v>17</v>
      </c>
      <c r="E259" t="s">
        <v>18</v>
      </c>
      <c r="F259" t="s">
        <v>43</v>
      </c>
      <c r="G259" t="s">
        <v>21</v>
      </c>
      <c r="H259" t="s">
        <v>21</v>
      </c>
      <c r="I259" t="s">
        <v>21</v>
      </c>
      <c r="J259" t="s">
        <v>29</v>
      </c>
      <c r="K259">
        <v>1</v>
      </c>
      <c r="L259">
        <v>144.333333333333</v>
      </c>
      <c r="M259" t="s">
        <v>24</v>
      </c>
      <c r="N259" t="str">
        <f>_xlfn.XLOOKUP(A259,[1]!brca_metabric_clinical_data__2[Patient ID], [1]!brca_metabric_clinical_data__2[Tumor Size])</f>
        <v>27</v>
      </c>
      <c r="O259" t="str">
        <f>_xlfn.XLOOKUP(A259,[1]!brca_metabric_clinical_data__2[Sample ID],[1]!brca_metabric_clinical_data__2[Tumor Stage])</f>
        <v>2</v>
      </c>
    </row>
    <row r="260" spans="1:15" x14ac:dyDescent="0.45">
      <c r="A260" t="s">
        <v>293</v>
      </c>
      <c r="B260">
        <v>64.010000000000005</v>
      </c>
      <c r="C260" t="s">
        <v>16</v>
      </c>
      <c r="D260" t="s">
        <v>17</v>
      </c>
      <c r="E260" t="s">
        <v>18</v>
      </c>
      <c r="F260" t="s">
        <v>19</v>
      </c>
      <c r="G260" t="s">
        <v>21</v>
      </c>
      <c r="H260" t="s">
        <v>21</v>
      </c>
      <c r="I260" t="s">
        <v>21</v>
      </c>
      <c r="J260" t="s">
        <v>29</v>
      </c>
      <c r="K260">
        <v>9</v>
      </c>
      <c r="L260">
        <v>93.5</v>
      </c>
      <c r="M260" t="s">
        <v>30</v>
      </c>
      <c r="N260" t="str">
        <f>_xlfn.XLOOKUP(A260,[1]!brca_metabric_clinical_data__2[Patient ID], [1]!brca_metabric_clinical_data__2[Tumor Size])</f>
        <v>47</v>
      </c>
      <c r="O260" t="str">
        <f>_xlfn.XLOOKUP(A260,[1]!brca_metabric_clinical_data__2[Sample ID],[1]!brca_metabric_clinical_data__2[Tumor Stage])</f>
        <v>2</v>
      </c>
    </row>
    <row r="261" spans="1:15" x14ac:dyDescent="0.45">
      <c r="A261" t="s">
        <v>294</v>
      </c>
      <c r="B261">
        <v>78.41</v>
      </c>
      <c r="C261" t="s">
        <v>16</v>
      </c>
      <c r="D261" t="s">
        <v>17</v>
      </c>
      <c r="E261" t="s">
        <v>18</v>
      </c>
      <c r="F261" t="s">
        <v>43</v>
      </c>
      <c r="G261" t="s">
        <v>20</v>
      </c>
      <c r="H261" t="s">
        <v>21</v>
      </c>
      <c r="I261" t="s">
        <v>21</v>
      </c>
      <c r="J261" t="s">
        <v>29</v>
      </c>
      <c r="K261">
        <v>5</v>
      </c>
      <c r="L261">
        <v>131.13333333333301</v>
      </c>
      <c r="M261" t="s">
        <v>24</v>
      </c>
      <c r="N261" t="str">
        <f>_xlfn.XLOOKUP(A261,[1]!brca_metabric_clinical_data__2[Patient ID], [1]!brca_metabric_clinical_data__2[Tumor Size])</f>
        <v>22</v>
      </c>
      <c r="O261" t="str">
        <f>_xlfn.XLOOKUP(A261,[1]!brca_metabric_clinical_data__2[Sample ID],[1]!brca_metabric_clinical_data__2[Tumor Stage])</f>
        <v>2</v>
      </c>
    </row>
    <row r="262" spans="1:15" x14ac:dyDescent="0.45">
      <c r="A262" t="s">
        <v>295</v>
      </c>
      <c r="B262">
        <v>39.86</v>
      </c>
      <c r="C262" t="s">
        <v>16</v>
      </c>
      <c r="D262" t="s">
        <v>26</v>
      </c>
      <c r="E262" t="s">
        <v>37</v>
      </c>
      <c r="F262" t="s">
        <v>19</v>
      </c>
      <c r="G262" t="s">
        <v>21</v>
      </c>
      <c r="H262" t="s">
        <v>21</v>
      </c>
      <c r="I262" t="s">
        <v>21</v>
      </c>
      <c r="J262" t="s">
        <v>58</v>
      </c>
      <c r="K262">
        <v>10</v>
      </c>
      <c r="L262">
        <v>62.766666666666701</v>
      </c>
      <c r="M262" t="s">
        <v>30</v>
      </c>
      <c r="N262" t="str">
        <f>_xlfn.XLOOKUP(A262,[1]!brca_metabric_clinical_data__2[Patient ID], [1]!brca_metabric_clinical_data__2[Tumor Size])</f>
        <v>18</v>
      </c>
      <c r="O262" t="str">
        <f>_xlfn.XLOOKUP(A262,[1]!brca_metabric_clinical_data__2[Sample ID],[1]!brca_metabric_clinical_data__2[Tumor Stage])</f>
        <v>1</v>
      </c>
    </row>
    <row r="263" spans="1:15" x14ac:dyDescent="0.45">
      <c r="A263" t="s">
        <v>296</v>
      </c>
      <c r="B263">
        <v>63.31</v>
      </c>
      <c r="C263" t="s">
        <v>16</v>
      </c>
      <c r="D263" t="s">
        <v>17</v>
      </c>
      <c r="E263" t="s">
        <v>18</v>
      </c>
      <c r="F263" t="s">
        <v>43</v>
      </c>
      <c r="G263" t="s">
        <v>20</v>
      </c>
      <c r="H263" t="s">
        <v>21</v>
      </c>
      <c r="I263" t="s">
        <v>21</v>
      </c>
      <c r="J263" t="s">
        <v>29</v>
      </c>
      <c r="K263">
        <v>5</v>
      </c>
      <c r="L263">
        <v>27</v>
      </c>
      <c r="M263" t="s">
        <v>30</v>
      </c>
      <c r="N263" t="str">
        <f>_xlfn.XLOOKUP(A263,[1]!brca_metabric_clinical_data__2[Patient ID], [1]!brca_metabric_clinical_data__2[Tumor Size])</f>
        <v>24</v>
      </c>
      <c r="O263" t="str">
        <f>_xlfn.XLOOKUP(A263,[1]!brca_metabric_clinical_data__2[Sample ID],[1]!brca_metabric_clinical_data__2[Tumor Stage])</f>
        <v>2</v>
      </c>
    </row>
    <row r="264" spans="1:15" x14ac:dyDescent="0.45">
      <c r="A264" t="s">
        <v>297</v>
      </c>
      <c r="B264">
        <v>34.68</v>
      </c>
      <c r="C264" t="s">
        <v>16</v>
      </c>
      <c r="D264" t="s">
        <v>26</v>
      </c>
      <c r="E264" t="s">
        <v>18</v>
      </c>
      <c r="F264" t="s">
        <v>35</v>
      </c>
      <c r="G264" t="s">
        <v>20</v>
      </c>
      <c r="H264" t="s">
        <v>21</v>
      </c>
      <c r="I264" t="s">
        <v>20</v>
      </c>
      <c r="J264" t="s">
        <v>29</v>
      </c>
      <c r="K264">
        <v>1</v>
      </c>
      <c r="L264">
        <v>1.43333333333333</v>
      </c>
      <c r="M264" t="s">
        <v>24</v>
      </c>
      <c r="N264" t="str">
        <f>_xlfn.XLOOKUP(A264,[1]!brca_metabric_clinical_data__2[Patient ID], [1]!brca_metabric_clinical_data__2[Tumor Size])</f>
        <v>25</v>
      </c>
      <c r="O264" t="str">
        <f>_xlfn.XLOOKUP(A264,[1]!brca_metabric_clinical_data__2[Sample ID],[1]!brca_metabric_clinical_data__2[Tumor Stage])</f>
        <v>2</v>
      </c>
    </row>
    <row r="265" spans="1:15" x14ac:dyDescent="0.45">
      <c r="A265" t="s">
        <v>298</v>
      </c>
      <c r="B265">
        <v>72.69</v>
      </c>
      <c r="C265" t="s">
        <v>16</v>
      </c>
      <c r="D265" t="s">
        <v>17</v>
      </c>
      <c r="E265" t="s">
        <v>37</v>
      </c>
      <c r="F265" t="s">
        <v>19</v>
      </c>
      <c r="G265" t="s">
        <v>20</v>
      </c>
      <c r="H265" t="s">
        <v>20</v>
      </c>
      <c r="I265" t="s">
        <v>21</v>
      </c>
      <c r="J265" t="s">
        <v>38</v>
      </c>
      <c r="K265">
        <v>10</v>
      </c>
      <c r="L265">
        <v>143.166666666667</v>
      </c>
      <c r="M265" t="s">
        <v>24</v>
      </c>
      <c r="N265" t="str">
        <f>_xlfn.XLOOKUP(A265,[1]!brca_metabric_clinical_data__2[Patient ID], [1]!brca_metabric_clinical_data__2[Tumor Size])</f>
        <v>23</v>
      </c>
      <c r="O265" t="str">
        <f>_xlfn.XLOOKUP(A265,[1]!brca_metabric_clinical_data__2[Sample ID],[1]!brca_metabric_clinical_data__2[Tumor Stage])</f>
        <v>2</v>
      </c>
    </row>
    <row r="266" spans="1:15" x14ac:dyDescent="0.45">
      <c r="A266" t="s">
        <v>299</v>
      </c>
      <c r="B266">
        <v>63.25</v>
      </c>
      <c r="C266" t="s">
        <v>16</v>
      </c>
      <c r="D266" t="s">
        <v>17</v>
      </c>
      <c r="E266" t="s">
        <v>18</v>
      </c>
      <c r="F266" t="s">
        <v>19</v>
      </c>
      <c r="G266" t="s">
        <v>20</v>
      </c>
      <c r="H266" t="s">
        <v>21</v>
      </c>
      <c r="I266" t="s">
        <v>21</v>
      </c>
      <c r="J266" t="s">
        <v>27</v>
      </c>
      <c r="K266" t="s">
        <v>23</v>
      </c>
      <c r="L266">
        <v>134.36666666666699</v>
      </c>
      <c r="M266" t="s">
        <v>24</v>
      </c>
      <c r="N266" t="str">
        <f>_xlfn.XLOOKUP(A266,[1]!brca_metabric_clinical_data__2[Patient ID], [1]!brca_metabric_clinical_data__2[Tumor Size])</f>
        <v>12</v>
      </c>
      <c r="O266" t="str">
        <f>_xlfn.XLOOKUP(A266,[1]!brca_metabric_clinical_data__2[Sample ID],[1]!brca_metabric_clinical_data__2[Tumor Stage])</f>
        <v>1</v>
      </c>
    </row>
    <row r="267" spans="1:15" x14ac:dyDescent="0.45">
      <c r="A267" t="s">
        <v>300</v>
      </c>
      <c r="B267">
        <v>57.15</v>
      </c>
      <c r="C267" t="s">
        <v>16</v>
      </c>
      <c r="D267" t="s">
        <v>17</v>
      </c>
      <c r="E267" t="s">
        <v>37</v>
      </c>
      <c r="F267" t="s">
        <v>43</v>
      </c>
      <c r="G267" t="s">
        <v>21</v>
      </c>
      <c r="H267" t="s">
        <v>20</v>
      </c>
      <c r="I267" t="s">
        <v>21</v>
      </c>
      <c r="J267" t="s">
        <v>45</v>
      </c>
      <c r="K267">
        <v>5</v>
      </c>
      <c r="L267">
        <v>97.3</v>
      </c>
      <c r="M267" t="s">
        <v>30</v>
      </c>
      <c r="N267" t="str">
        <f>_xlfn.XLOOKUP(A267,[1]!brca_metabric_clinical_data__2[Patient ID], [1]!brca_metabric_clinical_data__2[Tumor Size])</f>
        <v>28</v>
      </c>
      <c r="O267" t="str">
        <f>_xlfn.XLOOKUP(A267,[1]!brca_metabric_clinical_data__2[Sample ID],[1]!brca_metabric_clinical_data__2[Tumor Stage])</f>
        <v>2</v>
      </c>
    </row>
    <row r="268" spans="1:15" x14ac:dyDescent="0.45">
      <c r="A268" t="s">
        <v>301</v>
      </c>
      <c r="B268">
        <v>48.22</v>
      </c>
      <c r="C268" t="s">
        <v>16</v>
      </c>
      <c r="D268" t="s">
        <v>26</v>
      </c>
      <c r="E268" t="s">
        <v>18</v>
      </c>
      <c r="F268" t="s">
        <v>19</v>
      </c>
      <c r="G268" t="s">
        <v>21</v>
      </c>
      <c r="H268" t="s">
        <v>21</v>
      </c>
      <c r="I268" t="s">
        <v>21</v>
      </c>
      <c r="J268" t="s">
        <v>27</v>
      </c>
      <c r="K268">
        <v>7</v>
      </c>
      <c r="L268">
        <v>135.666666666667</v>
      </c>
      <c r="M268" t="s">
        <v>24</v>
      </c>
      <c r="N268" t="str">
        <f>_xlfn.XLOOKUP(A268,[1]!brca_metabric_clinical_data__2[Patient ID], [1]!brca_metabric_clinical_data__2[Tumor Size])</f>
        <v>29</v>
      </c>
      <c r="O268" t="str">
        <f>_xlfn.XLOOKUP(A268,[1]!brca_metabric_clinical_data__2[Sample ID],[1]!brca_metabric_clinical_data__2[Tumor Stage])</f>
        <v>2</v>
      </c>
    </row>
    <row r="269" spans="1:15" x14ac:dyDescent="0.45">
      <c r="A269" t="s">
        <v>302</v>
      </c>
      <c r="B269">
        <v>83.9</v>
      </c>
      <c r="C269" t="s">
        <v>16</v>
      </c>
      <c r="D269" t="s">
        <v>17</v>
      </c>
      <c r="E269" t="s">
        <v>18</v>
      </c>
      <c r="F269" t="s">
        <v>19</v>
      </c>
      <c r="G269" t="s">
        <v>20</v>
      </c>
      <c r="H269" t="s">
        <v>21</v>
      </c>
      <c r="I269" t="s">
        <v>21</v>
      </c>
      <c r="J269" t="s">
        <v>29</v>
      </c>
      <c r="K269">
        <v>9</v>
      </c>
      <c r="L269">
        <v>69.3333333333333</v>
      </c>
      <c r="M269" t="s">
        <v>30</v>
      </c>
      <c r="N269" t="str">
        <f>_xlfn.XLOOKUP(A269,[1]!brca_metabric_clinical_data__2[Patient ID], [1]!brca_metabric_clinical_data__2[Tumor Size])</f>
        <v>25</v>
      </c>
      <c r="O269" t="str">
        <f>_xlfn.XLOOKUP(A269,[1]!brca_metabric_clinical_data__2[Sample ID],[1]!brca_metabric_clinical_data__2[Tumor Stage])</f>
        <v>2</v>
      </c>
    </row>
    <row r="270" spans="1:15" x14ac:dyDescent="0.45">
      <c r="A270" t="s">
        <v>303</v>
      </c>
      <c r="B270">
        <v>33.65</v>
      </c>
      <c r="C270" t="s">
        <v>16</v>
      </c>
      <c r="D270" t="s">
        <v>26</v>
      </c>
      <c r="E270" t="s">
        <v>18</v>
      </c>
      <c r="F270" t="s">
        <v>43</v>
      </c>
      <c r="G270" t="s">
        <v>21</v>
      </c>
      <c r="H270" t="s">
        <v>21</v>
      </c>
      <c r="I270" t="s">
        <v>21</v>
      </c>
      <c r="J270" t="s">
        <v>45</v>
      </c>
      <c r="K270">
        <v>5</v>
      </c>
      <c r="L270">
        <v>130.19999999999999</v>
      </c>
      <c r="M270" t="s">
        <v>24</v>
      </c>
      <c r="N270" t="str">
        <f>_xlfn.XLOOKUP(A270,[1]!brca_metabric_clinical_data__2[Patient ID], [1]!brca_metabric_clinical_data__2[Tumor Size])</f>
        <v>21</v>
      </c>
      <c r="O270" t="str">
        <f>_xlfn.XLOOKUP(A270,[1]!brca_metabric_clinical_data__2[Sample ID],[1]!brca_metabric_clinical_data__2[Tumor Stage])</f>
        <v>2</v>
      </c>
    </row>
    <row r="271" spans="1:15" x14ac:dyDescent="0.45">
      <c r="A271" t="s">
        <v>304</v>
      </c>
      <c r="B271">
        <v>59.05</v>
      </c>
      <c r="C271" t="s">
        <v>16</v>
      </c>
      <c r="D271" t="s">
        <v>17</v>
      </c>
      <c r="E271" t="s">
        <v>18</v>
      </c>
      <c r="F271" t="s">
        <v>19</v>
      </c>
      <c r="G271" t="s">
        <v>21</v>
      </c>
      <c r="H271" t="s">
        <v>21</v>
      </c>
      <c r="I271" t="s">
        <v>21</v>
      </c>
      <c r="J271" t="s">
        <v>27</v>
      </c>
      <c r="K271">
        <v>3</v>
      </c>
      <c r="L271">
        <v>136.46666666666701</v>
      </c>
      <c r="M271" t="s">
        <v>24</v>
      </c>
      <c r="N271" t="str">
        <f>_xlfn.XLOOKUP(A271,[1]!brca_metabric_clinical_data__2[Patient ID], [1]!brca_metabric_clinical_data__2[Tumor Size])</f>
        <v>22</v>
      </c>
      <c r="O271" t="str">
        <f>_xlfn.XLOOKUP(A271,[1]!brca_metabric_clinical_data__2[Sample ID],[1]!brca_metabric_clinical_data__2[Tumor Stage])</f>
        <v>2</v>
      </c>
    </row>
    <row r="272" spans="1:15" x14ac:dyDescent="0.45">
      <c r="A272" t="s">
        <v>305</v>
      </c>
      <c r="B272">
        <v>65.02</v>
      </c>
      <c r="C272" t="s">
        <v>16</v>
      </c>
      <c r="D272" t="s">
        <v>17</v>
      </c>
      <c r="E272" t="s">
        <v>18</v>
      </c>
      <c r="F272" t="s">
        <v>19</v>
      </c>
      <c r="G272" t="s">
        <v>20</v>
      </c>
      <c r="H272" t="s">
        <v>21</v>
      </c>
      <c r="I272" t="s">
        <v>20</v>
      </c>
      <c r="J272" t="s">
        <v>29</v>
      </c>
      <c r="K272">
        <v>1</v>
      </c>
      <c r="L272">
        <v>85.733333333333306</v>
      </c>
      <c r="M272" t="s">
        <v>30</v>
      </c>
      <c r="N272" t="str">
        <f>_xlfn.XLOOKUP(A272,[1]!brca_metabric_clinical_data__2[Patient ID], [1]!brca_metabric_clinical_data__2[Tumor Size])</f>
        <v>19</v>
      </c>
      <c r="O272" t="str">
        <f>_xlfn.XLOOKUP(A272,[1]!brca_metabric_clinical_data__2[Sample ID],[1]!brca_metabric_clinical_data__2[Tumor Stage])</f>
        <v>1</v>
      </c>
    </row>
    <row r="273" spans="1:15" x14ac:dyDescent="0.45">
      <c r="A273" t="s">
        <v>306</v>
      </c>
      <c r="B273">
        <v>74.58</v>
      </c>
      <c r="C273" t="s">
        <v>16</v>
      </c>
      <c r="D273" t="s">
        <v>17</v>
      </c>
      <c r="E273" t="s">
        <v>18</v>
      </c>
      <c r="F273" t="s">
        <v>35</v>
      </c>
      <c r="G273" t="s">
        <v>20</v>
      </c>
      <c r="H273" t="s">
        <v>21</v>
      </c>
      <c r="I273" t="s">
        <v>21</v>
      </c>
      <c r="J273" t="s">
        <v>29</v>
      </c>
      <c r="K273">
        <v>8</v>
      </c>
      <c r="L273">
        <v>61.1</v>
      </c>
      <c r="M273" t="s">
        <v>30</v>
      </c>
      <c r="N273" t="str">
        <f>_xlfn.XLOOKUP(A273,[1]!brca_metabric_clinical_data__2[Patient ID], [1]!brca_metabric_clinical_data__2[Tumor Size])</f>
        <v>43</v>
      </c>
      <c r="O273" t="str">
        <f>_xlfn.XLOOKUP(A273,[1]!brca_metabric_clinical_data__2[Sample ID],[1]!brca_metabric_clinical_data__2[Tumor Stage])</f>
        <v>2</v>
      </c>
    </row>
    <row r="274" spans="1:15" x14ac:dyDescent="0.45">
      <c r="A274" t="s">
        <v>307</v>
      </c>
      <c r="B274">
        <v>66.58</v>
      </c>
      <c r="C274" t="s">
        <v>16</v>
      </c>
      <c r="D274" t="s">
        <v>17</v>
      </c>
      <c r="E274" t="s">
        <v>18</v>
      </c>
      <c r="F274" t="s">
        <v>19</v>
      </c>
      <c r="G274" t="s">
        <v>21</v>
      </c>
      <c r="H274" t="s">
        <v>21</v>
      </c>
      <c r="I274" t="s">
        <v>21</v>
      </c>
      <c r="J274" t="s">
        <v>29</v>
      </c>
      <c r="K274">
        <v>9</v>
      </c>
      <c r="L274">
        <v>36.433333333333302</v>
      </c>
      <c r="M274" t="s">
        <v>30</v>
      </c>
      <c r="N274" t="str">
        <f>_xlfn.XLOOKUP(A274,[1]!brca_metabric_clinical_data__2[Patient ID], [1]!brca_metabric_clinical_data__2[Tumor Size])</f>
        <v>31</v>
      </c>
      <c r="O274" t="str">
        <f>_xlfn.XLOOKUP(A274,[1]!brca_metabric_clinical_data__2[Sample ID],[1]!brca_metabric_clinical_data__2[Tumor Stage])</f>
        <v>2</v>
      </c>
    </row>
    <row r="275" spans="1:15" x14ac:dyDescent="0.45">
      <c r="A275" t="s">
        <v>308</v>
      </c>
      <c r="B275">
        <v>66.83</v>
      </c>
      <c r="C275" t="s">
        <v>16</v>
      </c>
      <c r="D275" t="s">
        <v>17</v>
      </c>
      <c r="E275" t="s">
        <v>18</v>
      </c>
      <c r="F275" t="s">
        <v>35</v>
      </c>
      <c r="G275" t="s">
        <v>20</v>
      </c>
      <c r="H275" t="s">
        <v>21</v>
      </c>
      <c r="I275" t="s">
        <v>21</v>
      </c>
      <c r="J275" t="s">
        <v>27</v>
      </c>
      <c r="K275">
        <v>9</v>
      </c>
      <c r="L275">
        <v>138.13333333333301</v>
      </c>
      <c r="M275" t="s">
        <v>24</v>
      </c>
      <c r="N275" t="str">
        <f>_xlfn.XLOOKUP(A275,[1]!brca_metabric_clinical_data__2[Patient ID], [1]!brca_metabric_clinical_data__2[Tumor Size])</f>
        <v>15</v>
      </c>
      <c r="O275" t="str">
        <f>_xlfn.XLOOKUP(A275,[1]!brca_metabric_clinical_data__2[Sample ID],[1]!brca_metabric_clinical_data__2[Tumor Stage])</f>
        <v>3</v>
      </c>
    </row>
    <row r="276" spans="1:15" x14ac:dyDescent="0.45">
      <c r="A276" t="s">
        <v>309</v>
      </c>
      <c r="B276">
        <v>46.63</v>
      </c>
      <c r="C276" t="s">
        <v>16</v>
      </c>
      <c r="D276" t="s">
        <v>26</v>
      </c>
      <c r="E276" t="s">
        <v>18</v>
      </c>
      <c r="F276" t="s">
        <v>43</v>
      </c>
      <c r="G276" t="s">
        <v>21</v>
      </c>
      <c r="H276" t="s">
        <v>21</v>
      </c>
      <c r="I276" t="s">
        <v>21</v>
      </c>
      <c r="J276" t="s">
        <v>38</v>
      </c>
      <c r="K276">
        <v>1</v>
      </c>
      <c r="L276">
        <v>97.566666666666706</v>
      </c>
      <c r="M276" t="s">
        <v>24</v>
      </c>
      <c r="N276" t="str">
        <f>_xlfn.XLOOKUP(A276,[1]!brca_metabric_clinical_data__2[Patient ID], [1]!brca_metabric_clinical_data__2[Tumor Size])</f>
        <v>28</v>
      </c>
      <c r="O276" t="str">
        <f>_xlfn.XLOOKUP(A276,[1]!brca_metabric_clinical_data__2[Sample ID],[1]!brca_metabric_clinical_data__2[Tumor Stage])</f>
        <v>2</v>
      </c>
    </row>
    <row r="277" spans="1:15" x14ac:dyDescent="0.45">
      <c r="A277" t="s">
        <v>310</v>
      </c>
      <c r="B277">
        <v>46.87</v>
      </c>
      <c r="C277" t="s">
        <v>16</v>
      </c>
      <c r="D277" t="s">
        <v>26</v>
      </c>
      <c r="E277" t="s">
        <v>18</v>
      </c>
      <c r="F277" t="s">
        <v>43</v>
      </c>
      <c r="G277" t="s">
        <v>21</v>
      </c>
      <c r="H277" t="s">
        <v>21</v>
      </c>
      <c r="I277" t="s">
        <v>21</v>
      </c>
      <c r="J277" t="s">
        <v>29</v>
      </c>
      <c r="K277">
        <v>2</v>
      </c>
      <c r="L277">
        <v>96.966666666666697</v>
      </c>
      <c r="M277" t="s">
        <v>24</v>
      </c>
      <c r="N277" t="str">
        <f>_xlfn.XLOOKUP(A277,[1]!brca_metabric_clinical_data__2[Patient ID], [1]!brca_metabric_clinical_data__2[Tumor Size])</f>
        <v>50</v>
      </c>
      <c r="O277" t="str">
        <f>_xlfn.XLOOKUP(A277,[1]!brca_metabric_clinical_data__2[Sample ID],[1]!brca_metabric_clinical_data__2[Tumor Stage])</f>
        <v>3</v>
      </c>
    </row>
    <row r="278" spans="1:15" x14ac:dyDescent="0.45">
      <c r="A278" t="s">
        <v>311</v>
      </c>
      <c r="B278">
        <v>40.68</v>
      </c>
      <c r="C278" t="s">
        <v>16</v>
      </c>
      <c r="D278" t="s">
        <v>26</v>
      </c>
      <c r="E278" t="s">
        <v>18</v>
      </c>
      <c r="F278" t="s">
        <v>43</v>
      </c>
      <c r="G278" t="s">
        <v>21</v>
      </c>
      <c r="H278" t="s">
        <v>20</v>
      </c>
      <c r="I278" t="s">
        <v>21</v>
      </c>
      <c r="J278" t="s">
        <v>22</v>
      </c>
      <c r="K278">
        <v>5</v>
      </c>
      <c r="L278">
        <v>72.2</v>
      </c>
      <c r="M278" t="s">
        <v>30</v>
      </c>
      <c r="N278" t="str">
        <f>_xlfn.XLOOKUP(A278,[1]!brca_metabric_clinical_data__2[Patient ID], [1]!brca_metabric_clinical_data__2[Tumor Size])</f>
        <v>17</v>
      </c>
      <c r="O278" t="str">
        <f>_xlfn.XLOOKUP(A278,[1]!brca_metabric_clinical_data__2[Sample ID],[1]!brca_metabric_clinical_data__2[Tumor Stage])</f>
        <v>2</v>
      </c>
    </row>
    <row r="279" spans="1:15" x14ac:dyDescent="0.45">
      <c r="A279" t="s">
        <v>312</v>
      </c>
      <c r="B279">
        <v>61.23</v>
      </c>
      <c r="C279" t="s">
        <v>16</v>
      </c>
      <c r="D279" t="s">
        <v>17</v>
      </c>
      <c r="E279" t="s">
        <v>37</v>
      </c>
      <c r="F279" t="s">
        <v>43</v>
      </c>
      <c r="G279" t="s">
        <v>21</v>
      </c>
      <c r="H279" t="s">
        <v>20</v>
      </c>
      <c r="I279" t="s">
        <v>21</v>
      </c>
      <c r="J279" t="s">
        <v>22</v>
      </c>
      <c r="K279">
        <v>1</v>
      </c>
      <c r="L279">
        <v>142.46666666666701</v>
      </c>
      <c r="M279" t="s">
        <v>24</v>
      </c>
      <c r="N279" t="str">
        <f>_xlfn.XLOOKUP(A279,[1]!brca_metabric_clinical_data__2[Patient ID], [1]!brca_metabric_clinical_data__2[Tumor Size])</f>
        <v>50</v>
      </c>
      <c r="O279" t="str">
        <f>_xlfn.XLOOKUP(A279,[1]!brca_metabric_clinical_data__2[Sample ID],[1]!brca_metabric_clinical_data__2[Tumor Stage])</f>
        <v>3</v>
      </c>
    </row>
    <row r="280" spans="1:15" x14ac:dyDescent="0.45">
      <c r="A280" t="s">
        <v>313</v>
      </c>
      <c r="B280">
        <v>56.28</v>
      </c>
      <c r="C280" t="s">
        <v>16</v>
      </c>
      <c r="D280" t="s">
        <v>17</v>
      </c>
      <c r="E280" t="s">
        <v>18</v>
      </c>
      <c r="F280" t="s">
        <v>19</v>
      </c>
      <c r="G280" t="s">
        <v>21</v>
      </c>
      <c r="H280" t="s">
        <v>21</v>
      </c>
      <c r="I280" t="s">
        <v>20</v>
      </c>
      <c r="J280" t="s">
        <v>38</v>
      </c>
      <c r="K280">
        <v>1</v>
      </c>
      <c r="L280">
        <v>38.133333333333297</v>
      </c>
      <c r="M280" t="s">
        <v>30</v>
      </c>
      <c r="N280" t="str">
        <f>_xlfn.XLOOKUP(A280,[1]!brca_metabric_clinical_data__2[Patient ID], [1]!brca_metabric_clinical_data__2[Tumor Size])</f>
        <v>30</v>
      </c>
      <c r="O280" t="str">
        <f>_xlfn.XLOOKUP(A280,[1]!brca_metabric_clinical_data__2[Sample ID],[1]!brca_metabric_clinical_data__2[Tumor Stage])</f>
        <v>4</v>
      </c>
    </row>
    <row r="281" spans="1:15" x14ac:dyDescent="0.45">
      <c r="A281" t="s">
        <v>314</v>
      </c>
      <c r="B281">
        <v>68.739999999999995</v>
      </c>
      <c r="C281" t="s">
        <v>16</v>
      </c>
      <c r="D281" t="s">
        <v>17</v>
      </c>
      <c r="E281" t="s">
        <v>18</v>
      </c>
      <c r="F281" t="s">
        <v>19</v>
      </c>
      <c r="G281" t="s">
        <v>21</v>
      </c>
      <c r="H281" t="s">
        <v>21</v>
      </c>
      <c r="I281" t="s">
        <v>21</v>
      </c>
      <c r="J281" t="s">
        <v>22</v>
      </c>
      <c r="K281">
        <v>2</v>
      </c>
      <c r="L281">
        <v>20.8333333333333</v>
      </c>
      <c r="M281" t="s">
        <v>30</v>
      </c>
      <c r="N281" t="str">
        <f>_xlfn.XLOOKUP(A281,[1]!brca_metabric_clinical_data__2[Patient ID], [1]!brca_metabric_clinical_data__2[Tumor Size])</f>
        <v>53</v>
      </c>
      <c r="O281" t="str">
        <f>_xlfn.XLOOKUP(A281,[1]!brca_metabric_clinical_data__2[Sample ID],[1]!brca_metabric_clinical_data__2[Tumor Stage])</f>
        <v>3</v>
      </c>
    </row>
    <row r="282" spans="1:15" x14ac:dyDescent="0.45">
      <c r="A282" t="s">
        <v>315</v>
      </c>
      <c r="B282">
        <v>56.48</v>
      </c>
      <c r="C282" t="s">
        <v>16</v>
      </c>
      <c r="D282" t="s">
        <v>17</v>
      </c>
      <c r="E282" t="s">
        <v>18</v>
      </c>
      <c r="F282" t="s">
        <v>19</v>
      </c>
      <c r="G282" t="s">
        <v>20</v>
      </c>
      <c r="H282" t="s">
        <v>21</v>
      </c>
      <c r="I282" t="s">
        <v>21</v>
      </c>
      <c r="J282" t="s">
        <v>27</v>
      </c>
      <c r="K282">
        <v>2</v>
      </c>
      <c r="L282">
        <v>64.233333333333306</v>
      </c>
      <c r="M282" t="s">
        <v>24</v>
      </c>
      <c r="N282" t="str">
        <f>_xlfn.XLOOKUP(A282,[1]!brca_metabric_clinical_data__2[Patient ID], [1]!brca_metabric_clinical_data__2[Tumor Size])</f>
        <v>20</v>
      </c>
      <c r="O282" t="str">
        <f>_xlfn.XLOOKUP(A282,[1]!brca_metabric_clinical_data__2[Sample ID],[1]!brca_metabric_clinical_data__2[Tumor Stage])</f>
        <v>1</v>
      </c>
    </row>
    <row r="283" spans="1:15" x14ac:dyDescent="0.45">
      <c r="A283" t="s">
        <v>316</v>
      </c>
      <c r="B283">
        <v>80.38</v>
      </c>
      <c r="C283" t="s">
        <v>16</v>
      </c>
      <c r="D283" t="s">
        <v>17</v>
      </c>
      <c r="E283" t="s">
        <v>37</v>
      </c>
      <c r="F283" t="s">
        <v>43</v>
      </c>
      <c r="G283" t="s">
        <v>20</v>
      </c>
      <c r="H283" t="s">
        <v>20</v>
      </c>
      <c r="I283" t="s">
        <v>21</v>
      </c>
      <c r="J283" t="s">
        <v>45</v>
      </c>
      <c r="K283">
        <v>5</v>
      </c>
      <c r="L283">
        <v>29</v>
      </c>
      <c r="M283" t="s">
        <v>30</v>
      </c>
      <c r="N283" t="str">
        <f>_xlfn.XLOOKUP(A283,[1]!brca_metabric_clinical_data__2[Patient ID], [1]!brca_metabric_clinical_data__2[Tumor Size])</f>
        <v>50</v>
      </c>
      <c r="O283" t="str">
        <f>_xlfn.XLOOKUP(A283,[1]!brca_metabric_clinical_data__2[Sample ID],[1]!brca_metabric_clinical_data__2[Tumor Stage])</f>
        <v>2</v>
      </c>
    </row>
    <row r="284" spans="1:15" x14ac:dyDescent="0.45">
      <c r="A284" t="s">
        <v>317</v>
      </c>
      <c r="B284">
        <v>56.45</v>
      </c>
      <c r="C284" t="s">
        <v>16</v>
      </c>
      <c r="D284" t="s">
        <v>17</v>
      </c>
      <c r="E284" t="s">
        <v>37</v>
      </c>
      <c r="F284" t="s">
        <v>19</v>
      </c>
      <c r="G284" t="s">
        <v>21</v>
      </c>
      <c r="H284" t="s">
        <v>20</v>
      </c>
      <c r="I284" t="s">
        <v>21</v>
      </c>
      <c r="J284" t="s">
        <v>58</v>
      </c>
      <c r="K284">
        <v>10</v>
      </c>
      <c r="L284">
        <v>60.6666666666667</v>
      </c>
      <c r="M284" t="s">
        <v>24</v>
      </c>
      <c r="N284" t="str">
        <f>_xlfn.XLOOKUP(A284,[1]!brca_metabric_clinical_data__2[Patient ID], [1]!brca_metabric_clinical_data__2[Tumor Size])</f>
        <v>27</v>
      </c>
      <c r="O284" t="str">
        <f>_xlfn.XLOOKUP(A284,[1]!brca_metabric_clinical_data__2[Sample ID],[1]!brca_metabric_clinical_data__2[Tumor Stage])</f>
        <v>2</v>
      </c>
    </row>
    <row r="285" spans="1:15" x14ac:dyDescent="0.45">
      <c r="A285" t="s">
        <v>318</v>
      </c>
      <c r="B285">
        <v>58.56</v>
      </c>
      <c r="C285" t="s">
        <v>16</v>
      </c>
      <c r="D285" t="s">
        <v>17</v>
      </c>
      <c r="E285" t="s">
        <v>18</v>
      </c>
      <c r="F285" t="s">
        <v>19</v>
      </c>
      <c r="G285" t="s">
        <v>20</v>
      </c>
      <c r="H285" t="s">
        <v>21</v>
      </c>
      <c r="I285" t="s">
        <v>21</v>
      </c>
      <c r="J285" t="s">
        <v>27</v>
      </c>
      <c r="K285" t="s">
        <v>23</v>
      </c>
      <c r="L285">
        <v>57.233333333333299</v>
      </c>
      <c r="M285" t="s">
        <v>24</v>
      </c>
      <c r="N285" t="str">
        <f>_xlfn.XLOOKUP(A285,[1]!brca_metabric_clinical_data__2[Patient ID], [1]!brca_metabric_clinical_data__2[Tumor Size])</f>
        <v>11</v>
      </c>
      <c r="O285" t="str">
        <f>_xlfn.XLOOKUP(A285,[1]!brca_metabric_clinical_data__2[Sample ID],[1]!brca_metabric_clinical_data__2[Tumor Stage])</f>
        <v>1</v>
      </c>
    </row>
    <row r="286" spans="1:15" x14ac:dyDescent="0.45">
      <c r="A286" t="s">
        <v>319</v>
      </c>
      <c r="B286">
        <v>56.41</v>
      </c>
      <c r="C286" t="s">
        <v>16</v>
      </c>
      <c r="D286" t="s">
        <v>17</v>
      </c>
      <c r="E286" t="s">
        <v>18</v>
      </c>
      <c r="F286" t="s">
        <v>19</v>
      </c>
      <c r="G286" t="s">
        <v>20</v>
      </c>
      <c r="H286" t="s">
        <v>21</v>
      </c>
      <c r="I286" t="s">
        <v>21</v>
      </c>
      <c r="J286" t="s">
        <v>29</v>
      </c>
      <c r="K286">
        <v>6</v>
      </c>
      <c r="L286">
        <v>43.2</v>
      </c>
      <c r="M286" t="s">
        <v>30</v>
      </c>
      <c r="N286" t="str">
        <f>_xlfn.XLOOKUP(A286,[1]!brca_metabric_clinical_data__2[Patient ID], [1]!brca_metabric_clinical_data__2[Tumor Size])</f>
        <v>42</v>
      </c>
      <c r="O286" t="str">
        <f>_xlfn.XLOOKUP(A286,[1]!brca_metabric_clinical_data__2[Sample ID],[1]!brca_metabric_clinical_data__2[Tumor Stage])</f>
        <v>3</v>
      </c>
    </row>
    <row r="287" spans="1:15" x14ac:dyDescent="0.45">
      <c r="A287" t="s">
        <v>320</v>
      </c>
      <c r="B287">
        <v>68.47</v>
      </c>
      <c r="C287" t="s">
        <v>16</v>
      </c>
      <c r="D287" t="s">
        <v>17</v>
      </c>
      <c r="E287" t="s">
        <v>37</v>
      </c>
      <c r="F287" t="s">
        <v>19</v>
      </c>
      <c r="G287" t="s">
        <v>21</v>
      </c>
      <c r="H287" t="s">
        <v>20</v>
      </c>
      <c r="I287" t="s">
        <v>21</v>
      </c>
      <c r="J287" t="s">
        <v>45</v>
      </c>
      <c r="K287" t="s">
        <v>39</v>
      </c>
      <c r="L287">
        <v>137.1</v>
      </c>
      <c r="M287" t="s">
        <v>30</v>
      </c>
      <c r="N287" t="str">
        <f>_xlfn.XLOOKUP(A287,[1]!brca_metabric_clinical_data__2[Patient ID], [1]!brca_metabric_clinical_data__2[Tumor Size])</f>
        <v>45</v>
      </c>
      <c r="O287" t="str">
        <f>_xlfn.XLOOKUP(A287,[1]!brca_metabric_clinical_data__2[Sample ID],[1]!brca_metabric_clinical_data__2[Tumor Stage])</f>
        <v>3</v>
      </c>
    </row>
    <row r="288" spans="1:15" x14ac:dyDescent="0.45">
      <c r="A288" t="s">
        <v>321</v>
      </c>
      <c r="B288">
        <v>55.28</v>
      </c>
      <c r="C288" t="s">
        <v>16</v>
      </c>
      <c r="D288" t="s">
        <v>17</v>
      </c>
      <c r="E288" t="s">
        <v>37</v>
      </c>
      <c r="F288" t="s">
        <v>19</v>
      </c>
      <c r="G288" t="s">
        <v>21</v>
      </c>
      <c r="H288" t="s">
        <v>20</v>
      </c>
      <c r="I288" t="s">
        <v>20</v>
      </c>
      <c r="J288" t="s">
        <v>22</v>
      </c>
      <c r="K288">
        <v>10</v>
      </c>
      <c r="L288">
        <v>22.466666666666701</v>
      </c>
      <c r="M288" t="s">
        <v>30</v>
      </c>
      <c r="N288" t="str">
        <f>_xlfn.XLOOKUP(A288,[1]!brca_metabric_clinical_data__2[Patient ID], [1]!brca_metabric_clinical_data__2[Tumor Size])</f>
        <v>16</v>
      </c>
      <c r="O288" t="str">
        <f>_xlfn.XLOOKUP(A288,[1]!brca_metabric_clinical_data__2[Sample ID],[1]!brca_metabric_clinical_data__2[Tumor Stage])</f>
        <v>1</v>
      </c>
    </row>
    <row r="289" spans="1:15" x14ac:dyDescent="0.45">
      <c r="A289" t="s">
        <v>322</v>
      </c>
      <c r="B289">
        <v>48.58</v>
      </c>
      <c r="C289" t="s">
        <v>16</v>
      </c>
      <c r="D289" t="s">
        <v>26</v>
      </c>
      <c r="E289" t="s">
        <v>37</v>
      </c>
      <c r="F289" t="s">
        <v>19</v>
      </c>
      <c r="G289" t="s">
        <v>21</v>
      </c>
      <c r="H289" t="s">
        <v>20</v>
      </c>
      <c r="I289" t="s">
        <v>21</v>
      </c>
      <c r="J289" t="s">
        <v>22</v>
      </c>
      <c r="K289">
        <v>10</v>
      </c>
      <c r="L289">
        <v>26.266666666666701</v>
      </c>
      <c r="M289" t="s">
        <v>30</v>
      </c>
      <c r="N289" t="str">
        <f>_xlfn.XLOOKUP(A289,[1]!brca_metabric_clinical_data__2[Patient ID], [1]!brca_metabric_clinical_data__2[Tumor Size])</f>
        <v>20</v>
      </c>
      <c r="O289" t="str">
        <f>_xlfn.XLOOKUP(A289,[1]!brca_metabric_clinical_data__2[Sample ID],[1]!brca_metabric_clinical_data__2[Tumor Stage])</f>
        <v>1</v>
      </c>
    </row>
    <row r="290" spans="1:15" x14ac:dyDescent="0.45">
      <c r="A290" t="s">
        <v>323</v>
      </c>
      <c r="B290">
        <v>73.06</v>
      </c>
      <c r="C290" t="s">
        <v>16</v>
      </c>
      <c r="D290" t="s">
        <v>17</v>
      </c>
      <c r="E290" t="s">
        <v>18</v>
      </c>
      <c r="F290" t="s">
        <v>19</v>
      </c>
      <c r="G290" t="s">
        <v>20</v>
      </c>
      <c r="H290" t="s">
        <v>21</v>
      </c>
      <c r="I290" t="s">
        <v>21</v>
      </c>
      <c r="J290" t="s">
        <v>22</v>
      </c>
      <c r="K290" t="s">
        <v>23</v>
      </c>
      <c r="L290">
        <v>99.733333333333306</v>
      </c>
      <c r="M290" t="s">
        <v>24</v>
      </c>
      <c r="N290" t="str">
        <f>_xlfn.XLOOKUP(A290,[1]!brca_metabric_clinical_data__2[Patient ID], [1]!brca_metabric_clinical_data__2[Tumor Size])</f>
        <v>11</v>
      </c>
      <c r="O290" t="str">
        <f>_xlfn.XLOOKUP(A290,[1]!brca_metabric_clinical_data__2[Sample ID],[1]!brca_metabric_clinical_data__2[Tumor Stage])</f>
        <v>1</v>
      </c>
    </row>
    <row r="291" spans="1:15" x14ac:dyDescent="0.45">
      <c r="A291" t="s">
        <v>324</v>
      </c>
      <c r="B291">
        <v>58.96</v>
      </c>
      <c r="C291" t="s">
        <v>16</v>
      </c>
      <c r="D291" t="s">
        <v>17</v>
      </c>
      <c r="F291" t="s">
        <v>19</v>
      </c>
      <c r="G291" t="s">
        <v>20</v>
      </c>
      <c r="H291" t="s">
        <v>20</v>
      </c>
      <c r="I291" t="s">
        <v>20</v>
      </c>
      <c r="J291" t="s">
        <v>22</v>
      </c>
      <c r="K291" t="s">
        <v>39</v>
      </c>
      <c r="L291">
        <v>141</v>
      </c>
      <c r="M291" t="s">
        <v>24</v>
      </c>
      <c r="N291" t="str">
        <f>_xlfn.XLOOKUP(A291,[1]!brca_metabric_clinical_data__2[Patient ID], [1]!brca_metabric_clinical_data__2[Tumor Size])</f>
        <v>NA</v>
      </c>
      <c r="O291" t="str">
        <f>_xlfn.XLOOKUP(A291,[1]!brca_metabric_clinical_data__2[Sample ID],[1]!brca_metabric_clinical_data__2[Tumor Stage])</f>
        <v>1</v>
      </c>
    </row>
    <row r="292" spans="1:15" x14ac:dyDescent="0.45">
      <c r="A292" t="s">
        <v>325</v>
      </c>
      <c r="B292">
        <v>60.71</v>
      </c>
      <c r="C292" t="s">
        <v>16</v>
      </c>
      <c r="D292" t="s">
        <v>17</v>
      </c>
      <c r="E292" t="s">
        <v>18</v>
      </c>
      <c r="F292" t="s">
        <v>35</v>
      </c>
      <c r="G292" t="s">
        <v>20</v>
      </c>
      <c r="H292" t="s">
        <v>21</v>
      </c>
      <c r="I292" t="s">
        <v>21</v>
      </c>
      <c r="J292" t="s">
        <v>27</v>
      </c>
      <c r="K292">
        <v>8</v>
      </c>
      <c r="L292">
        <v>63.5</v>
      </c>
      <c r="M292" t="s">
        <v>24</v>
      </c>
      <c r="N292" t="str">
        <f>_xlfn.XLOOKUP(A292,[1]!brca_metabric_clinical_data__2[Patient ID], [1]!brca_metabric_clinical_data__2[Tumor Size])</f>
        <v>15</v>
      </c>
      <c r="O292" t="str">
        <f>_xlfn.XLOOKUP(A292,[1]!brca_metabric_clinical_data__2[Sample ID],[1]!brca_metabric_clinical_data__2[Tumor Stage])</f>
        <v>2</v>
      </c>
    </row>
    <row r="293" spans="1:15" x14ac:dyDescent="0.45">
      <c r="A293" t="s">
        <v>326</v>
      </c>
      <c r="B293">
        <v>72.849999999999994</v>
      </c>
      <c r="C293" t="s">
        <v>16</v>
      </c>
      <c r="D293" t="s">
        <v>17</v>
      </c>
      <c r="E293" t="s">
        <v>18</v>
      </c>
      <c r="F293" t="s">
        <v>19</v>
      </c>
      <c r="G293" t="s">
        <v>20</v>
      </c>
      <c r="H293" t="s">
        <v>21</v>
      </c>
      <c r="I293" t="s">
        <v>21</v>
      </c>
      <c r="J293" t="s">
        <v>29</v>
      </c>
      <c r="K293">
        <v>7</v>
      </c>
      <c r="L293">
        <v>59.066666666666698</v>
      </c>
      <c r="M293" t="s">
        <v>30</v>
      </c>
      <c r="N293" t="str">
        <f>_xlfn.XLOOKUP(A293,[1]!brca_metabric_clinical_data__2[Patient ID], [1]!brca_metabric_clinical_data__2[Tumor Size])</f>
        <v>16</v>
      </c>
      <c r="O293" t="str">
        <f>_xlfn.XLOOKUP(A293,[1]!brca_metabric_clinical_data__2[Sample ID],[1]!brca_metabric_clinical_data__2[Tumor Stage])</f>
        <v>1</v>
      </c>
    </row>
    <row r="294" spans="1:15" x14ac:dyDescent="0.45">
      <c r="A294" t="s">
        <v>327</v>
      </c>
      <c r="B294">
        <v>69.319999999999993</v>
      </c>
      <c r="C294" t="s">
        <v>16</v>
      </c>
      <c r="D294" t="s">
        <v>17</v>
      </c>
      <c r="E294" t="s">
        <v>18</v>
      </c>
      <c r="F294" t="s">
        <v>19</v>
      </c>
      <c r="G294" t="s">
        <v>21</v>
      </c>
      <c r="H294" t="s">
        <v>21</v>
      </c>
      <c r="I294" t="s">
        <v>21</v>
      </c>
      <c r="J294" t="s">
        <v>29</v>
      </c>
      <c r="K294">
        <v>2</v>
      </c>
      <c r="L294">
        <v>96.9</v>
      </c>
      <c r="M294" t="s">
        <v>30</v>
      </c>
      <c r="N294" t="str">
        <f>_xlfn.XLOOKUP(A294,[1]!brca_metabric_clinical_data__2[Patient ID], [1]!brca_metabric_clinical_data__2[Tumor Size])</f>
        <v>180</v>
      </c>
      <c r="O294" t="str">
        <f>_xlfn.XLOOKUP(A294,[1]!brca_metabric_clinical_data__2[Sample ID],[1]!brca_metabric_clinical_data__2[Tumor Stage])</f>
        <v>3</v>
      </c>
    </row>
    <row r="295" spans="1:15" x14ac:dyDescent="0.45">
      <c r="A295" t="s">
        <v>328</v>
      </c>
      <c r="B295">
        <v>51.01</v>
      </c>
      <c r="C295" t="s">
        <v>16</v>
      </c>
      <c r="D295" t="s">
        <v>17</v>
      </c>
      <c r="E295" t="s">
        <v>18</v>
      </c>
      <c r="F295" t="s">
        <v>19</v>
      </c>
      <c r="G295" t="s">
        <v>21</v>
      </c>
      <c r="H295" t="s">
        <v>21</v>
      </c>
      <c r="I295" t="s">
        <v>21</v>
      </c>
      <c r="J295" t="s">
        <v>27</v>
      </c>
      <c r="K295">
        <v>7</v>
      </c>
      <c r="L295">
        <v>101.833333333333</v>
      </c>
      <c r="M295" t="s">
        <v>24</v>
      </c>
      <c r="N295" t="str">
        <f>_xlfn.XLOOKUP(A295,[1]!brca_metabric_clinical_data__2[Patient ID], [1]!brca_metabric_clinical_data__2[Tumor Size])</f>
        <v>47</v>
      </c>
      <c r="O295" t="str">
        <f>_xlfn.XLOOKUP(A295,[1]!brca_metabric_clinical_data__2[Sample ID],[1]!brca_metabric_clinical_data__2[Tumor Stage])</f>
        <v>2</v>
      </c>
    </row>
    <row r="296" spans="1:15" x14ac:dyDescent="0.45">
      <c r="A296" t="s">
        <v>329</v>
      </c>
      <c r="B296">
        <v>57.41</v>
      </c>
      <c r="C296" t="s">
        <v>16</v>
      </c>
      <c r="D296" t="s">
        <v>17</v>
      </c>
      <c r="E296" t="s">
        <v>18</v>
      </c>
      <c r="F296" t="s">
        <v>19</v>
      </c>
      <c r="G296" t="s">
        <v>20</v>
      </c>
      <c r="H296" t="s">
        <v>21</v>
      </c>
      <c r="I296" t="s">
        <v>21</v>
      </c>
      <c r="J296" t="s">
        <v>27</v>
      </c>
      <c r="K296">
        <v>3</v>
      </c>
      <c r="L296">
        <v>63</v>
      </c>
      <c r="M296" t="s">
        <v>24</v>
      </c>
      <c r="N296" t="str">
        <f>_xlfn.XLOOKUP(A296,[1]!brca_metabric_clinical_data__2[Patient ID], [1]!brca_metabric_clinical_data__2[Tumor Size])</f>
        <v>20</v>
      </c>
      <c r="O296" t="str">
        <f>_xlfn.XLOOKUP(A296,[1]!brca_metabric_clinical_data__2[Sample ID],[1]!brca_metabric_clinical_data__2[Tumor Stage])</f>
        <v>1</v>
      </c>
    </row>
    <row r="297" spans="1:15" x14ac:dyDescent="0.45">
      <c r="A297" t="s">
        <v>330</v>
      </c>
      <c r="B297">
        <v>54.6</v>
      </c>
      <c r="C297" t="s">
        <v>16</v>
      </c>
      <c r="D297" t="s">
        <v>17</v>
      </c>
      <c r="E297" t="s">
        <v>18</v>
      </c>
      <c r="F297" t="s">
        <v>35</v>
      </c>
      <c r="G297" t="s">
        <v>21</v>
      </c>
      <c r="H297" t="s">
        <v>21</v>
      </c>
      <c r="I297" t="s">
        <v>21</v>
      </c>
      <c r="J297" t="s">
        <v>27</v>
      </c>
      <c r="K297">
        <v>6</v>
      </c>
      <c r="L297">
        <v>139.166666666667</v>
      </c>
      <c r="M297" t="s">
        <v>24</v>
      </c>
      <c r="N297" t="str">
        <f>_xlfn.XLOOKUP(A297,[1]!brca_metabric_clinical_data__2[Patient ID], [1]!brca_metabric_clinical_data__2[Tumor Size])</f>
        <v>18</v>
      </c>
      <c r="O297" t="str">
        <f>_xlfn.XLOOKUP(A297,[1]!brca_metabric_clinical_data__2[Sample ID],[1]!brca_metabric_clinical_data__2[Tumor Stage])</f>
        <v>2</v>
      </c>
    </row>
    <row r="298" spans="1:15" x14ac:dyDescent="0.45">
      <c r="A298" t="s">
        <v>331</v>
      </c>
      <c r="B298">
        <v>54.06</v>
      </c>
      <c r="C298" t="s">
        <v>16</v>
      </c>
      <c r="D298" t="s">
        <v>17</v>
      </c>
      <c r="E298" t="s">
        <v>18</v>
      </c>
      <c r="F298" t="s">
        <v>19</v>
      </c>
      <c r="G298" t="s">
        <v>20</v>
      </c>
      <c r="H298" t="s">
        <v>21</v>
      </c>
      <c r="I298" t="s">
        <v>21</v>
      </c>
      <c r="J298" t="s">
        <v>29</v>
      </c>
      <c r="K298">
        <v>6</v>
      </c>
      <c r="L298">
        <v>136.166666666667</v>
      </c>
      <c r="M298" t="s">
        <v>24</v>
      </c>
      <c r="N298" t="str">
        <f>_xlfn.XLOOKUP(A298,[1]!brca_metabric_clinical_data__2[Patient ID], [1]!brca_metabric_clinical_data__2[Tumor Size])</f>
        <v>19</v>
      </c>
      <c r="O298" t="str">
        <f>_xlfn.XLOOKUP(A298,[1]!brca_metabric_clinical_data__2[Sample ID],[1]!brca_metabric_clinical_data__2[Tumor Stage])</f>
        <v>2</v>
      </c>
    </row>
    <row r="299" spans="1:15" x14ac:dyDescent="0.45">
      <c r="A299" t="s">
        <v>332</v>
      </c>
      <c r="B299">
        <v>56.58</v>
      </c>
      <c r="C299" t="s">
        <v>16</v>
      </c>
      <c r="D299" t="s">
        <v>17</v>
      </c>
      <c r="E299" t="s">
        <v>18</v>
      </c>
      <c r="F299" t="s">
        <v>19</v>
      </c>
      <c r="G299" t="s">
        <v>21</v>
      </c>
      <c r="H299" t="s">
        <v>21</v>
      </c>
      <c r="I299" t="s">
        <v>21</v>
      </c>
      <c r="J299" t="s">
        <v>27</v>
      </c>
      <c r="K299">
        <v>2</v>
      </c>
      <c r="L299">
        <v>140.066666666667</v>
      </c>
      <c r="M299" t="s">
        <v>24</v>
      </c>
      <c r="N299" t="str">
        <f>_xlfn.XLOOKUP(A299,[1]!brca_metabric_clinical_data__2[Patient ID], [1]!brca_metabric_clinical_data__2[Tumor Size])</f>
        <v>47</v>
      </c>
      <c r="O299" t="str">
        <f>_xlfn.XLOOKUP(A299,[1]!brca_metabric_clinical_data__2[Sample ID],[1]!brca_metabric_clinical_data__2[Tumor Stage])</f>
        <v>2</v>
      </c>
    </row>
    <row r="300" spans="1:15" x14ac:dyDescent="0.45">
      <c r="A300" t="s">
        <v>333</v>
      </c>
      <c r="B300">
        <v>72.16</v>
      </c>
      <c r="C300" t="s">
        <v>16</v>
      </c>
      <c r="D300" t="s">
        <v>17</v>
      </c>
      <c r="E300" t="s">
        <v>37</v>
      </c>
      <c r="F300" t="s">
        <v>35</v>
      </c>
      <c r="G300" t="s">
        <v>20</v>
      </c>
      <c r="H300" t="s">
        <v>20</v>
      </c>
      <c r="I300" t="s">
        <v>21</v>
      </c>
      <c r="J300" t="s">
        <v>22</v>
      </c>
      <c r="K300">
        <v>10</v>
      </c>
      <c r="L300">
        <v>76.633333333333297</v>
      </c>
      <c r="M300" t="s">
        <v>24</v>
      </c>
      <c r="N300" t="str">
        <f>_xlfn.XLOOKUP(A300,[1]!brca_metabric_clinical_data__2[Patient ID], [1]!brca_metabric_clinical_data__2[Tumor Size])</f>
        <v>21</v>
      </c>
      <c r="O300" t="str">
        <f>_xlfn.XLOOKUP(A300,[1]!brca_metabric_clinical_data__2[Sample ID],[1]!brca_metabric_clinical_data__2[Tumor Stage])</f>
        <v>2</v>
      </c>
    </row>
    <row r="301" spans="1:15" x14ac:dyDescent="0.45">
      <c r="A301" t="s">
        <v>334</v>
      </c>
      <c r="B301">
        <v>54.22</v>
      </c>
      <c r="C301" t="s">
        <v>16</v>
      </c>
      <c r="D301" t="s">
        <v>17</v>
      </c>
      <c r="E301" t="s">
        <v>18</v>
      </c>
      <c r="F301" t="s">
        <v>19</v>
      </c>
      <c r="G301" t="s">
        <v>20</v>
      </c>
      <c r="H301" t="s">
        <v>21</v>
      </c>
      <c r="I301" t="s">
        <v>21</v>
      </c>
      <c r="J301" t="s">
        <v>45</v>
      </c>
      <c r="K301">
        <v>7</v>
      </c>
      <c r="L301">
        <v>6.2666666666666702</v>
      </c>
      <c r="M301" t="s">
        <v>30</v>
      </c>
      <c r="N301" t="str">
        <f>_xlfn.XLOOKUP(A301,[1]!brca_metabric_clinical_data__2[Patient ID], [1]!brca_metabric_clinical_data__2[Tumor Size])</f>
        <v>40</v>
      </c>
      <c r="O301" t="str">
        <f>_xlfn.XLOOKUP(A301,[1]!brca_metabric_clinical_data__2[Sample ID],[1]!brca_metabric_clinical_data__2[Tumor Stage])</f>
        <v>2</v>
      </c>
    </row>
    <row r="302" spans="1:15" x14ac:dyDescent="0.45">
      <c r="A302" t="s">
        <v>335</v>
      </c>
      <c r="B302">
        <v>58.72</v>
      </c>
      <c r="C302" t="s">
        <v>16</v>
      </c>
      <c r="D302" t="s">
        <v>17</v>
      </c>
      <c r="E302" t="s">
        <v>18</v>
      </c>
      <c r="F302" t="s">
        <v>19</v>
      </c>
      <c r="G302" t="s">
        <v>20</v>
      </c>
      <c r="H302" t="s">
        <v>21</v>
      </c>
      <c r="I302" t="s">
        <v>21</v>
      </c>
      <c r="J302" t="s">
        <v>45</v>
      </c>
      <c r="K302">
        <v>9</v>
      </c>
      <c r="L302">
        <v>102.066666666667</v>
      </c>
      <c r="M302" t="s">
        <v>24</v>
      </c>
      <c r="N302" t="str">
        <f>_xlfn.XLOOKUP(A302,[1]!brca_metabric_clinical_data__2[Patient ID], [1]!brca_metabric_clinical_data__2[Tumor Size])</f>
        <v>31</v>
      </c>
      <c r="O302" t="str">
        <f>_xlfn.XLOOKUP(A302,[1]!brca_metabric_clinical_data__2[Sample ID],[1]!brca_metabric_clinical_data__2[Tumor Stage])</f>
        <v>2</v>
      </c>
    </row>
    <row r="303" spans="1:15" x14ac:dyDescent="0.45">
      <c r="A303" t="s">
        <v>336</v>
      </c>
      <c r="B303">
        <v>77.92</v>
      </c>
      <c r="C303" t="s">
        <v>16</v>
      </c>
      <c r="D303" t="s">
        <v>17</v>
      </c>
      <c r="E303" t="s">
        <v>18</v>
      </c>
      <c r="F303" t="s">
        <v>19</v>
      </c>
      <c r="G303" t="s">
        <v>20</v>
      </c>
      <c r="H303" t="s">
        <v>21</v>
      </c>
      <c r="I303" t="s">
        <v>21</v>
      </c>
      <c r="J303" t="s">
        <v>27</v>
      </c>
      <c r="K303">
        <v>8</v>
      </c>
      <c r="L303">
        <v>104.3</v>
      </c>
      <c r="M303" t="s">
        <v>30</v>
      </c>
      <c r="N303" t="str">
        <f>_xlfn.XLOOKUP(A303,[1]!brca_metabric_clinical_data__2[Patient ID], [1]!brca_metabric_clinical_data__2[Tumor Size])</f>
        <v>21</v>
      </c>
      <c r="O303" t="str">
        <f>_xlfn.XLOOKUP(A303,[1]!brca_metabric_clinical_data__2[Sample ID],[1]!brca_metabric_clinical_data__2[Tumor Stage])</f>
        <v>2</v>
      </c>
    </row>
    <row r="304" spans="1:15" x14ac:dyDescent="0.45">
      <c r="A304" t="s">
        <v>337</v>
      </c>
      <c r="B304">
        <v>34.92</v>
      </c>
      <c r="C304" t="s">
        <v>16</v>
      </c>
      <c r="D304" t="s">
        <v>26</v>
      </c>
      <c r="E304" t="s">
        <v>37</v>
      </c>
      <c r="F304" t="s">
        <v>19</v>
      </c>
      <c r="G304" t="s">
        <v>21</v>
      </c>
      <c r="H304" t="s">
        <v>20</v>
      </c>
      <c r="I304" t="s">
        <v>21</v>
      </c>
      <c r="J304" t="s">
        <v>22</v>
      </c>
      <c r="K304">
        <v>10</v>
      </c>
      <c r="L304">
        <v>76.733333333333306</v>
      </c>
      <c r="M304" t="s">
        <v>24</v>
      </c>
      <c r="N304" t="str">
        <f>_xlfn.XLOOKUP(A304,[1]!brca_metabric_clinical_data__2[Patient ID], [1]!brca_metabric_clinical_data__2[Tumor Size])</f>
        <v>16</v>
      </c>
      <c r="O304" t="str">
        <f>_xlfn.XLOOKUP(A304,[1]!brca_metabric_clinical_data__2[Sample ID],[1]!brca_metabric_clinical_data__2[Tumor Stage])</f>
        <v>1</v>
      </c>
    </row>
    <row r="305" spans="1:15" x14ac:dyDescent="0.45">
      <c r="A305" t="s">
        <v>338</v>
      </c>
      <c r="B305">
        <v>73.53</v>
      </c>
      <c r="C305" t="s">
        <v>16</v>
      </c>
      <c r="D305" t="s">
        <v>17</v>
      </c>
      <c r="E305" t="s">
        <v>18</v>
      </c>
      <c r="F305" t="s">
        <v>43</v>
      </c>
      <c r="G305" t="s">
        <v>20</v>
      </c>
      <c r="H305" t="s">
        <v>21</v>
      </c>
      <c r="I305" t="s">
        <v>20</v>
      </c>
      <c r="J305" t="s">
        <v>45</v>
      </c>
      <c r="K305">
        <v>5</v>
      </c>
      <c r="L305">
        <v>93</v>
      </c>
      <c r="M305" t="s">
        <v>30</v>
      </c>
      <c r="N305" t="str">
        <f>_xlfn.XLOOKUP(A305,[1]!brca_metabric_clinical_data__2[Patient ID], [1]!brca_metabric_clinical_data__2[Tumor Size])</f>
        <v>24</v>
      </c>
      <c r="O305" t="str">
        <f>_xlfn.XLOOKUP(A305,[1]!brca_metabric_clinical_data__2[Sample ID],[1]!brca_metabric_clinical_data__2[Tumor Stage])</f>
        <v>2</v>
      </c>
    </row>
    <row r="306" spans="1:15" x14ac:dyDescent="0.45">
      <c r="A306" t="s">
        <v>339</v>
      </c>
      <c r="B306">
        <v>66.72</v>
      </c>
      <c r="C306" t="s">
        <v>16</v>
      </c>
      <c r="D306" t="s">
        <v>17</v>
      </c>
      <c r="E306" t="s">
        <v>18</v>
      </c>
      <c r="F306" t="s">
        <v>19</v>
      </c>
      <c r="G306" t="s">
        <v>20</v>
      </c>
      <c r="H306" t="s">
        <v>21</v>
      </c>
      <c r="I306" t="s">
        <v>21</v>
      </c>
      <c r="J306" t="s">
        <v>27</v>
      </c>
      <c r="K306">
        <v>8</v>
      </c>
      <c r="L306">
        <v>33.799999999999997</v>
      </c>
      <c r="M306" t="s">
        <v>30</v>
      </c>
      <c r="N306" t="str">
        <f>_xlfn.XLOOKUP(A306,[1]!brca_metabric_clinical_data__2[Patient ID], [1]!brca_metabric_clinical_data__2[Tumor Size])</f>
        <v>16</v>
      </c>
      <c r="O306" t="str">
        <f>_xlfn.XLOOKUP(A306,[1]!brca_metabric_clinical_data__2[Sample ID],[1]!brca_metabric_clinical_data__2[Tumor Stage])</f>
        <v>2</v>
      </c>
    </row>
    <row r="307" spans="1:15" x14ac:dyDescent="0.45">
      <c r="A307" t="s">
        <v>340</v>
      </c>
      <c r="B307">
        <v>71.099999999999994</v>
      </c>
      <c r="C307" t="s">
        <v>16</v>
      </c>
      <c r="D307" t="s">
        <v>17</v>
      </c>
      <c r="E307" t="s">
        <v>18</v>
      </c>
      <c r="F307" t="s">
        <v>19</v>
      </c>
      <c r="G307" t="s">
        <v>20</v>
      </c>
      <c r="H307" t="s">
        <v>21</v>
      </c>
      <c r="I307" t="s">
        <v>20</v>
      </c>
      <c r="J307" t="s">
        <v>22</v>
      </c>
      <c r="K307">
        <v>3</v>
      </c>
      <c r="L307">
        <v>138.933333333333</v>
      </c>
      <c r="M307" t="s">
        <v>24</v>
      </c>
      <c r="N307" t="str">
        <f>_xlfn.XLOOKUP(A307,[1]!brca_metabric_clinical_data__2[Patient ID], [1]!brca_metabric_clinical_data__2[Tumor Size])</f>
        <v>35</v>
      </c>
      <c r="O307" t="str">
        <f>_xlfn.XLOOKUP(A307,[1]!brca_metabric_clinical_data__2[Sample ID],[1]!brca_metabric_clinical_data__2[Tumor Stage])</f>
        <v>2</v>
      </c>
    </row>
    <row r="308" spans="1:15" x14ac:dyDescent="0.45">
      <c r="A308" t="s">
        <v>341</v>
      </c>
      <c r="B308">
        <v>44.02</v>
      </c>
      <c r="C308" t="s">
        <v>16</v>
      </c>
      <c r="D308" t="s">
        <v>26</v>
      </c>
      <c r="E308" t="s">
        <v>37</v>
      </c>
      <c r="F308" t="s">
        <v>19</v>
      </c>
      <c r="G308" t="s">
        <v>21</v>
      </c>
      <c r="H308" t="s">
        <v>20</v>
      </c>
      <c r="I308" t="s">
        <v>21</v>
      </c>
      <c r="J308" t="s">
        <v>22</v>
      </c>
      <c r="K308" t="s">
        <v>39</v>
      </c>
      <c r="L308">
        <v>9.8333333333333304</v>
      </c>
      <c r="M308" t="s">
        <v>30</v>
      </c>
      <c r="N308" t="str">
        <f>_xlfn.XLOOKUP(A308,[1]!brca_metabric_clinical_data__2[Patient ID], [1]!brca_metabric_clinical_data__2[Tumor Size])</f>
        <v>60</v>
      </c>
      <c r="O308" t="str">
        <f>_xlfn.XLOOKUP(A308,[1]!brca_metabric_clinical_data__2[Sample ID],[1]!brca_metabric_clinical_data__2[Tumor Stage])</f>
        <v>3</v>
      </c>
    </row>
    <row r="309" spans="1:15" x14ac:dyDescent="0.45">
      <c r="A309" t="s">
        <v>342</v>
      </c>
      <c r="B309">
        <v>83.17</v>
      </c>
      <c r="C309" t="s">
        <v>16</v>
      </c>
      <c r="D309" t="s">
        <v>17</v>
      </c>
      <c r="E309" t="s">
        <v>18</v>
      </c>
      <c r="F309" t="s">
        <v>19</v>
      </c>
      <c r="G309" t="s">
        <v>20</v>
      </c>
      <c r="H309" t="s">
        <v>21</v>
      </c>
      <c r="I309" t="s">
        <v>21</v>
      </c>
      <c r="J309" t="s">
        <v>27</v>
      </c>
      <c r="K309">
        <v>3</v>
      </c>
      <c r="L309">
        <v>24.4</v>
      </c>
      <c r="M309" t="s">
        <v>30</v>
      </c>
      <c r="N309" t="str">
        <f>_xlfn.XLOOKUP(A309,[1]!brca_metabric_clinical_data__2[Patient ID], [1]!brca_metabric_clinical_data__2[Tumor Size])</f>
        <v>22</v>
      </c>
      <c r="O309" t="str">
        <f>_xlfn.XLOOKUP(A309,[1]!brca_metabric_clinical_data__2[Sample ID],[1]!brca_metabric_clinical_data__2[Tumor Stage])</f>
        <v>2</v>
      </c>
    </row>
    <row r="310" spans="1:15" x14ac:dyDescent="0.45">
      <c r="A310" t="s">
        <v>343</v>
      </c>
      <c r="B310">
        <v>50.48</v>
      </c>
      <c r="C310" t="s">
        <v>16</v>
      </c>
      <c r="D310" t="s">
        <v>17</v>
      </c>
      <c r="E310" t="s">
        <v>18</v>
      </c>
      <c r="F310" t="s">
        <v>19</v>
      </c>
      <c r="G310" t="s">
        <v>21</v>
      </c>
      <c r="H310" t="s">
        <v>21</v>
      </c>
      <c r="I310" t="s">
        <v>21</v>
      </c>
      <c r="J310" t="s">
        <v>38</v>
      </c>
      <c r="K310">
        <v>3</v>
      </c>
      <c r="L310">
        <v>131.1</v>
      </c>
      <c r="M310" t="s">
        <v>24</v>
      </c>
      <c r="N310" t="str">
        <f>_xlfn.XLOOKUP(A310,[1]!brca_metabric_clinical_data__2[Patient ID], [1]!brca_metabric_clinical_data__2[Tumor Size])</f>
        <v>42</v>
      </c>
      <c r="O310" t="str">
        <f>_xlfn.XLOOKUP(A310,[1]!brca_metabric_clinical_data__2[Sample ID],[1]!brca_metabric_clinical_data__2[Tumor Stage])</f>
        <v>2</v>
      </c>
    </row>
    <row r="311" spans="1:15" x14ac:dyDescent="0.45">
      <c r="A311" t="s">
        <v>344</v>
      </c>
      <c r="B311">
        <v>81.89</v>
      </c>
      <c r="C311" t="s">
        <v>16</v>
      </c>
      <c r="D311" t="s">
        <v>17</v>
      </c>
      <c r="E311" t="s">
        <v>18</v>
      </c>
      <c r="F311" t="s">
        <v>19</v>
      </c>
      <c r="G311" t="s">
        <v>20</v>
      </c>
      <c r="H311" t="s">
        <v>21</v>
      </c>
      <c r="I311" t="s">
        <v>21</v>
      </c>
      <c r="J311" t="s">
        <v>27</v>
      </c>
      <c r="K311">
        <v>7</v>
      </c>
      <c r="L311">
        <v>116.1</v>
      </c>
      <c r="M311" t="s">
        <v>24</v>
      </c>
      <c r="N311" t="str">
        <f>_xlfn.XLOOKUP(A311,[1]!brca_metabric_clinical_data__2[Patient ID], [1]!brca_metabric_clinical_data__2[Tumor Size])</f>
        <v>21</v>
      </c>
      <c r="O311" t="str">
        <f>_xlfn.XLOOKUP(A311,[1]!brca_metabric_clinical_data__2[Sample ID],[1]!brca_metabric_clinical_data__2[Tumor Stage])</f>
        <v>2</v>
      </c>
    </row>
    <row r="312" spans="1:15" x14ac:dyDescent="0.45">
      <c r="A312" t="s">
        <v>345</v>
      </c>
      <c r="B312">
        <v>85.21</v>
      </c>
      <c r="C312" t="s">
        <v>16</v>
      </c>
      <c r="D312" t="s">
        <v>17</v>
      </c>
      <c r="E312" t="s">
        <v>18</v>
      </c>
      <c r="F312" t="s">
        <v>19</v>
      </c>
      <c r="G312" t="s">
        <v>20</v>
      </c>
      <c r="H312" t="s">
        <v>21</v>
      </c>
      <c r="I312" t="s">
        <v>21</v>
      </c>
      <c r="J312" t="s">
        <v>27</v>
      </c>
      <c r="K312">
        <v>9</v>
      </c>
      <c r="L312">
        <v>55.933333333333302</v>
      </c>
      <c r="M312" t="s">
        <v>24</v>
      </c>
      <c r="N312" t="str">
        <f>_xlfn.XLOOKUP(A312,[1]!brca_metabric_clinical_data__2[Patient ID], [1]!brca_metabric_clinical_data__2[Tumor Size])</f>
        <v>20</v>
      </c>
      <c r="O312" t="str">
        <f>_xlfn.XLOOKUP(A312,[1]!brca_metabric_clinical_data__2[Sample ID],[1]!brca_metabric_clinical_data__2[Tumor Stage])</f>
        <v>2</v>
      </c>
    </row>
    <row r="313" spans="1:15" x14ac:dyDescent="0.45">
      <c r="A313" t="s">
        <v>346</v>
      </c>
      <c r="B313">
        <v>78.86</v>
      </c>
      <c r="C313" t="s">
        <v>16</v>
      </c>
      <c r="D313" t="s">
        <v>17</v>
      </c>
      <c r="E313" t="s">
        <v>18</v>
      </c>
      <c r="F313" t="s">
        <v>43</v>
      </c>
      <c r="G313" t="s">
        <v>20</v>
      </c>
      <c r="H313" t="s">
        <v>21</v>
      </c>
      <c r="I313" t="s">
        <v>21</v>
      </c>
      <c r="J313" t="s">
        <v>29</v>
      </c>
      <c r="K313">
        <v>1</v>
      </c>
      <c r="L313">
        <v>74.466666666666697</v>
      </c>
      <c r="M313" t="s">
        <v>30</v>
      </c>
      <c r="N313" t="str">
        <f>_xlfn.XLOOKUP(A313,[1]!brca_metabric_clinical_data__2[Patient ID], [1]!brca_metabric_clinical_data__2[Tumor Size])</f>
        <v>40</v>
      </c>
      <c r="O313" t="str">
        <f>_xlfn.XLOOKUP(A313,[1]!brca_metabric_clinical_data__2[Sample ID],[1]!brca_metabric_clinical_data__2[Tumor Stage])</f>
        <v>2</v>
      </c>
    </row>
    <row r="314" spans="1:15" x14ac:dyDescent="0.45">
      <c r="A314" t="s">
        <v>347</v>
      </c>
      <c r="B314">
        <v>63.61</v>
      </c>
      <c r="C314" t="s">
        <v>16</v>
      </c>
      <c r="D314" t="s">
        <v>17</v>
      </c>
      <c r="E314" t="s">
        <v>18</v>
      </c>
      <c r="F314" t="s">
        <v>19</v>
      </c>
      <c r="G314" t="s">
        <v>20</v>
      </c>
      <c r="H314" t="s">
        <v>21</v>
      </c>
      <c r="I314" t="s">
        <v>21</v>
      </c>
      <c r="J314" t="s">
        <v>27</v>
      </c>
      <c r="K314">
        <v>3</v>
      </c>
      <c r="L314">
        <v>85.133333333333297</v>
      </c>
      <c r="M314" t="s">
        <v>24</v>
      </c>
      <c r="N314" t="str">
        <f>_xlfn.XLOOKUP(A314,[1]!brca_metabric_clinical_data__2[Patient ID], [1]!brca_metabric_clinical_data__2[Tumor Size])</f>
        <v>57</v>
      </c>
      <c r="O314" t="str">
        <f>_xlfn.XLOOKUP(A314,[1]!brca_metabric_clinical_data__2[Sample ID],[1]!brca_metabric_clinical_data__2[Tumor Stage])</f>
        <v>2</v>
      </c>
    </row>
    <row r="315" spans="1:15" x14ac:dyDescent="0.45">
      <c r="A315" t="s">
        <v>348</v>
      </c>
      <c r="B315">
        <v>60.07</v>
      </c>
      <c r="C315" t="s">
        <v>16</v>
      </c>
      <c r="D315" t="s">
        <v>17</v>
      </c>
      <c r="E315" t="s">
        <v>18</v>
      </c>
      <c r="F315" t="s">
        <v>19</v>
      </c>
      <c r="G315" t="s">
        <v>20</v>
      </c>
      <c r="H315" t="s">
        <v>21</v>
      </c>
      <c r="I315" t="s">
        <v>20</v>
      </c>
      <c r="J315" t="s">
        <v>22</v>
      </c>
      <c r="K315" t="s">
        <v>23</v>
      </c>
      <c r="L315">
        <v>105.8</v>
      </c>
      <c r="M315" t="s">
        <v>24</v>
      </c>
      <c r="N315" t="str">
        <f>_xlfn.XLOOKUP(A315,[1]!brca_metabric_clinical_data__2[Patient ID], [1]!brca_metabric_clinical_data__2[Tumor Size])</f>
        <v>14</v>
      </c>
      <c r="O315" t="str">
        <f>_xlfn.XLOOKUP(A315,[1]!brca_metabric_clinical_data__2[Sample ID],[1]!brca_metabric_clinical_data__2[Tumor Stage])</f>
        <v>2</v>
      </c>
    </row>
    <row r="316" spans="1:15" x14ac:dyDescent="0.45">
      <c r="A316" t="s">
        <v>349</v>
      </c>
      <c r="B316">
        <v>69.790000000000006</v>
      </c>
      <c r="C316" t="s">
        <v>16</v>
      </c>
      <c r="D316" t="s">
        <v>17</v>
      </c>
      <c r="E316" t="s">
        <v>18</v>
      </c>
      <c r="F316" t="s">
        <v>43</v>
      </c>
      <c r="G316" t="s">
        <v>21</v>
      </c>
      <c r="H316" t="s">
        <v>21</v>
      </c>
      <c r="I316" t="s">
        <v>20</v>
      </c>
      <c r="J316" t="s">
        <v>29</v>
      </c>
      <c r="K316">
        <v>5</v>
      </c>
      <c r="L316">
        <v>45.5</v>
      </c>
      <c r="M316" t="s">
        <v>30</v>
      </c>
      <c r="N316" t="str">
        <f>_xlfn.XLOOKUP(A316,[1]!brca_metabric_clinical_data__2[Patient ID], [1]!brca_metabric_clinical_data__2[Tumor Size])</f>
        <v>20</v>
      </c>
      <c r="O316" t="str">
        <f>_xlfn.XLOOKUP(A316,[1]!brca_metabric_clinical_data__2[Sample ID],[1]!brca_metabric_clinical_data__2[Tumor Stage])</f>
        <v>2</v>
      </c>
    </row>
    <row r="317" spans="1:15" x14ac:dyDescent="0.45">
      <c r="A317" t="s">
        <v>350</v>
      </c>
      <c r="B317">
        <v>68.290000000000006</v>
      </c>
      <c r="C317" t="s">
        <v>16</v>
      </c>
      <c r="D317" t="s">
        <v>17</v>
      </c>
      <c r="E317" t="s">
        <v>18</v>
      </c>
      <c r="F317" t="s">
        <v>19</v>
      </c>
      <c r="G317" t="s">
        <v>20</v>
      </c>
      <c r="H317" t="s">
        <v>21</v>
      </c>
      <c r="I317" t="s">
        <v>20</v>
      </c>
      <c r="J317" t="s">
        <v>22</v>
      </c>
      <c r="K317" t="s">
        <v>23</v>
      </c>
      <c r="L317">
        <v>110.533333333333</v>
      </c>
      <c r="M317" t="s">
        <v>24</v>
      </c>
      <c r="N317" t="str">
        <f>_xlfn.XLOOKUP(A317,[1]!brca_metabric_clinical_data__2[Patient ID], [1]!brca_metabric_clinical_data__2[Tumor Size])</f>
        <v>4</v>
      </c>
      <c r="O317" t="str">
        <f>_xlfn.XLOOKUP(A317,[1]!brca_metabric_clinical_data__2[Sample ID],[1]!brca_metabric_clinical_data__2[Tumor Stage])</f>
        <v>1</v>
      </c>
    </row>
    <row r="318" spans="1:15" x14ac:dyDescent="0.45">
      <c r="A318" t="s">
        <v>351</v>
      </c>
      <c r="B318">
        <v>88.29</v>
      </c>
      <c r="C318" t="s">
        <v>16</v>
      </c>
      <c r="D318" t="s">
        <v>17</v>
      </c>
      <c r="E318" t="s">
        <v>37</v>
      </c>
      <c r="F318" t="s">
        <v>19</v>
      </c>
      <c r="G318" t="s">
        <v>20</v>
      </c>
      <c r="H318" t="s">
        <v>20</v>
      </c>
      <c r="I318" t="s">
        <v>21</v>
      </c>
      <c r="J318" t="s">
        <v>45</v>
      </c>
      <c r="K318" t="s">
        <v>39</v>
      </c>
      <c r="L318">
        <v>75.5</v>
      </c>
      <c r="M318" t="s">
        <v>30</v>
      </c>
      <c r="N318" t="str">
        <f>_xlfn.XLOOKUP(A318,[1]!brca_metabric_clinical_data__2[Patient ID], [1]!brca_metabric_clinical_data__2[Tumor Size])</f>
        <v>13</v>
      </c>
      <c r="O318" t="str">
        <f>_xlfn.XLOOKUP(A318,[1]!brca_metabric_clinical_data__2[Sample ID],[1]!brca_metabric_clinical_data__2[Tumor Stage])</f>
        <v>1</v>
      </c>
    </row>
    <row r="319" spans="1:15" x14ac:dyDescent="0.45">
      <c r="A319" t="s">
        <v>352</v>
      </c>
      <c r="B319">
        <v>82.17</v>
      </c>
      <c r="C319" t="s">
        <v>16</v>
      </c>
      <c r="D319" t="s">
        <v>17</v>
      </c>
      <c r="E319" t="s">
        <v>18</v>
      </c>
      <c r="F319" t="s">
        <v>35</v>
      </c>
      <c r="G319" t="s">
        <v>20</v>
      </c>
      <c r="H319" t="s">
        <v>21</v>
      </c>
      <c r="I319" t="s">
        <v>21</v>
      </c>
      <c r="J319" t="s">
        <v>29</v>
      </c>
      <c r="K319" t="s">
        <v>23</v>
      </c>
      <c r="L319">
        <v>90.566666666666706</v>
      </c>
      <c r="M319" t="s">
        <v>24</v>
      </c>
      <c r="N319" t="str">
        <f>_xlfn.XLOOKUP(A319,[1]!brca_metabric_clinical_data__2[Patient ID], [1]!brca_metabric_clinical_data__2[Tumor Size])</f>
        <v>15</v>
      </c>
      <c r="O319" t="str">
        <f>_xlfn.XLOOKUP(A319,[1]!brca_metabric_clinical_data__2[Sample ID],[1]!brca_metabric_clinical_data__2[Tumor Stage])</f>
        <v>2</v>
      </c>
    </row>
    <row r="320" spans="1:15" x14ac:dyDescent="0.45">
      <c r="A320" t="s">
        <v>353</v>
      </c>
      <c r="B320">
        <v>57.41</v>
      </c>
      <c r="C320" t="s">
        <v>16</v>
      </c>
      <c r="D320" t="s">
        <v>17</v>
      </c>
      <c r="E320" t="s">
        <v>37</v>
      </c>
      <c r="F320" t="s">
        <v>43</v>
      </c>
      <c r="G320" t="s">
        <v>21</v>
      </c>
      <c r="H320" t="s">
        <v>20</v>
      </c>
      <c r="I320" t="s">
        <v>21</v>
      </c>
      <c r="J320" t="s">
        <v>45</v>
      </c>
      <c r="K320">
        <v>5</v>
      </c>
      <c r="L320">
        <v>135.166666666667</v>
      </c>
      <c r="M320" t="s">
        <v>24</v>
      </c>
      <c r="N320" t="str">
        <f>_xlfn.XLOOKUP(A320,[1]!brca_metabric_clinical_data__2[Patient ID], [1]!brca_metabric_clinical_data__2[Tumor Size])</f>
        <v>25</v>
      </c>
      <c r="O320" t="str">
        <f>_xlfn.XLOOKUP(A320,[1]!brca_metabric_clinical_data__2[Sample ID],[1]!brca_metabric_clinical_data__2[Tumor Stage])</f>
        <v>2</v>
      </c>
    </row>
    <row r="321" spans="1:15" x14ac:dyDescent="0.45">
      <c r="A321" t="s">
        <v>354</v>
      </c>
      <c r="B321">
        <v>50.32</v>
      </c>
      <c r="C321" t="s">
        <v>16</v>
      </c>
      <c r="D321" t="s">
        <v>17</v>
      </c>
      <c r="E321" t="s">
        <v>18</v>
      </c>
      <c r="F321" t="s">
        <v>19</v>
      </c>
      <c r="G321" t="s">
        <v>20</v>
      </c>
      <c r="H321" t="s">
        <v>21</v>
      </c>
      <c r="I321" t="s">
        <v>20</v>
      </c>
      <c r="J321" t="s">
        <v>29</v>
      </c>
      <c r="K321">
        <v>8</v>
      </c>
      <c r="L321">
        <v>112.133333333333</v>
      </c>
      <c r="M321" t="s">
        <v>24</v>
      </c>
      <c r="N321" t="str">
        <f>_xlfn.XLOOKUP(A321,[1]!brca_metabric_clinical_data__2[Patient ID], [1]!brca_metabric_clinical_data__2[Tumor Size])</f>
        <v>15</v>
      </c>
      <c r="O321" t="str">
        <f>_xlfn.XLOOKUP(A321,[1]!brca_metabric_clinical_data__2[Sample ID],[1]!brca_metabric_clinical_data__2[Tumor Stage])</f>
        <v>1</v>
      </c>
    </row>
    <row r="322" spans="1:15" x14ac:dyDescent="0.45">
      <c r="A322" t="s">
        <v>355</v>
      </c>
      <c r="B322">
        <v>56.73</v>
      </c>
      <c r="C322" t="s">
        <v>16</v>
      </c>
      <c r="D322" t="s">
        <v>17</v>
      </c>
      <c r="E322" t="s">
        <v>18</v>
      </c>
      <c r="F322" t="s">
        <v>19</v>
      </c>
      <c r="G322" t="s">
        <v>21</v>
      </c>
      <c r="H322" t="s">
        <v>21</v>
      </c>
      <c r="I322" t="s">
        <v>21</v>
      </c>
      <c r="J322" t="s">
        <v>29</v>
      </c>
      <c r="K322">
        <v>1</v>
      </c>
      <c r="L322">
        <v>100.833333333333</v>
      </c>
      <c r="M322" t="s">
        <v>24</v>
      </c>
      <c r="N322" t="str">
        <f>_xlfn.XLOOKUP(A322,[1]!brca_metabric_clinical_data__2[Patient ID], [1]!brca_metabric_clinical_data__2[Tumor Size])</f>
        <v>26</v>
      </c>
      <c r="O322" t="str">
        <f>_xlfn.XLOOKUP(A322,[1]!brca_metabric_clinical_data__2[Sample ID],[1]!brca_metabric_clinical_data__2[Tumor Stage])</f>
        <v>2</v>
      </c>
    </row>
    <row r="323" spans="1:15" x14ac:dyDescent="0.45">
      <c r="A323" t="s">
        <v>356</v>
      </c>
      <c r="B323">
        <v>71.58</v>
      </c>
      <c r="C323" t="s">
        <v>16</v>
      </c>
      <c r="D323" t="s">
        <v>17</v>
      </c>
      <c r="E323" t="s">
        <v>18</v>
      </c>
      <c r="F323" t="s">
        <v>19</v>
      </c>
      <c r="G323" t="s">
        <v>20</v>
      </c>
      <c r="H323" t="s">
        <v>21</v>
      </c>
      <c r="I323" t="s">
        <v>20</v>
      </c>
      <c r="J323" t="s">
        <v>22</v>
      </c>
      <c r="K323" t="s">
        <v>23</v>
      </c>
      <c r="L323">
        <v>103.466666666667</v>
      </c>
      <c r="M323" t="s">
        <v>30</v>
      </c>
      <c r="N323" t="str">
        <f>_xlfn.XLOOKUP(A323,[1]!brca_metabric_clinical_data__2[Patient ID], [1]!brca_metabric_clinical_data__2[Tumor Size])</f>
        <v>17</v>
      </c>
      <c r="O323" t="str">
        <f>_xlfn.XLOOKUP(A323,[1]!brca_metabric_clinical_data__2[Sample ID],[1]!brca_metabric_clinical_data__2[Tumor Stage])</f>
        <v>2</v>
      </c>
    </row>
    <row r="324" spans="1:15" x14ac:dyDescent="0.45">
      <c r="A324" t="s">
        <v>357</v>
      </c>
      <c r="B324">
        <v>61.67</v>
      </c>
      <c r="C324" t="s">
        <v>16</v>
      </c>
      <c r="D324" t="s">
        <v>17</v>
      </c>
      <c r="E324" t="s">
        <v>18</v>
      </c>
      <c r="F324" t="s">
        <v>19</v>
      </c>
      <c r="G324" t="s">
        <v>20</v>
      </c>
      <c r="H324" t="s">
        <v>21</v>
      </c>
      <c r="I324" t="s">
        <v>21</v>
      </c>
      <c r="J324" t="s">
        <v>22</v>
      </c>
      <c r="K324">
        <v>7</v>
      </c>
      <c r="L324">
        <v>45.033333333333303</v>
      </c>
      <c r="M324" t="s">
        <v>24</v>
      </c>
      <c r="N324" t="str">
        <f>_xlfn.XLOOKUP(A324,[1]!brca_metabric_clinical_data__2[Patient ID], [1]!brca_metabric_clinical_data__2[Tumor Size])</f>
        <v>26</v>
      </c>
      <c r="O324" t="str">
        <f>_xlfn.XLOOKUP(A324,[1]!brca_metabric_clinical_data__2[Sample ID],[1]!brca_metabric_clinical_data__2[Tumor Stage])</f>
        <v>2</v>
      </c>
    </row>
    <row r="325" spans="1:15" x14ac:dyDescent="0.45">
      <c r="A325" t="s">
        <v>358</v>
      </c>
      <c r="B325">
        <v>49.87</v>
      </c>
      <c r="C325" t="s">
        <v>16</v>
      </c>
      <c r="D325" t="s">
        <v>26</v>
      </c>
      <c r="E325" t="s">
        <v>18</v>
      </c>
      <c r="F325" t="s">
        <v>19</v>
      </c>
      <c r="G325" t="s">
        <v>20</v>
      </c>
      <c r="H325" t="s">
        <v>21</v>
      </c>
      <c r="I325" t="s">
        <v>21</v>
      </c>
      <c r="J325" t="s">
        <v>29</v>
      </c>
      <c r="K325">
        <v>8</v>
      </c>
      <c r="L325">
        <v>55.466666666666697</v>
      </c>
      <c r="M325" t="s">
        <v>30</v>
      </c>
      <c r="N325" t="str">
        <f>_xlfn.XLOOKUP(A325,[1]!brca_metabric_clinical_data__2[Patient ID], [1]!brca_metabric_clinical_data__2[Tumor Size])</f>
        <v>33</v>
      </c>
      <c r="O325" t="str">
        <f>_xlfn.XLOOKUP(A325,[1]!brca_metabric_clinical_data__2[Sample ID],[1]!brca_metabric_clinical_data__2[Tumor Stage])</f>
        <v>4</v>
      </c>
    </row>
    <row r="326" spans="1:15" x14ac:dyDescent="0.45">
      <c r="A326" t="s">
        <v>359</v>
      </c>
      <c r="B326">
        <v>40.07</v>
      </c>
      <c r="C326" t="s">
        <v>16</v>
      </c>
      <c r="D326" t="s">
        <v>26</v>
      </c>
      <c r="E326" t="s">
        <v>18</v>
      </c>
      <c r="F326" t="s">
        <v>19</v>
      </c>
      <c r="G326" t="s">
        <v>21</v>
      </c>
      <c r="H326" t="s">
        <v>21</v>
      </c>
      <c r="I326" t="s">
        <v>21</v>
      </c>
      <c r="J326" t="s">
        <v>27</v>
      </c>
      <c r="K326">
        <v>7</v>
      </c>
      <c r="L326">
        <v>132.53333333333299</v>
      </c>
      <c r="M326" t="s">
        <v>24</v>
      </c>
      <c r="N326" t="str">
        <f>_xlfn.XLOOKUP(A326,[1]!brca_metabric_clinical_data__2[Patient ID], [1]!brca_metabric_clinical_data__2[Tumor Size])</f>
        <v>23</v>
      </c>
      <c r="O326" t="str">
        <f>_xlfn.XLOOKUP(A326,[1]!brca_metabric_clinical_data__2[Sample ID],[1]!brca_metabric_clinical_data__2[Tumor Stage])</f>
        <v>2</v>
      </c>
    </row>
    <row r="327" spans="1:15" x14ac:dyDescent="0.45">
      <c r="A327" t="s">
        <v>360</v>
      </c>
      <c r="B327">
        <v>56.96</v>
      </c>
      <c r="C327" t="s">
        <v>16</v>
      </c>
      <c r="D327" t="s">
        <v>17</v>
      </c>
      <c r="E327" t="s">
        <v>37</v>
      </c>
      <c r="F327" t="s">
        <v>19</v>
      </c>
      <c r="G327" t="s">
        <v>21</v>
      </c>
      <c r="H327" t="s">
        <v>20</v>
      </c>
      <c r="I327" t="s">
        <v>20</v>
      </c>
      <c r="J327" t="s">
        <v>22</v>
      </c>
      <c r="K327">
        <v>10</v>
      </c>
      <c r="L327">
        <v>72.266666666666694</v>
      </c>
      <c r="M327" t="s">
        <v>24</v>
      </c>
      <c r="N327" t="str">
        <f>_xlfn.XLOOKUP(A327,[1]!brca_metabric_clinical_data__2[Patient ID], [1]!brca_metabric_clinical_data__2[Tumor Size])</f>
        <v>24</v>
      </c>
      <c r="O327" t="str">
        <f>_xlfn.XLOOKUP(A327,[1]!brca_metabric_clinical_data__2[Sample ID],[1]!brca_metabric_clinical_data__2[Tumor Stage])</f>
        <v>2</v>
      </c>
    </row>
    <row r="328" spans="1:15" x14ac:dyDescent="0.45">
      <c r="A328" t="s">
        <v>361</v>
      </c>
      <c r="B328">
        <v>59.45</v>
      </c>
      <c r="C328" t="s">
        <v>16</v>
      </c>
      <c r="D328" t="s">
        <v>17</v>
      </c>
      <c r="E328" t="s">
        <v>18</v>
      </c>
      <c r="F328" t="s">
        <v>43</v>
      </c>
      <c r="G328" t="s">
        <v>21</v>
      </c>
      <c r="H328" t="s">
        <v>21</v>
      </c>
      <c r="I328" t="s">
        <v>21</v>
      </c>
      <c r="J328" t="s">
        <v>29</v>
      </c>
      <c r="K328">
        <v>1</v>
      </c>
      <c r="L328">
        <v>29.233333333333299</v>
      </c>
      <c r="M328" t="s">
        <v>30</v>
      </c>
      <c r="N328" t="str">
        <f>_xlfn.XLOOKUP(A328,[1]!brca_metabric_clinical_data__2[Patient ID], [1]!brca_metabric_clinical_data__2[Tumor Size])</f>
        <v>13</v>
      </c>
      <c r="O328" t="str">
        <f>_xlfn.XLOOKUP(A328,[1]!brca_metabric_clinical_data__2[Sample ID],[1]!brca_metabric_clinical_data__2[Tumor Stage])</f>
        <v>2</v>
      </c>
    </row>
    <row r="329" spans="1:15" x14ac:dyDescent="0.45">
      <c r="A329" t="s">
        <v>362</v>
      </c>
      <c r="B329">
        <v>54.38</v>
      </c>
      <c r="C329" t="s">
        <v>16</v>
      </c>
      <c r="D329" t="s">
        <v>17</v>
      </c>
      <c r="E329" t="s">
        <v>18</v>
      </c>
      <c r="F329" t="s">
        <v>19</v>
      </c>
      <c r="G329" t="s">
        <v>21</v>
      </c>
      <c r="H329" t="s">
        <v>21</v>
      </c>
      <c r="I329" t="s">
        <v>21</v>
      </c>
      <c r="J329" t="s">
        <v>27</v>
      </c>
      <c r="K329">
        <v>3</v>
      </c>
      <c r="L329">
        <v>112.566666666667</v>
      </c>
      <c r="M329" t="s">
        <v>24</v>
      </c>
      <c r="N329" t="str">
        <f>_xlfn.XLOOKUP(A329,[1]!brca_metabric_clinical_data__2[Patient ID], [1]!brca_metabric_clinical_data__2[Tumor Size])</f>
        <v>35</v>
      </c>
      <c r="O329" t="str">
        <f>_xlfn.XLOOKUP(A329,[1]!brca_metabric_clinical_data__2[Sample ID],[1]!brca_metabric_clinical_data__2[Tumor Stage])</f>
        <v>2</v>
      </c>
    </row>
    <row r="330" spans="1:15" x14ac:dyDescent="0.45">
      <c r="A330" t="s">
        <v>363</v>
      </c>
      <c r="B330">
        <v>63.2</v>
      </c>
      <c r="C330" t="s">
        <v>16</v>
      </c>
      <c r="D330" t="s">
        <v>17</v>
      </c>
      <c r="E330" t="s">
        <v>18</v>
      </c>
      <c r="F330" t="s">
        <v>19</v>
      </c>
      <c r="G330" t="s">
        <v>20</v>
      </c>
      <c r="H330" t="s">
        <v>21</v>
      </c>
      <c r="I330" t="s">
        <v>20</v>
      </c>
      <c r="J330" t="s">
        <v>27</v>
      </c>
      <c r="K330">
        <v>8</v>
      </c>
      <c r="L330">
        <v>50.066666666666698</v>
      </c>
      <c r="M330" t="s">
        <v>24</v>
      </c>
      <c r="N330" t="str">
        <f>_xlfn.XLOOKUP(A330,[1]!brca_metabric_clinical_data__2[Patient ID], [1]!brca_metabric_clinical_data__2[Tumor Size])</f>
        <v>16</v>
      </c>
      <c r="O330" t="str">
        <f>_xlfn.XLOOKUP(A330,[1]!brca_metabric_clinical_data__2[Sample ID],[1]!brca_metabric_clinical_data__2[Tumor Stage])</f>
        <v>1</v>
      </c>
    </row>
    <row r="331" spans="1:15" x14ac:dyDescent="0.45">
      <c r="A331" t="s">
        <v>364</v>
      </c>
      <c r="B331">
        <v>54.43</v>
      </c>
      <c r="C331" t="s">
        <v>16</v>
      </c>
      <c r="D331" t="s">
        <v>17</v>
      </c>
      <c r="E331" t="s">
        <v>18</v>
      </c>
      <c r="F331" t="s">
        <v>43</v>
      </c>
      <c r="G331" t="s">
        <v>20</v>
      </c>
      <c r="H331" t="s">
        <v>21</v>
      </c>
      <c r="I331" t="s">
        <v>21</v>
      </c>
      <c r="J331" t="s">
        <v>29</v>
      </c>
      <c r="K331">
        <v>9</v>
      </c>
      <c r="L331">
        <v>62.8</v>
      </c>
      <c r="M331" t="s">
        <v>24</v>
      </c>
      <c r="N331" t="str">
        <f>_xlfn.XLOOKUP(A331,[1]!brca_metabric_clinical_data__2[Patient ID], [1]!brca_metabric_clinical_data__2[Tumor Size])</f>
        <v>23</v>
      </c>
      <c r="O331" t="str">
        <f>_xlfn.XLOOKUP(A331,[1]!brca_metabric_clinical_data__2[Sample ID],[1]!brca_metabric_clinical_data__2[Tumor Stage])</f>
        <v>2</v>
      </c>
    </row>
    <row r="332" spans="1:15" x14ac:dyDescent="0.45">
      <c r="A332" t="s">
        <v>365</v>
      </c>
      <c r="B332">
        <v>61.11</v>
      </c>
      <c r="C332" t="s">
        <v>16</v>
      </c>
      <c r="D332" t="s">
        <v>17</v>
      </c>
      <c r="E332" t="s">
        <v>18</v>
      </c>
      <c r="F332" t="s">
        <v>35</v>
      </c>
      <c r="G332" t="s">
        <v>21</v>
      </c>
      <c r="H332" t="s">
        <v>21</v>
      </c>
      <c r="I332" t="s">
        <v>21</v>
      </c>
      <c r="J332" t="s">
        <v>45</v>
      </c>
      <c r="K332">
        <v>2</v>
      </c>
      <c r="L332">
        <v>43.133333333333297</v>
      </c>
      <c r="M332" t="s">
        <v>30</v>
      </c>
      <c r="N332" t="str">
        <f>_xlfn.XLOOKUP(A332,[1]!brca_metabric_clinical_data__2[Patient ID], [1]!brca_metabric_clinical_data__2[Tumor Size])</f>
        <v>100</v>
      </c>
      <c r="O332" t="str">
        <f>_xlfn.XLOOKUP(A332,[1]!brca_metabric_clinical_data__2[Sample ID],[1]!brca_metabric_clinical_data__2[Tumor Stage])</f>
        <v>3</v>
      </c>
    </row>
    <row r="333" spans="1:15" x14ac:dyDescent="0.45">
      <c r="A333" t="s">
        <v>366</v>
      </c>
      <c r="B333">
        <v>90.02</v>
      </c>
      <c r="C333" t="s">
        <v>16</v>
      </c>
      <c r="D333" t="s">
        <v>17</v>
      </c>
      <c r="E333" t="s">
        <v>18</v>
      </c>
      <c r="F333" t="s">
        <v>19</v>
      </c>
      <c r="G333" t="s">
        <v>20</v>
      </c>
      <c r="H333" t="s">
        <v>21</v>
      </c>
      <c r="I333" t="s">
        <v>21</v>
      </c>
      <c r="J333" t="s">
        <v>27</v>
      </c>
      <c r="K333">
        <v>3</v>
      </c>
      <c r="L333">
        <v>46.8333333333333</v>
      </c>
      <c r="M333" t="s">
        <v>30</v>
      </c>
      <c r="N333" t="str">
        <f>_xlfn.XLOOKUP(A333,[1]!brca_metabric_clinical_data__2[Patient ID], [1]!brca_metabric_clinical_data__2[Tumor Size])</f>
        <v>20</v>
      </c>
      <c r="O333" t="str">
        <f>_xlfn.XLOOKUP(A333,[1]!brca_metabric_clinical_data__2[Sample ID],[1]!brca_metabric_clinical_data__2[Tumor Stage])</f>
        <v>1</v>
      </c>
    </row>
    <row r="334" spans="1:15" x14ac:dyDescent="0.45">
      <c r="A334" t="s">
        <v>367</v>
      </c>
      <c r="B334">
        <v>56.84</v>
      </c>
      <c r="C334" t="s">
        <v>16</v>
      </c>
      <c r="D334" t="s">
        <v>17</v>
      </c>
      <c r="E334" t="s">
        <v>18</v>
      </c>
      <c r="F334" t="s">
        <v>35</v>
      </c>
      <c r="G334" t="s">
        <v>20</v>
      </c>
      <c r="H334" t="s">
        <v>21</v>
      </c>
      <c r="I334" t="s">
        <v>21</v>
      </c>
      <c r="J334" t="s">
        <v>29</v>
      </c>
      <c r="K334">
        <v>10</v>
      </c>
      <c r="L334">
        <v>99.3333333333333</v>
      </c>
      <c r="M334" t="s">
        <v>24</v>
      </c>
      <c r="N334" t="str">
        <f>_xlfn.XLOOKUP(A334,[1]!brca_metabric_clinical_data__2[Patient ID], [1]!brca_metabric_clinical_data__2[Tumor Size])</f>
        <v>18</v>
      </c>
      <c r="O334" t="str">
        <f>_xlfn.XLOOKUP(A334,[1]!brca_metabric_clinical_data__2[Sample ID],[1]!brca_metabric_clinical_data__2[Tumor Stage])</f>
        <v>1</v>
      </c>
    </row>
    <row r="335" spans="1:15" x14ac:dyDescent="0.45">
      <c r="A335" t="s">
        <v>368</v>
      </c>
      <c r="B335">
        <v>49.28</v>
      </c>
      <c r="C335" t="s">
        <v>16</v>
      </c>
      <c r="D335" t="s">
        <v>26</v>
      </c>
      <c r="E335" t="s">
        <v>18</v>
      </c>
      <c r="F335" t="s">
        <v>19</v>
      </c>
      <c r="G335" t="s">
        <v>21</v>
      </c>
      <c r="H335" t="s">
        <v>21</v>
      </c>
      <c r="I335" t="s">
        <v>21</v>
      </c>
      <c r="J335" t="s">
        <v>38</v>
      </c>
      <c r="K335" t="s">
        <v>23</v>
      </c>
      <c r="L335">
        <v>134.5</v>
      </c>
      <c r="M335" t="s">
        <v>24</v>
      </c>
      <c r="N335" t="str">
        <f>_xlfn.XLOOKUP(A335,[1]!brca_metabric_clinical_data__2[Patient ID], [1]!brca_metabric_clinical_data__2[Tumor Size])</f>
        <v>50</v>
      </c>
      <c r="O335" t="str">
        <f>_xlfn.XLOOKUP(A335,[1]!brca_metabric_clinical_data__2[Sample ID],[1]!brca_metabric_clinical_data__2[Tumor Stage])</f>
        <v>2</v>
      </c>
    </row>
    <row r="336" spans="1:15" x14ac:dyDescent="0.45">
      <c r="A336" t="s">
        <v>369</v>
      </c>
      <c r="B336">
        <v>85.09</v>
      </c>
      <c r="C336" t="s">
        <v>16</v>
      </c>
      <c r="D336" t="s">
        <v>17</v>
      </c>
      <c r="E336" t="s">
        <v>18</v>
      </c>
      <c r="F336" t="s">
        <v>43</v>
      </c>
      <c r="G336" t="s">
        <v>20</v>
      </c>
      <c r="H336" t="s">
        <v>21</v>
      </c>
      <c r="I336" t="s">
        <v>21</v>
      </c>
      <c r="J336" t="s">
        <v>29</v>
      </c>
      <c r="K336">
        <v>6</v>
      </c>
      <c r="L336">
        <v>35.6</v>
      </c>
      <c r="M336" t="s">
        <v>30</v>
      </c>
      <c r="N336" t="str">
        <f>_xlfn.XLOOKUP(A336,[1]!brca_metabric_clinical_data__2[Patient ID], [1]!brca_metabric_clinical_data__2[Tumor Size])</f>
        <v>34</v>
      </c>
      <c r="O336" t="str">
        <f>_xlfn.XLOOKUP(A336,[1]!brca_metabric_clinical_data__2[Sample ID],[1]!brca_metabric_clinical_data__2[Tumor Stage])</f>
        <v>3</v>
      </c>
    </row>
    <row r="337" spans="1:15" x14ac:dyDescent="0.45">
      <c r="A337" t="s">
        <v>370</v>
      </c>
      <c r="B337">
        <v>81.44</v>
      </c>
      <c r="C337" t="s">
        <v>16</v>
      </c>
      <c r="D337" t="s">
        <v>17</v>
      </c>
      <c r="E337" t="s">
        <v>18</v>
      </c>
      <c r="F337" t="s">
        <v>19</v>
      </c>
      <c r="G337" t="s">
        <v>20</v>
      </c>
      <c r="H337" t="s">
        <v>21</v>
      </c>
      <c r="I337" t="s">
        <v>21</v>
      </c>
      <c r="J337" t="s">
        <v>22</v>
      </c>
      <c r="K337" t="s">
        <v>23</v>
      </c>
      <c r="L337">
        <v>114</v>
      </c>
      <c r="M337" t="s">
        <v>30</v>
      </c>
      <c r="N337" t="str">
        <f>_xlfn.XLOOKUP(A337,[1]!brca_metabric_clinical_data__2[Patient ID], [1]!brca_metabric_clinical_data__2[Tumor Size])</f>
        <v>22</v>
      </c>
      <c r="O337" t="str">
        <f>_xlfn.XLOOKUP(A337,[1]!brca_metabric_clinical_data__2[Sample ID],[1]!brca_metabric_clinical_data__2[Tumor Stage])</f>
        <v>2</v>
      </c>
    </row>
    <row r="338" spans="1:15" x14ac:dyDescent="0.45">
      <c r="A338" t="s">
        <v>371</v>
      </c>
      <c r="B338">
        <v>60.5</v>
      </c>
      <c r="C338" t="s">
        <v>16</v>
      </c>
      <c r="D338" t="s">
        <v>17</v>
      </c>
      <c r="E338" t="s">
        <v>18</v>
      </c>
      <c r="F338" t="s">
        <v>43</v>
      </c>
      <c r="G338" t="s">
        <v>20</v>
      </c>
      <c r="H338" t="s">
        <v>21</v>
      </c>
      <c r="I338" t="s">
        <v>21</v>
      </c>
      <c r="J338" t="s">
        <v>22</v>
      </c>
      <c r="K338">
        <v>5</v>
      </c>
      <c r="L338">
        <v>132.76666666666699</v>
      </c>
      <c r="M338" t="s">
        <v>24</v>
      </c>
      <c r="N338" t="str">
        <f>_xlfn.XLOOKUP(A338,[1]!brca_metabric_clinical_data__2[Patient ID], [1]!brca_metabric_clinical_data__2[Tumor Size])</f>
        <v>16</v>
      </c>
      <c r="O338" t="str">
        <f>_xlfn.XLOOKUP(A338,[1]!brca_metabric_clinical_data__2[Sample ID],[1]!brca_metabric_clinical_data__2[Tumor Stage])</f>
        <v>1</v>
      </c>
    </row>
    <row r="339" spans="1:15" x14ac:dyDescent="0.45">
      <c r="A339" t="s">
        <v>372</v>
      </c>
      <c r="B339">
        <v>60.48</v>
      </c>
      <c r="C339" t="s">
        <v>16</v>
      </c>
      <c r="D339" t="s">
        <v>17</v>
      </c>
      <c r="E339" t="s">
        <v>18</v>
      </c>
      <c r="F339" t="s">
        <v>19</v>
      </c>
      <c r="G339" t="s">
        <v>20</v>
      </c>
      <c r="H339" t="s">
        <v>21</v>
      </c>
      <c r="I339" t="s">
        <v>21</v>
      </c>
      <c r="J339" t="s">
        <v>27</v>
      </c>
      <c r="K339" t="s">
        <v>23</v>
      </c>
      <c r="L339">
        <v>120.566666666667</v>
      </c>
      <c r="M339" t="s">
        <v>30</v>
      </c>
      <c r="N339" t="str">
        <f>_xlfn.XLOOKUP(A339,[1]!brca_metabric_clinical_data__2[Patient ID], [1]!brca_metabric_clinical_data__2[Tumor Size])</f>
        <v>21</v>
      </c>
      <c r="O339" t="str">
        <f>_xlfn.XLOOKUP(A339,[1]!brca_metabric_clinical_data__2[Sample ID],[1]!brca_metabric_clinical_data__2[Tumor Stage])</f>
        <v>1</v>
      </c>
    </row>
    <row r="340" spans="1:15" x14ac:dyDescent="0.45">
      <c r="A340" t="s">
        <v>373</v>
      </c>
      <c r="B340">
        <v>58.98</v>
      </c>
      <c r="C340" t="s">
        <v>16</v>
      </c>
      <c r="D340" t="s">
        <v>17</v>
      </c>
      <c r="E340" t="s">
        <v>37</v>
      </c>
      <c r="F340" t="s">
        <v>35</v>
      </c>
      <c r="G340" t="s">
        <v>21</v>
      </c>
      <c r="H340" t="s">
        <v>20</v>
      </c>
      <c r="I340" t="s">
        <v>21</v>
      </c>
      <c r="J340" t="s">
        <v>58</v>
      </c>
      <c r="K340">
        <v>9</v>
      </c>
      <c r="L340">
        <v>39.299999999999997</v>
      </c>
      <c r="M340" t="s">
        <v>30</v>
      </c>
      <c r="N340" t="str">
        <f>_xlfn.XLOOKUP(A340,[1]!brca_metabric_clinical_data__2[Patient ID], [1]!brca_metabric_clinical_data__2[Tumor Size])</f>
        <v>13</v>
      </c>
      <c r="O340" t="str">
        <f>_xlfn.XLOOKUP(A340,[1]!brca_metabric_clinical_data__2[Sample ID],[1]!brca_metabric_clinical_data__2[Tumor Stage])</f>
        <v>3</v>
      </c>
    </row>
    <row r="341" spans="1:15" x14ac:dyDescent="0.45">
      <c r="A341" t="s">
        <v>374</v>
      </c>
      <c r="B341">
        <v>87.18</v>
      </c>
      <c r="C341" t="s">
        <v>16</v>
      </c>
      <c r="D341" t="s">
        <v>17</v>
      </c>
      <c r="E341" t="s">
        <v>18</v>
      </c>
      <c r="F341" t="s">
        <v>43</v>
      </c>
      <c r="G341" t="s">
        <v>20</v>
      </c>
      <c r="H341" t="s">
        <v>21</v>
      </c>
      <c r="I341" t="s">
        <v>20</v>
      </c>
      <c r="J341" t="s">
        <v>29</v>
      </c>
      <c r="K341">
        <v>5</v>
      </c>
      <c r="L341">
        <v>28.6</v>
      </c>
      <c r="M341" t="s">
        <v>30</v>
      </c>
      <c r="N341" t="str">
        <f>_xlfn.XLOOKUP(A341,[1]!brca_metabric_clinical_data__2[Patient ID], [1]!brca_metabric_clinical_data__2[Tumor Size])</f>
        <v>26</v>
      </c>
      <c r="O341" t="str">
        <f>_xlfn.XLOOKUP(A341,[1]!brca_metabric_clinical_data__2[Sample ID],[1]!brca_metabric_clinical_data__2[Tumor Stage])</f>
        <v>2</v>
      </c>
    </row>
    <row r="342" spans="1:15" x14ac:dyDescent="0.45">
      <c r="A342" t="s">
        <v>375</v>
      </c>
      <c r="B342">
        <v>33.97</v>
      </c>
      <c r="C342" t="s">
        <v>16</v>
      </c>
      <c r="D342" t="s">
        <v>26</v>
      </c>
      <c r="E342" t="s">
        <v>18</v>
      </c>
      <c r="F342" t="s">
        <v>19</v>
      </c>
      <c r="G342" t="s">
        <v>21</v>
      </c>
      <c r="H342" t="s">
        <v>21</v>
      </c>
      <c r="I342" t="s">
        <v>21</v>
      </c>
      <c r="J342" t="s">
        <v>27</v>
      </c>
      <c r="K342">
        <v>1</v>
      </c>
      <c r="L342">
        <v>43.866666666666703</v>
      </c>
      <c r="M342" t="s">
        <v>24</v>
      </c>
      <c r="N342" t="str">
        <f>_xlfn.XLOOKUP(A342,[1]!brca_metabric_clinical_data__2[Patient ID], [1]!brca_metabric_clinical_data__2[Tumor Size])</f>
        <v>70</v>
      </c>
      <c r="O342" t="str">
        <f>_xlfn.XLOOKUP(A342,[1]!brca_metabric_clinical_data__2[Sample ID],[1]!brca_metabric_clinical_data__2[Tumor Stage])</f>
        <v>2</v>
      </c>
    </row>
    <row r="343" spans="1:15" x14ac:dyDescent="0.45">
      <c r="A343" t="s">
        <v>376</v>
      </c>
      <c r="B343">
        <v>58.35</v>
      </c>
      <c r="C343" t="s">
        <v>16</v>
      </c>
      <c r="D343" t="s">
        <v>17</v>
      </c>
      <c r="E343" t="s">
        <v>37</v>
      </c>
      <c r="F343" t="s">
        <v>43</v>
      </c>
      <c r="G343" t="s">
        <v>21</v>
      </c>
      <c r="H343" t="s">
        <v>20</v>
      </c>
      <c r="I343" t="s">
        <v>20</v>
      </c>
      <c r="J343" t="s">
        <v>45</v>
      </c>
      <c r="K343">
        <v>5</v>
      </c>
      <c r="L343">
        <v>105.6</v>
      </c>
      <c r="M343" t="s">
        <v>30</v>
      </c>
      <c r="N343" t="str">
        <f>_xlfn.XLOOKUP(A343,[1]!brca_metabric_clinical_data__2[Patient ID], [1]!brca_metabric_clinical_data__2[Tumor Size])</f>
        <v>13</v>
      </c>
      <c r="O343" t="str">
        <f>_xlfn.XLOOKUP(A343,[1]!brca_metabric_clinical_data__2[Sample ID],[1]!brca_metabric_clinical_data__2[Tumor Stage])</f>
        <v>1</v>
      </c>
    </row>
    <row r="344" spans="1:15" x14ac:dyDescent="0.45">
      <c r="A344" t="s">
        <v>377</v>
      </c>
      <c r="B344">
        <v>60.95</v>
      </c>
      <c r="C344" t="s">
        <v>16</v>
      </c>
      <c r="D344" t="s">
        <v>17</v>
      </c>
      <c r="E344" t="s">
        <v>18</v>
      </c>
      <c r="F344" t="s">
        <v>19</v>
      </c>
      <c r="G344" t="s">
        <v>21</v>
      </c>
      <c r="H344" t="s">
        <v>21</v>
      </c>
      <c r="I344" t="s">
        <v>21</v>
      </c>
      <c r="J344" t="s">
        <v>27</v>
      </c>
      <c r="K344">
        <v>1</v>
      </c>
      <c r="L344">
        <v>129.6</v>
      </c>
      <c r="M344" t="s">
        <v>30</v>
      </c>
      <c r="N344" t="str">
        <f>_xlfn.XLOOKUP(A344,[1]!brca_metabric_clinical_data__2[Patient ID], [1]!brca_metabric_clinical_data__2[Tumor Size])</f>
        <v>26</v>
      </c>
      <c r="O344" t="str">
        <f>_xlfn.XLOOKUP(A344,[1]!brca_metabric_clinical_data__2[Sample ID],[1]!brca_metabric_clinical_data__2[Tumor Stage])</f>
        <v>2</v>
      </c>
    </row>
    <row r="345" spans="1:15" x14ac:dyDescent="0.45">
      <c r="A345" t="s">
        <v>378</v>
      </c>
      <c r="B345">
        <v>67.94</v>
      </c>
      <c r="C345" t="s">
        <v>16</v>
      </c>
      <c r="D345" t="s">
        <v>17</v>
      </c>
      <c r="E345" t="s">
        <v>18</v>
      </c>
      <c r="F345" t="s">
        <v>43</v>
      </c>
      <c r="G345" t="s">
        <v>21</v>
      </c>
      <c r="H345" t="s">
        <v>21</v>
      </c>
      <c r="I345" t="s">
        <v>21</v>
      </c>
      <c r="J345" t="s">
        <v>29</v>
      </c>
      <c r="K345">
        <v>6</v>
      </c>
      <c r="L345">
        <v>131.26666666666699</v>
      </c>
      <c r="M345" t="s">
        <v>24</v>
      </c>
      <c r="N345" t="str">
        <f>_xlfn.XLOOKUP(A345,[1]!brca_metabric_clinical_data__2[Patient ID], [1]!brca_metabric_clinical_data__2[Tumor Size])</f>
        <v>39</v>
      </c>
      <c r="O345" t="str">
        <f>_xlfn.XLOOKUP(A345,[1]!brca_metabric_clinical_data__2[Sample ID],[1]!brca_metabric_clinical_data__2[Tumor Stage])</f>
        <v>2</v>
      </c>
    </row>
    <row r="346" spans="1:15" x14ac:dyDescent="0.45">
      <c r="A346" t="s">
        <v>379</v>
      </c>
      <c r="B346">
        <v>61.78</v>
      </c>
      <c r="C346" t="s">
        <v>16</v>
      </c>
      <c r="D346" t="s">
        <v>17</v>
      </c>
      <c r="E346" t="s">
        <v>18</v>
      </c>
      <c r="F346" t="s">
        <v>35</v>
      </c>
      <c r="G346" t="s">
        <v>20</v>
      </c>
      <c r="H346" t="s">
        <v>21</v>
      </c>
      <c r="I346" t="s">
        <v>21</v>
      </c>
      <c r="J346" t="s">
        <v>22</v>
      </c>
      <c r="K346" t="s">
        <v>23</v>
      </c>
      <c r="L346">
        <v>88.233333333333306</v>
      </c>
      <c r="M346" t="s">
        <v>24</v>
      </c>
      <c r="N346" t="str">
        <f>_xlfn.XLOOKUP(A346,[1]!brca_metabric_clinical_data__2[Patient ID], [1]!brca_metabric_clinical_data__2[Tumor Size])</f>
        <v>15</v>
      </c>
      <c r="O346" t="str">
        <f>_xlfn.XLOOKUP(A346,[1]!brca_metabric_clinical_data__2[Sample ID],[1]!brca_metabric_clinical_data__2[Tumor Stage])</f>
        <v>1</v>
      </c>
    </row>
    <row r="347" spans="1:15" x14ac:dyDescent="0.45">
      <c r="A347" t="s">
        <v>380</v>
      </c>
      <c r="B347">
        <v>76.489999999999995</v>
      </c>
      <c r="C347" t="s">
        <v>16</v>
      </c>
      <c r="D347" t="s">
        <v>17</v>
      </c>
      <c r="E347" t="s">
        <v>18</v>
      </c>
      <c r="F347" t="s">
        <v>19</v>
      </c>
      <c r="G347" t="s">
        <v>20</v>
      </c>
      <c r="H347" t="s">
        <v>21</v>
      </c>
      <c r="I347" t="s">
        <v>21</v>
      </c>
      <c r="J347" t="s">
        <v>27</v>
      </c>
      <c r="K347">
        <v>1</v>
      </c>
      <c r="L347">
        <v>107.466666666667</v>
      </c>
      <c r="M347" t="s">
        <v>24</v>
      </c>
      <c r="N347" t="str">
        <f>_xlfn.XLOOKUP(A347,[1]!brca_metabric_clinical_data__2[Patient ID], [1]!brca_metabric_clinical_data__2[Tumor Size])</f>
        <v>17</v>
      </c>
      <c r="O347" t="str">
        <f>_xlfn.XLOOKUP(A347,[1]!brca_metabric_clinical_data__2[Sample ID],[1]!brca_metabric_clinical_data__2[Tumor Stage])</f>
        <v>1</v>
      </c>
    </row>
    <row r="348" spans="1:15" x14ac:dyDescent="0.45">
      <c r="A348" t="s">
        <v>381</v>
      </c>
      <c r="B348">
        <v>59.34</v>
      </c>
      <c r="C348" t="s">
        <v>16</v>
      </c>
      <c r="D348" t="s">
        <v>17</v>
      </c>
      <c r="E348" t="s">
        <v>18</v>
      </c>
      <c r="F348" t="s">
        <v>19</v>
      </c>
      <c r="G348" t="s">
        <v>20</v>
      </c>
      <c r="H348" t="s">
        <v>20</v>
      </c>
      <c r="I348" t="s">
        <v>21</v>
      </c>
      <c r="J348" t="s">
        <v>29</v>
      </c>
      <c r="K348">
        <v>7</v>
      </c>
      <c r="L348">
        <v>27.4</v>
      </c>
      <c r="M348" t="s">
        <v>24</v>
      </c>
      <c r="N348" t="str">
        <f>_xlfn.XLOOKUP(A348,[1]!brca_metabric_clinical_data__2[Patient ID], [1]!brca_metabric_clinical_data__2[Tumor Size])</f>
        <v>11</v>
      </c>
      <c r="O348" t="str">
        <f>_xlfn.XLOOKUP(A348,[1]!brca_metabric_clinical_data__2[Sample ID],[1]!brca_metabric_clinical_data__2[Tumor Stage])</f>
        <v>0</v>
      </c>
    </row>
    <row r="349" spans="1:15" x14ac:dyDescent="0.45">
      <c r="A349" t="s">
        <v>382</v>
      </c>
      <c r="B349">
        <v>54.29</v>
      </c>
      <c r="C349" t="s">
        <v>16</v>
      </c>
      <c r="D349" t="s">
        <v>17</v>
      </c>
      <c r="E349" t="s">
        <v>18</v>
      </c>
      <c r="F349" t="s">
        <v>19</v>
      </c>
      <c r="G349" t="s">
        <v>21</v>
      </c>
      <c r="H349" t="s">
        <v>21</v>
      </c>
      <c r="I349" t="s">
        <v>21</v>
      </c>
      <c r="J349" t="s">
        <v>29</v>
      </c>
      <c r="K349">
        <v>9</v>
      </c>
      <c r="L349">
        <v>111.1</v>
      </c>
      <c r="M349" t="s">
        <v>30</v>
      </c>
      <c r="N349" t="str">
        <f>_xlfn.XLOOKUP(A349,[1]!brca_metabric_clinical_data__2[Patient ID], [1]!brca_metabric_clinical_data__2[Tumor Size])</f>
        <v>80</v>
      </c>
      <c r="O349" t="str">
        <f>_xlfn.XLOOKUP(A349,[1]!brca_metabric_clinical_data__2[Sample ID],[1]!brca_metabric_clinical_data__2[Tumor Stage])</f>
        <v>3</v>
      </c>
    </row>
    <row r="350" spans="1:15" x14ac:dyDescent="0.45">
      <c r="A350" t="s">
        <v>383</v>
      </c>
      <c r="B350">
        <v>54.15</v>
      </c>
      <c r="C350" t="s">
        <v>16</v>
      </c>
      <c r="D350" t="s">
        <v>17</v>
      </c>
      <c r="E350" t="s">
        <v>18</v>
      </c>
      <c r="F350" t="s">
        <v>19</v>
      </c>
      <c r="G350" t="s">
        <v>20</v>
      </c>
      <c r="H350" t="s">
        <v>21</v>
      </c>
      <c r="I350" t="s">
        <v>21</v>
      </c>
      <c r="J350" t="s">
        <v>27</v>
      </c>
      <c r="K350">
        <v>9</v>
      </c>
      <c r="L350">
        <v>130.69999999999999</v>
      </c>
      <c r="M350" t="s">
        <v>24</v>
      </c>
      <c r="N350" t="str">
        <f>_xlfn.XLOOKUP(A350,[1]!brca_metabric_clinical_data__2[Patient ID], [1]!brca_metabric_clinical_data__2[Tumor Size])</f>
        <v>20</v>
      </c>
      <c r="O350" t="str">
        <f>_xlfn.XLOOKUP(A350,[1]!brca_metabric_clinical_data__2[Sample ID],[1]!brca_metabric_clinical_data__2[Tumor Stage])</f>
        <v>1</v>
      </c>
    </row>
    <row r="351" spans="1:15" x14ac:dyDescent="0.45">
      <c r="A351" t="s">
        <v>384</v>
      </c>
      <c r="B351">
        <v>54.62</v>
      </c>
      <c r="C351" t="s">
        <v>16</v>
      </c>
      <c r="D351" t="s">
        <v>17</v>
      </c>
      <c r="E351" t="s">
        <v>37</v>
      </c>
      <c r="F351" t="s">
        <v>19</v>
      </c>
      <c r="G351" t="s">
        <v>21</v>
      </c>
      <c r="H351" t="s">
        <v>20</v>
      </c>
      <c r="I351" t="s">
        <v>21</v>
      </c>
      <c r="J351" t="s">
        <v>22</v>
      </c>
      <c r="K351" t="s">
        <v>39</v>
      </c>
      <c r="L351">
        <v>130.433333333333</v>
      </c>
      <c r="M351" t="s">
        <v>24</v>
      </c>
      <c r="N351" t="str">
        <f>_xlfn.XLOOKUP(A351,[1]!brca_metabric_clinical_data__2[Patient ID], [1]!brca_metabric_clinical_data__2[Tumor Size])</f>
        <v>25</v>
      </c>
      <c r="O351" t="str">
        <f>_xlfn.XLOOKUP(A351,[1]!brca_metabric_clinical_data__2[Sample ID],[1]!brca_metabric_clinical_data__2[Tumor Stage])</f>
        <v>2</v>
      </c>
    </row>
    <row r="352" spans="1:15" x14ac:dyDescent="0.45">
      <c r="A352" t="s">
        <v>385</v>
      </c>
      <c r="B352">
        <v>74.02</v>
      </c>
      <c r="C352" t="s">
        <v>16</v>
      </c>
      <c r="D352" t="s">
        <v>17</v>
      </c>
      <c r="E352" t="s">
        <v>18</v>
      </c>
      <c r="F352" t="s">
        <v>19</v>
      </c>
      <c r="G352" t="s">
        <v>20</v>
      </c>
      <c r="H352" t="s">
        <v>21</v>
      </c>
      <c r="I352" t="s">
        <v>21</v>
      </c>
      <c r="J352" t="s">
        <v>22</v>
      </c>
      <c r="K352">
        <v>3</v>
      </c>
      <c r="L352">
        <v>132.30000000000001</v>
      </c>
      <c r="M352" t="s">
        <v>24</v>
      </c>
      <c r="N352" t="str">
        <f>_xlfn.XLOOKUP(A352,[1]!brca_metabric_clinical_data__2[Patient ID], [1]!brca_metabric_clinical_data__2[Tumor Size])</f>
        <v>23</v>
      </c>
      <c r="O352" t="str">
        <f>_xlfn.XLOOKUP(A352,[1]!brca_metabric_clinical_data__2[Sample ID],[1]!brca_metabric_clinical_data__2[Tumor Stage])</f>
        <v>2</v>
      </c>
    </row>
    <row r="353" spans="1:15" x14ac:dyDescent="0.45">
      <c r="A353" t="s">
        <v>386</v>
      </c>
      <c r="B353">
        <v>33.83</v>
      </c>
      <c r="C353" t="s">
        <v>16</v>
      </c>
      <c r="D353" t="s">
        <v>26</v>
      </c>
      <c r="E353" t="s">
        <v>37</v>
      </c>
      <c r="F353" t="s">
        <v>43</v>
      </c>
      <c r="G353" t="s">
        <v>21</v>
      </c>
      <c r="H353" t="s">
        <v>21</v>
      </c>
      <c r="I353" t="s">
        <v>21</v>
      </c>
      <c r="J353" t="s">
        <v>45</v>
      </c>
      <c r="K353">
        <v>5</v>
      </c>
      <c r="L353">
        <v>132.76666666666699</v>
      </c>
      <c r="M353" t="s">
        <v>24</v>
      </c>
      <c r="N353" t="str">
        <f>_xlfn.XLOOKUP(A353,[1]!brca_metabric_clinical_data__2[Patient ID], [1]!brca_metabric_clinical_data__2[Tumor Size])</f>
        <v>22</v>
      </c>
      <c r="O353" t="str">
        <f>_xlfn.XLOOKUP(A353,[1]!brca_metabric_clinical_data__2[Sample ID],[1]!brca_metabric_clinical_data__2[Tumor Stage])</f>
        <v>2</v>
      </c>
    </row>
    <row r="354" spans="1:15" x14ac:dyDescent="0.45">
      <c r="A354" t="s">
        <v>387</v>
      </c>
      <c r="B354">
        <v>51.86</v>
      </c>
      <c r="C354" t="s">
        <v>16</v>
      </c>
      <c r="D354" t="s">
        <v>17</v>
      </c>
      <c r="E354" t="s">
        <v>18</v>
      </c>
      <c r="F354" t="s">
        <v>19</v>
      </c>
      <c r="G354" t="s">
        <v>20</v>
      </c>
      <c r="H354" t="s">
        <v>21</v>
      </c>
      <c r="I354" t="s">
        <v>21</v>
      </c>
      <c r="J354" t="s">
        <v>27</v>
      </c>
      <c r="K354">
        <v>9</v>
      </c>
      <c r="L354">
        <v>94.566666666666706</v>
      </c>
      <c r="M354" t="s">
        <v>24</v>
      </c>
      <c r="N354" t="str">
        <f>_xlfn.XLOOKUP(A354,[1]!brca_metabric_clinical_data__2[Patient ID], [1]!brca_metabric_clinical_data__2[Tumor Size])</f>
        <v>13</v>
      </c>
      <c r="O354" t="str">
        <f>_xlfn.XLOOKUP(A354,[1]!brca_metabric_clinical_data__2[Sample ID],[1]!brca_metabric_clinical_data__2[Tumor Stage])</f>
        <v>1</v>
      </c>
    </row>
    <row r="355" spans="1:15" x14ac:dyDescent="0.45">
      <c r="A355" t="s">
        <v>388</v>
      </c>
      <c r="B355">
        <v>54.22</v>
      </c>
      <c r="C355" t="s">
        <v>16</v>
      </c>
      <c r="D355" t="s">
        <v>17</v>
      </c>
      <c r="E355" t="s">
        <v>37</v>
      </c>
      <c r="F355" t="s">
        <v>19</v>
      </c>
      <c r="G355" t="s">
        <v>21</v>
      </c>
      <c r="H355" t="s">
        <v>20</v>
      </c>
      <c r="I355" t="s">
        <v>21</v>
      </c>
      <c r="J355" t="s">
        <v>58</v>
      </c>
      <c r="K355">
        <v>10</v>
      </c>
      <c r="L355">
        <v>36.4</v>
      </c>
      <c r="M355" t="s">
        <v>30</v>
      </c>
      <c r="N355" t="str">
        <f>_xlfn.XLOOKUP(A355,[1]!brca_metabric_clinical_data__2[Patient ID], [1]!brca_metabric_clinical_data__2[Tumor Size])</f>
        <v>19</v>
      </c>
      <c r="O355" t="str">
        <f>_xlfn.XLOOKUP(A355,[1]!brca_metabric_clinical_data__2[Sample ID],[1]!brca_metabric_clinical_data__2[Tumor Stage])</f>
        <v>1</v>
      </c>
    </row>
    <row r="356" spans="1:15" x14ac:dyDescent="0.45">
      <c r="A356" t="s">
        <v>389</v>
      </c>
      <c r="B356">
        <v>39.53</v>
      </c>
      <c r="C356" t="s">
        <v>16</v>
      </c>
      <c r="D356" t="s">
        <v>26</v>
      </c>
      <c r="E356" t="s">
        <v>37</v>
      </c>
      <c r="F356" t="s">
        <v>43</v>
      </c>
      <c r="G356" t="s">
        <v>21</v>
      </c>
      <c r="H356" t="s">
        <v>20</v>
      </c>
      <c r="I356" t="s">
        <v>21</v>
      </c>
      <c r="J356" t="s">
        <v>38</v>
      </c>
      <c r="K356">
        <v>5</v>
      </c>
      <c r="L356">
        <v>24.866666666666699</v>
      </c>
      <c r="M356" t="s">
        <v>30</v>
      </c>
      <c r="N356" t="str">
        <f>_xlfn.XLOOKUP(A356,[1]!brca_metabric_clinical_data__2[Patient ID], [1]!brca_metabric_clinical_data__2[Tumor Size])</f>
        <v>16</v>
      </c>
      <c r="O356" t="str">
        <f>_xlfn.XLOOKUP(A356,[1]!brca_metabric_clinical_data__2[Sample ID],[1]!brca_metabric_clinical_data__2[Tumor Stage])</f>
        <v>2</v>
      </c>
    </row>
    <row r="357" spans="1:15" x14ac:dyDescent="0.45">
      <c r="A357" t="s">
        <v>390</v>
      </c>
      <c r="B357">
        <v>49.61</v>
      </c>
      <c r="C357" t="s">
        <v>16</v>
      </c>
      <c r="D357" t="s">
        <v>26</v>
      </c>
      <c r="E357" t="s">
        <v>18</v>
      </c>
      <c r="F357" t="s">
        <v>19</v>
      </c>
      <c r="G357" t="s">
        <v>21</v>
      </c>
      <c r="H357" t="s">
        <v>21</v>
      </c>
      <c r="I357" t="s">
        <v>21</v>
      </c>
      <c r="J357" t="s">
        <v>29</v>
      </c>
      <c r="K357">
        <v>1</v>
      </c>
      <c r="L357">
        <v>74.466666666666697</v>
      </c>
      <c r="M357" t="s">
        <v>30</v>
      </c>
      <c r="N357" t="str">
        <f>_xlfn.XLOOKUP(A357,[1]!brca_metabric_clinical_data__2[Patient ID], [1]!brca_metabric_clinical_data__2[Tumor Size])</f>
        <v>21</v>
      </c>
      <c r="O357" t="str">
        <f>_xlfn.XLOOKUP(A357,[1]!brca_metabric_clinical_data__2[Sample ID],[1]!brca_metabric_clinical_data__2[Tumor Stage])</f>
        <v>2</v>
      </c>
    </row>
    <row r="358" spans="1:15" x14ac:dyDescent="0.45">
      <c r="A358" t="s">
        <v>391</v>
      </c>
      <c r="B358">
        <v>38.72</v>
      </c>
      <c r="C358" t="s">
        <v>16</v>
      </c>
      <c r="D358" t="s">
        <v>26</v>
      </c>
      <c r="E358" t="s">
        <v>18</v>
      </c>
      <c r="F358" t="s">
        <v>43</v>
      </c>
      <c r="G358" t="s">
        <v>21</v>
      </c>
      <c r="H358" t="s">
        <v>21</v>
      </c>
      <c r="I358" t="s">
        <v>21</v>
      </c>
      <c r="J358" t="s">
        <v>45</v>
      </c>
      <c r="K358">
        <v>6</v>
      </c>
      <c r="L358">
        <v>82.633333333333297</v>
      </c>
      <c r="M358" t="s">
        <v>24</v>
      </c>
      <c r="N358" t="str">
        <f>_xlfn.XLOOKUP(A358,[1]!brca_metabric_clinical_data__2[Patient ID], [1]!brca_metabric_clinical_data__2[Tumor Size])</f>
        <v>22</v>
      </c>
      <c r="O358" t="str">
        <f>_xlfn.XLOOKUP(A358,[1]!brca_metabric_clinical_data__2[Sample ID],[1]!brca_metabric_clinical_data__2[Tumor Stage])</f>
        <v>2</v>
      </c>
    </row>
    <row r="359" spans="1:15" x14ac:dyDescent="0.45">
      <c r="A359" t="s">
        <v>392</v>
      </c>
      <c r="B359">
        <v>60.78</v>
      </c>
      <c r="C359" t="s">
        <v>16</v>
      </c>
      <c r="D359" t="s">
        <v>17</v>
      </c>
      <c r="E359" t="s">
        <v>18</v>
      </c>
      <c r="F359" t="s">
        <v>19</v>
      </c>
      <c r="G359" t="s">
        <v>21</v>
      </c>
      <c r="H359" t="s">
        <v>21</v>
      </c>
      <c r="I359" t="s">
        <v>21</v>
      </c>
      <c r="J359" t="s">
        <v>27</v>
      </c>
      <c r="K359">
        <v>9</v>
      </c>
      <c r="L359">
        <v>36.766666666666701</v>
      </c>
      <c r="M359" t="s">
        <v>30</v>
      </c>
      <c r="N359" t="str">
        <f>_xlfn.XLOOKUP(A359,[1]!brca_metabric_clinical_data__2[Patient ID], [1]!brca_metabric_clinical_data__2[Tumor Size])</f>
        <v>50</v>
      </c>
      <c r="O359" t="str">
        <f>_xlfn.XLOOKUP(A359,[1]!brca_metabric_clinical_data__2[Sample ID],[1]!brca_metabric_clinical_data__2[Tumor Stage])</f>
        <v>3</v>
      </c>
    </row>
    <row r="360" spans="1:15" x14ac:dyDescent="0.45">
      <c r="A360" t="s">
        <v>393</v>
      </c>
      <c r="B360">
        <v>57.57</v>
      </c>
      <c r="C360" t="s">
        <v>16</v>
      </c>
      <c r="D360" t="s">
        <v>17</v>
      </c>
      <c r="E360" t="s">
        <v>18</v>
      </c>
      <c r="F360" t="s">
        <v>19</v>
      </c>
      <c r="G360" t="s">
        <v>21</v>
      </c>
      <c r="H360" t="s">
        <v>21</v>
      </c>
      <c r="I360" t="s">
        <v>21</v>
      </c>
      <c r="J360" t="s">
        <v>27</v>
      </c>
      <c r="K360">
        <v>3</v>
      </c>
      <c r="L360">
        <v>89.966666666666697</v>
      </c>
      <c r="M360" t="s">
        <v>24</v>
      </c>
      <c r="N360" t="str">
        <f>_xlfn.XLOOKUP(A360,[1]!brca_metabric_clinical_data__2[Patient ID], [1]!brca_metabric_clinical_data__2[Tumor Size])</f>
        <v>32</v>
      </c>
      <c r="O360" t="str">
        <f>_xlfn.XLOOKUP(A360,[1]!brca_metabric_clinical_data__2[Sample ID],[1]!brca_metabric_clinical_data__2[Tumor Stage])</f>
        <v>2</v>
      </c>
    </row>
    <row r="361" spans="1:15" x14ac:dyDescent="0.45">
      <c r="A361" t="s">
        <v>394</v>
      </c>
      <c r="B361">
        <v>57.36</v>
      </c>
      <c r="C361" t="s">
        <v>16</v>
      </c>
      <c r="D361" t="s">
        <v>17</v>
      </c>
      <c r="E361" t="s">
        <v>18</v>
      </c>
      <c r="F361" t="s">
        <v>19</v>
      </c>
      <c r="G361" t="s">
        <v>20</v>
      </c>
      <c r="H361" t="s">
        <v>20</v>
      </c>
      <c r="I361" t="s">
        <v>21</v>
      </c>
      <c r="J361" t="s">
        <v>38</v>
      </c>
      <c r="K361">
        <v>3</v>
      </c>
      <c r="L361">
        <v>86.9</v>
      </c>
      <c r="M361" t="s">
        <v>24</v>
      </c>
      <c r="N361" t="str">
        <f>_xlfn.XLOOKUP(A361,[1]!brca_metabric_clinical_data__2[Patient ID], [1]!brca_metabric_clinical_data__2[Tumor Size])</f>
        <v>15</v>
      </c>
      <c r="O361" t="str">
        <f>_xlfn.XLOOKUP(A361,[1]!brca_metabric_clinical_data__2[Sample ID],[1]!brca_metabric_clinical_data__2[Tumor Stage])</f>
        <v>1</v>
      </c>
    </row>
    <row r="362" spans="1:15" x14ac:dyDescent="0.45">
      <c r="A362" t="s">
        <v>395</v>
      </c>
      <c r="B362">
        <v>50.64</v>
      </c>
      <c r="C362" t="s">
        <v>16</v>
      </c>
      <c r="D362" t="s">
        <v>17</v>
      </c>
      <c r="E362" t="s">
        <v>18</v>
      </c>
      <c r="F362" t="s">
        <v>19</v>
      </c>
      <c r="G362" t="s">
        <v>20</v>
      </c>
      <c r="H362" t="s">
        <v>21</v>
      </c>
      <c r="I362" t="s">
        <v>21</v>
      </c>
      <c r="J362" t="s">
        <v>58</v>
      </c>
      <c r="K362" t="s">
        <v>23</v>
      </c>
      <c r="L362">
        <v>112.933333333333</v>
      </c>
      <c r="M362" t="s">
        <v>24</v>
      </c>
      <c r="N362" t="str">
        <f>_xlfn.XLOOKUP(A362,[1]!brca_metabric_clinical_data__2[Patient ID], [1]!brca_metabric_clinical_data__2[Tumor Size])</f>
        <v>25</v>
      </c>
      <c r="O362" t="str">
        <f>_xlfn.XLOOKUP(A362,[1]!brca_metabric_clinical_data__2[Sample ID],[1]!brca_metabric_clinical_data__2[Tumor Stage])</f>
        <v>2</v>
      </c>
    </row>
    <row r="363" spans="1:15" x14ac:dyDescent="0.45">
      <c r="A363" t="s">
        <v>396</v>
      </c>
      <c r="B363">
        <v>41.46</v>
      </c>
      <c r="C363" t="s">
        <v>16</v>
      </c>
      <c r="D363" t="s">
        <v>26</v>
      </c>
      <c r="E363" t="s">
        <v>37</v>
      </c>
      <c r="F363" t="s">
        <v>43</v>
      </c>
      <c r="G363" t="s">
        <v>21</v>
      </c>
      <c r="H363" t="s">
        <v>21</v>
      </c>
      <c r="I363" t="s">
        <v>20</v>
      </c>
      <c r="J363" t="s">
        <v>22</v>
      </c>
      <c r="K363" t="s">
        <v>39</v>
      </c>
      <c r="L363">
        <v>90.566666666666706</v>
      </c>
      <c r="M363" t="s">
        <v>24</v>
      </c>
      <c r="N363" t="str">
        <f>_xlfn.XLOOKUP(A363,[1]!brca_metabric_clinical_data__2[Patient ID], [1]!brca_metabric_clinical_data__2[Tumor Size])</f>
        <v>10</v>
      </c>
      <c r="O363" t="str">
        <f>_xlfn.XLOOKUP(A363,[1]!brca_metabric_clinical_data__2[Sample ID],[1]!brca_metabric_clinical_data__2[Tumor Stage])</f>
        <v>1</v>
      </c>
    </row>
    <row r="364" spans="1:15" x14ac:dyDescent="0.45">
      <c r="A364" t="s">
        <v>397</v>
      </c>
      <c r="B364">
        <v>81.900000000000006</v>
      </c>
      <c r="C364" t="s">
        <v>16</v>
      </c>
      <c r="D364" t="s">
        <v>17</v>
      </c>
      <c r="E364" t="s">
        <v>18</v>
      </c>
      <c r="F364" t="s">
        <v>19</v>
      </c>
      <c r="G364" t="s">
        <v>20</v>
      </c>
      <c r="H364" t="s">
        <v>21</v>
      </c>
      <c r="I364" t="s">
        <v>21</v>
      </c>
      <c r="J364" t="s">
        <v>27</v>
      </c>
      <c r="K364" t="s">
        <v>23</v>
      </c>
      <c r="L364">
        <v>101.966666666667</v>
      </c>
      <c r="M364" t="s">
        <v>24</v>
      </c>
      <c r="N364" t="str">
        <f>_xlfn.XLOOKUP(A364,[1]!brca_metabric_clinical_data__2[Patient ID], [1]!brca_metabric_clinical_data__2[Tumor Size])</f>
        <v>30</v>
      </c>
      <c r="O364" t="str">
        <f>_xlfn.XLOOKUP(A364,[1]!brca_metabric_clinical_data__2[Sample ID],[1]!brca_metabric_clinical_data__2[Tumor Stage])</f>
        <v>3</v>
      </c>
    </row>
    <row r="365" spans="1:15" x14ac:dyDescent="0.45">
      <c r="A365" t="s">
        <v>398</v>
      </c>
      <c r="B365">
        <v>43.4</v>
      </c>
      <c r="C365" t="s">
        <v>16</v>
      </c>
      <c r="D365" t="s">
        <v>26</v>
      </c>
      <c r="E365" t="s">
        <v>18</v>
      </c>
      <c r="F365" t="s">
        <v>19</v>
      </c>
      <c r="G365" t="s">
        <v>20</v>
      </c>
      <c r="H365" t="s">
        <v>21</v>
      </c>
      <c r="I365" t="s">
        <v>21</v>
      </c>
      <c r="J365" t="s">
        <v>27</v>
      </c>
      <c r="K365" t="s">
        <v>23</v>
      </c>
      <c r="L365">
        <v>125.8</v>
      </c>
      <c r="M365" t="s">
        <v>24</v>
      </c>
      <c r="N365" t="str">
        <f>_xlfn.XLOOKUP(A365,[1]!brca_metabric_clinical_data__2[Patient ID], [1]!brca_metabric_clinical_data__2[Tumor Size])</f>
        <v>30</v>
      </c>
      <c r="O365" t="str">
        <f>_xlfn.XLOOKUP(A365,[1]!brca_metabric_clinical_data__2[Sample ID],[1]!brca_metabric_clinical_data__2[Tumor Stage])</f>
        <v>3</v>
      </c>
    </row>
    <row r="366" spans="1:15" x14ac:dyDescent="0.45">
      <c r="A366" t="s">
        <v>399</v>
      </c>
      <c r="B366">
        <v>85.21</v>
      </c>
      <c r="C366" t="s">
        <v>16</v>
      </c>
      <c r="D366" t="s">
        <v>17</v>
      </c>
      <c r="E366" t="s">
        <v>18</v>
      </c>
      <c r="F366" t="s">
        <v>19</v>
      </c>
      <c r="G366" t="s">
        <v>20</v>
      </c>
      <c r="H366" t="s">
        <v>21</v>
      </c>
      <c r="I366" t="s">
        <v>21</v>
      </c>
      <c r="J366" t="s">
        <v>29</v>
      </c>
      <c r="K366">
        <v>8</v>
      </c>
      <c r="L366">
        <v>81.133333333333297</v>
      </c>
      <c r="M366" t="s">
        <v>30</v>
      </c>
      <c r="N366" t="str">
        <f>_xlfn.XLOOKUP(A366,[1]!brca_metabric_clinical_data__2[Patient ID], [1]!brca_metabric_clinical_data__2[Tumor Size])</f>
        <v>28</v>
      </c>
      <c r="O366" t="str">
        <f>_xlfn.XLOOKUP(A366,[1]!brca_metabric_clinical_data__2[Sample ID],[1]!brca_metabric_clinical_data__2[Tumor Stage])</f>
        <v>2</v>
      </c>
    </row>
    <row r="367" spans="1:15" x14ac:dyDescent="0.45">
      <c r="A367" t="s">
        <v>400</v>
      </c>
      <c r="B367">
        <v>77.22</v>
      </c>
      <c r="C367" t="s">
        <v>16</v>
      </c>
      <c r="D367" t="s">
        <v>17</v>
      </c>
      <c r="E367" t="s">
        <v>37</v>
      </c>
      <c r="F367" t="s">
        <v>19</v>
      </c>
      <c r="G367" t="s">
        <v>21</v>
      </c>
      <c r="H367" t="s">
        <v>20</v>
      </c>
      <c r="I367" t="s">
        <v>21</v>
      </c>
      <c r="J367" t="s">
        <v>22</v>
      </c>
      <c r="K367" t="s">
        <v>39</v>
      </c>
      <c r="L367">
        <v>36.633333333333297</v>
      </c>
      <c r="M367" t="s">
        <v>30</v>
      </c>
      <c r="N367" t="str">
        <f>_xlfn.XLOOKUP(A367,[1]!brca_metabric_clinical_data__2[Patient ID], [1]!brca_metabric_clinical_data__2[Tumor Size])</f>
        <v>40</v>
      </c>
      <c r="O367" t="str">
        <f>_xlfn.XLOOKUP(A367,[1]!brca_metabric_clinical_data__2[Sample ID],[1]!brca_metabric_clinical_data__2[Tumor Stage])</f>
        <v>3</v>
      </c>
    </row>
    <row r="368" spans="1:15" x14ac:dyDescent="0.45">
      <c r="A368" t="s">
        <v>401</v>
      </c>
      <c r="B368">
        <v>63.19</v>
      </c>
      <c r="C368" t="s">
        <v>16</v>
      </c>
      <c r="D368" t="s">
        <v>17</v>
      </c>
      <c r="E368" t="s">
        <v>18</v>
      </c>
      <c r="F368" t="s">
        <v>19</v>
      </c>
      <c r="G368" t="s">
        <v>21</v>
      </c>
      <c r="H368" t="s">
        <v>21</v>
      </c>
      <c r="I368" t="s">
        <v>21</v>
      </c>
      <c r="J368" t="s">
        <v>22</v>
      </c>
      <c r="K368" t="s">
        <v>23</v>
      </c>
      <c r="L368">
        <v>71.8</v>
      </c>
      <c r="M368" t="s">
        <v>30</v>
      </c>
      <c r="N368" t="str">
        <f>_xlfn.XLOOKUP(A368,[1]!brca_metabric_clinical_data__2[Patient ID], [1]!brca_metabric_clinical_data__2[Tumor Size])</f>
        <v>19</v>
      </c>
      <c r="O368" t="str">
        <f>_xlfn.XLOOKUP(A368,[1]!brca_metabric_clinical_data__2[Sample ID],[1]!brca_metabric_clinical_data__2[Tumor Stage])</f>
        <v>2</v>
      </c>
    </row>
    <row r="369" spans="1:15" x14ac:dyDescent="0.45">
      <c r="A369" t="s">
        <v>402</v>
      </c>
      <c r="B369">
        <v>60</v>
      </c>
      <c r="C369" t="s">
        <v>16</v>
      </c>
      <c r="D369" t="s">
        <v>17</v>
      </c>
      <c r="E369" t="s">
        <v>18</v>
      </c>
      <c r="F369" t="s">
        <v>19</v>
      </c>
      <c r="G369" t="s">
        <v>21</v>
      </c>
      <c r="H369" t="s">
        <v>21</v>
      </c>
      <c r="I369" t="s">
        <v>21</v>
      </c>
      <c r="J369" t="s">
        <v>38</v>
      </c>
      <c r="K369">
        <v>3</v>
      </c>
      <c r="L369">
        <v>130.9</v>
      </c>
      <c r="M369" t="s">
        <v>24</v>
      </c>
      <c r="N369" t="str">
        <f>_xlfn.XLOOKUP(A369,[1]!brca_metabric_clinical_data__2[Patient ID], [1]!brca_metabric_clinical_data__2[Tumor Size])</f>
        <v>26</v>
      </c>
      <c r="O369" t="str">
        <f>_xlfn.XLOOKUP(A369,[1]!brca_metabric_clinical_data__2[Sample ID],[1]!brca_metabric_clinical_data__2[Tumor Stage])</f>
        <v>2</v>
      </c>
    </row>
    <row r="370" spans="1:15" x14ac:dyDescent="0.45">
      <c r="A370" t="s">
        <v>403</v>
      </c>
      <c r="B370">
        <v>57.27</v>
      </c>
      <c r="C370" t="s">
        <v>16</v>
      </c>
      <c r="D370" t="s">
        <v>17</v>
      </c>
      <c r="E370" t="s">
        <v>18</v>
      </c>
      <c r="F370" t="s">
        <v>43</v>
      </c>
      <c r="G370" t="s">
        <v>20</v>
      </c>
      <c r="H370" t="s">
        <v>21</v>
      </c>
      <c r="I370" t="s">
        <v>21</v>
      </c>
      <c r="J370" t="s">
        <v>27</v>
      </c>
      <c r="K370" t="s">
        <v>23</v>
      </c>
      <c r="L370">
        <v>73.7</v>
      </c>
      <c r="M370" t="s">
        <v>24</v>
      </c>
      <c r="N370" t="str">
        <f>_xlfn.XLOOKUP(A370,[1]!brca_metabric_clinical_data__2[Patient ID], [1]!brca_metabric_clinical_data__2[Tumor Size])</f>
        <v>29</v>
      </c>
      <c r="O370" t="str">
        <f>_xlfn.XLOOKUP(A370,[1]!brca_metabric_clinical_data__2[Sample ID],[1]!brca_metabric_clinical_data__2[Tumor Stage])</f>
        <v>2</v>
      </c>
    </row>
    <row r="371" spans="1:15" x14ac:dyDescent="0.45">
      <c r="A371" t="s">
        <v>404</v>
      </c>
      <c r="B371">
        <v>50.15</v>
      </c>
      <c r="C371" t="s">
        <v>16</v>
      </c>
      <c r="D371" t="s">
        <v>17</v>
      </c>
      <c r="E371" t="s">
        <v>18</v>
      </c>
      <c r="F371" t="s">
        <v>19</v>
      </c>
      <c r="G371" t="s">
        <v>20</v>
      </c>
      <c r="H371" t="s">
        <v>21</v>
      </c>
      <c r="I371" t="s">
        <v>20</v>
      </c>
      <c r="J371" t="s">
        <v>22</v>
      </c>
      <c r="K371" t="s">
        <v>23</v>
      </c>
      <c r="L371">
        <v>131.9</v>
      </c>
      <c r="M371" t="s">
        <v>24</v>
      </c>
      <c r="N371" t="str">
        <f>_xlfn.XLOOKUP(A371,[1]!brca_metabric_clinical_data__2[Patient ID], [1]!brca_metabric_clinical_data__2[Tumor Size])</f>
        <v>4</v>
      </c>
      <c r="O371" t="str">
        <f>_xlfn.XLOOKUP(A371,[1]!brca_metabric_clinical_data__2[Sample ID],[1]!brca_metabric_clinical_data__2[Tumor Stage])</f>
        <v>1</v>
      </c>
    </row>
    <row r="372" spans="1:15" x14ac:dyDescent="0.45">
      <c r="A372" t="s">
        <v>405</v>
      </c>
      <c r="B372">
        <v>36.56</v>
      </c>
      <c r="C372" t="s">
        <v>16</v>
      </c>
      <c r="D372" t="s">
        <v>26</v>
      </c>
      <c r="E372" t="s">
        <v>18</v>
      </c>
      <c r="F372" t="s">
        <v>19</v>
      </c>
      <c r="G372" t="s">
        <v>21</v>
      </c>
      <c r="H372" t="s">
        <v>20</v>
      </c>
      <c r="I372" t="s">
        <v>21</v>
      </c>
      <c r="J372" t="s">
        <v>58</v>
      </c>
      <c r="K372">
        <v>10</v>
      </c>
      <c r="L372">
        <v>67.466666666666697</v>
      </c>
      <c r="M372" t="s">
        <v>24</v>
      </c>
      <c r="N372" t="str">
        <f>_xlfn.XLOOKUP(A372,[1]!brca_metabric_clinical_data__2[Patient ID], [1]!brca_metabric_clinical_data__2[Tumor Size])</f>
        <v>22</v>
      </c>
      <c r="O372" t="str">
        <f>_xlfn.XLOOKUP(A372,[1]!brca_metabric_clinical_data__2[Sample ID],[1]!brca_metabric_clinical_data__2[Tumor Stage])</f>
        <v>2</v>
      </c>
    </row>
    <row r="373" spans="1:15" x14ac:dyDescent="0.45">
      <c r="A373" t="s">
        <v>406</v>
      </c>
      <c r="B373">
        <v>48.93</v>
      </c>
      <c r="C373" t="s">
        <v>16</v>
      </c>
      <c r="D373" t="s">
        <v>26</v>
      </c>
      <c r="E373" t="s">
        <v>18</v>
      </c>
      <c r="F373" t="s">
        <v>43</v>
      </c>
      <c r="G373" t="s">
        <v>21</v>
      </c>
      <c r="H373" t="s">
        <v>21</v>
      </c>
      <c r="I373" t="s">
        <v>21</v>
      </c>
      <c r="J373" t="s">
        <v>27</v>
      </c>
      <c r="K373">
        <v>8</v>
      </c>
      <c r="L373">
        <v>71.5</v>
      </c>
      <c r="M373" t="s">
        <v>24</v>
      </c>
      <c r="N373" t="str">
        <f>_xlfn.XLOOKUP(A373,[1]!brca_metabric_clinical_data__2[Patient ID], [1]!brca_metabric_clinical_data__2[Tumor Size])</f>
        <v>21</v>
      </c>
      <c r="O373" t="str">
        <f>_xlfn.XLOOKUP(A373,[1]!brca_metabric_clinical_data__2[Sample ID],[1]!brca_metabric_clinical_data__2[Tumor Stage])</f>
        <v>2</v>
      </c>
    </row>
    <row r="374" spans="1:15" x14ac:dyDescent="0.45">
      <c r="A374" t="s">
        <v>407</v>
      </c>
      <c r="B374">
        <v>56.41</v>
      </c>
      <c r="C374" t="s">
        <v>16</v>
      </c>
      <c r="D374" t="s">
        <v>17</v>
      </c>
      <c r="E374" t="s">
        <v>18</v>
      </c>
      <c r="F374" t="s">
        <v>19</v>
      </c>
      <c r="G374" t="s">
        <v>21</v>
      </c>
      <c r="H374" t="s">
        <v>21</v>
      </c>
      <c r="I374" t="s">
        <v>21</v>
      </c>
      <c r="J374" t="s">
        <v>22</v>
      </c>
      <c r="K374" t="s">
        <v>23</v>
      </c>
      <c r="L374">
        <v>82.1</v>
      </c>
      <c r="M374" t="s">
        <v>24</v>
      </c>
      <c r="N374" t="str">
        <f>_xlfn.XLOOKUP(A374,[1]!brca_metabric_clinical_data__2[Patient ID], [1]!brca_metabric_clinical_data__2[Tumor Size])</f>
        <v>30</v>
      </c>
      <c r="O374" t="str">
        <f>_xlfn.XLOOKUP(A374,[1]!brca_metabric_clinical_data__2[Sample ID],[1]!brca_metabric_clinical_data__2[Tumor Stage])</f>
        <v>2</v>
      </c>
    </row>
    <row r="375" spans="1:15" x14ac:dyDescent="0.45">
      <c r="A375" t="s">
        <v>408</v>
      </c>
      <c r="B375">
        <v>60.77</v>
      </c>
      <c r="C375" t="s">
        <v>16</v>
      </c>
      <c r="D375" t="s">
        <v>17</v>
      </c>
      <c r="E375" t="s">
        <v>18</v>
      </c>
      <c r="F375" t="s">
        <v>43</v>
      </c>
      <c r="G375" t="s">
        <v>20</v>
      </c>
      <c r="H375" t="s">
        <v>21</v>
      </c>
      <c r="I375" t="s">
        <v>21</v>
      </c>
      <c r="J375" t="s">
        <v>27</v>
      </c>
      <c r="K375">
        <v>7</v>
      </c>
      <c r="L375">
        <v>101.23333333333299</v>
      </c>
      <c r="M375" t="s">
        <v>24</v>
      </c>
      <c r="N375" t="str">
        <f>_xlfn.XLOOKUP(A375,[1]!brca_metabric_clinical_data__2[Patient ID], [1]!brca_metabric_clinical_data__2[Tumor Size])</f>
        <v>23</v>
      </c>
      <c r="O375" t="str">
        <f>_xlfn.XLOOKUP(A375,[1]!brca_metabric_clinical_data__2[Sample ID],[1]!brca_metabric_clinical_data__2[Tumor Stage])</f>
        <v>2</v>
      </c>
    </row>
    <row r="376" spans="1:15" x14ac:dyDescent="0.45">
      <c r="A376" t="s">
        <v>409</v>
      </c>
      <c r="B376">
        <v>68.16</v>
      </c>
      <c r="C376" t="s">
        <v>16</v>
      </c>
      <c r="D376" t="s">
        <v>17</v>
      </c>
      <c r="E376" t="s">
        <v>18</v>
      </c>
      <c r="F376" t="s">
        <v>19</v>
      </c>
      <c r="G376" t="s">
        <v>20</v>
      </c>
      <c r="H376" t="s">
        <v>21</v>
      </c>
      <c r="I376" t="s">
        <v>21</v>
      </c>
      <c r="J376" t="s">
        <v>27</v>
      </c>
      <c r="K376">
        <v>3</v>
      </c>
      <c r="L376">
        <v>130.46666666666701</v>
      </c>
      <c r="M376" t="s">
        <v>24</v>
      </c>
      <c r="N376" t="str">
        <f>_xlfn.XLOOKUP(A376,[1]!brca_metabric_clinical_data__2[Patient ID], [1]!brca_metabric_clinical_data__2[Tumor Size])</f>
        <v>21</v>
      </c>
      <c r="O376" t="str">
        <f>_xlfn.XLOOKUP(A376,[1]!brca_metabric_clinical_data__2[Sample ID],[1]!brca_metabric_clinical_data__2[Tumor Stage])</f>
        <v>2</v>
      </c>
    </row>
    <row r="377" spans="1:15" x14ac:dyDescent="0.45">
      <c r="A377" t="s">
        <v>410</v>
      </c>
      <c r="B377">
        <v>56.38</v>
      </c>
      <c r="C377" t="s">
        <v>16</v>
      </c>
      <c r="D377" t="s">
        <v>17</v>
      </c>
      <c r="E377" t="s">
        <v>18</v>
      </c>
      <c r="F377" t="s">
        <v>19</v>
      </c>
      <c r="G377" t="s">
        <v>20</v>
      </c>
      <c r="H377" t="s">
        <v>21</v>
      </c>
      <c r="I377" t="s">
        <v>21</v>
      </c>
      <c r="J377" t="s">
        <v>27</v>
      </c>
      <c r="K377" t="s">
        <v>23</v>
      </c>
      <c r="L377">
        <v>60.7</v>
      </c>
      <c r="M377" t="s">
        <v>24</v>
      </c>
      <c r="N377" t="str">
        <f>_xlfn.XLOOKUP(A377,[1]!brca_metabric_clinical_data__2[Patient ID], [1]!brca_metabric_clinical_data__2[Tumor Size])</f>
        <v>12</v>
      </c>
      <c r="O377" t="str">
        <f>_xlfn.XLOOKUP(A377,[1]!brca_metabric_clinical_data__2[Sample ID],[1]!brca_metabric_clinical_data__2[Tumor Stage])</f>
        <v>2</v>
      </c>
    </row>
    <row r="378" spans="1:15" x14ac:dyDescent="0.45">
      <c r="A378" t="s">
        <v>411</v>
      </c>
      <c r="B378">
        <v>60.74</v>
      </c>
      <c r="C378" t="s">
        <v>16</v>
      </c>
      <c r="D378" t="s">
        <v>17</v>
      </c>
      <c r="E378" t="s">
        <v>37</v>
      </c>
      <c r="F378" t="s">
        <v>19</v>
      </c>
      <c r="G378" t="s">
        <v>21</v>
      </c>
      <c r="H378" t="s">
        <v>20</v>
      </c>
      <c r="I378" t="s">
        <v>21</v>
      </c>
      <c r="J378" t="s">
        <v>45</v>
      </c>
      <c r="K378">
        <v>9</v>
      </c>
      <c r="L378">
        <v>45.8</v>
      </c>
      <c r="M378" t="s">
        <v>30</v>
      </c>
      <c r="N378" t="str">
        <f>_xlfn.XLOOKUP(A378,[1]!brca_metabric_clinical_data__2[Patient ID], [1]!brca_metabric_clinical_data__2[Tumor Size])</f>
        <v>21</v>
      </c>
      <c r="O378" t="str">
        <f>_xlfn.XLOOKUP(A378,[1]!brca_metabric_clinical_data__2[Sample ID],[1]!brca_metabric_clinical_data__2[Tumor Stage])</f>
        <v>2</v>
      </c>
    </row>
    <row r="379" spans="1:15" x14ac:dyDescent="0.45">
      <c r="A379" t="s">
        <v>412</v>
      </c>
      <c r="B379">
        <v>58.71</v>
      </c>
      <c r="C379" t="s">
        <v>16</v>
      </c>
      <c r="D379" t="s">
        <v>17</v>
      </c>
      <c r="E379" t="s">
        <v>18</v>
      </c>
      <c r="F379" t="s">
        <v>19</v>
      </c>
      <c r="G379" t="s">
        <v>20</v>
      </c>
      <c r="H379" t="s">
        <v>21</v>
      </c>
      <c r="I379" t="s">
        <v>21</v>
      </c>
      <c r="J379" t="s">
        <v>27</v>
      </c>
      <c r="K379">
        <v>3</v>
      </c>
      <c r="L379">
        <v>23.8</v>
      </c>
      <c r="M379" t="s">
        <v>24</v>
      </c>
      <c r="N379" t="str">
        <f>_xlfn.XLOOKUP(A379,[1]!brca_metabric_clinical_data__2[Patient ID], [1]!brca_metabric_clinical_data__2[Tumor Size])</f>
        <v>18</v>
      </c>
      <c r="O379" t="str">
        <f>_xlfn.XLOOKUP(A379,[1]!brca_metabric_clinical_data__2[Sample ID],[1]!brca_metabric_clinical_data__2[Tumor Stage])</f>
        <v>1</v>
      </c>
    </row>
    <row r="380" spans="1:15" x14ac:dyDescent="0.45">
      <c r="A380" t="s">
        <v>413</v>
      </c>
      <c r="B380">
        <v>42.68</v>
      </c>
      <c r="C380" t="s">
        <v>16</v>
      </c>
      <c r="D380" t="s">
        <v>26</v>
      </c>
      <c r="E380" t="s">
        <v>18</v>
      </c>
      <c r="F380" t="s">
        <v>43</v>
      </c>
      <c r="G380" t="s">
        <v>20</v>
      </c>
      <c r="H380" t="s">
        <v>21</v>
      </c>
      <c r="I380" t="s">
        <v>20</v>
      </c>
      <c r="J380" t="s">
        <v>38</v>
      </c>
      <c r="K380">
        <v>2</v>
      </c>
      <c r="L380">
        <v>114.333333333333</v>
      </c>
      <c r="M380" t="s">
        <v>24</v>
      </c>
      <c r="N380" t="str">
        <f>_xlfn.XLOOKUP(A380,[1]!brca_metabric_clinical_data__2[Patient ID], [1]!brca_metabric_clinical_data__2[Tumor Size])</f>
        <v>11</v>
      </c>
      <c r="O380" t="str">
        <f>_xlfn.XLOOKUP(A380,[1]!brca_metabric_clinical_data__2[Sample ID],[1]!brca_metabric_clinical_data__2[Tumor Stage])</f>
        <v>1</v>
      </c>
    </row>
    <row r="381" spans="1:15" x14ac:dyDescent="0.45">
      <c r="A381" t="s">
        <v>414</v>
      </c>
      <c r="B381">
        <v>41.48</v>
      </c>
      <c r="C381" t="s">
        <v>16</v>
      </c>
      <c r="D381" t="s">
        <v>26</v>
      </c>
      <c r="E381" t="s">
        <v>18</v>
      </c>
      <c r="F381" t="s">
        <v>19</v>
      </c>
      <c r="G381" t="s">
        <v>20</v>
      </c>
      <c r="H381" t="s">
        <v>21</v>
      </c>
      <c r="I381" t="s">
        <v>21</v>
      </c>
      <c r="J381" t="s">
        <v>58</v>
      </c>
      <c r="K381">
        <v>3</v>
      </c>
      <c r="L381">
        <v>115.3</v>
      </c>
      <c r="M381" t="s">
        <v>24</v>
      </c>
      <c r="N381" t="str">
        <f>_xlfn.XLOOKUP(A381,[1]!brca_metabric_clinical_data__2[Patient ID], [1]!brca_metabric_clinical_data__2[Tumor Size])</f>
        <v>11</v>
      </c>
      <c r="O381" t="str">
        <f>_xlfn.XLOOKUP(A381,[1]!brca_metabric_clinical_data__2[Sample ID],[1]!brca_metabric_clinical_data__2[Tumor Stage])</f>
        <v>1</v>
      </c>
    </row>
    <row r="382" spans="1:15" x14ac:dyDescent="0.45">
      <c r="A382" t="s">
        <v>415</v>
      </c>
      <c r="B382">
        <v>71.84</v>
      </c>
      <c r="C382" t="s">
        <v>16</v>
      </c>
      <c r="D382" t="s">
        <v>17</v>
      </c>
      <c r="E382" t="s">
        <v>18</v>
      </c>
      <c r="F382" t="s">
        <v>19</v>
      </c>
      <c r="G382" t="s">
        <v>20</v>
      </c>
      <c r="H382" t="s">
        <v>21</v>
      </c>
      <c r="I382" t="s">
        <v>21</v>
      </c>
      <c r="J382" t="s">
        <v>38</v>
      </c>
      <c r="K382">
        <v>9</v>
      </c>
      <c r="L382">
        <v>128.4</v>
      </c>
      <c r="M382" t="s">
        <v>24</v>
      </c>
      <c r="N382" t="str">
        <f>_xlfn.XLOOKUP(A382,[1]!brca_metabric_clinical_data__2[Patient ID], [1]!brca_metabric_clinical_data__2[Tumor Size])</f>
        <v>60</v>
      </c>
      <c r="O382" t="str">
        <f>_xlfn.XLOOKUP(A382,[1]!brca_metabric_clinical_data__2[Sample ID],[1]!brca_metabric_clinical_data__2[Tumor Stage])</f>
        <v>3</v>
      </c>
    </row>
    <row r="383" spans="1:15" x14ac:dyDescent="0.45">
      <c r="A383" t="s">
        <v>416</v>
      </c>
      <c r="B383">
        <v>59.84</v>
      </c>
      <c r="C383" t="s">
        <v>16</v>
      </c>
      <c r="D383" t="s">
        <v>17</v>
      </c>
      <c r="E383" t="s">
        <v>18</v>
      </c>
      <c r="F383" t="s">
        <v>19</v>
      </c>
      <c r="G383" t="s">
        <v>20</v>
      </c>
      <c r="H383" t="s">
        <v>21</v>
      </c>
      <c r="I383" t="s">
        <v>21</v>
      </c>
      <c r="J383" t="s">
        <v>27</v>
      </c>
      <c r="K383">
        <v>3</v>
      </c>
      <c r="L383">
        <v>61.7</v>
      </c>
      <c r="M383" t="s">
        <v>24</v>
      </c>
      <c r="N383" t="str">
        <f>_xlfn.XLOOKUP(A383,[1]!brca_metabric_clinical_data__2[Patient ID], [1]!brca_metabric_clinical_data__2[Tumor Size])</f>
        <v>31</v>
      </c>
      <c r="O383" t="str">
        <f>_xlfn.XLOOKUP(A383,[1]!brca_metabric_clinical_data__2[Sample ID],[1]!brca_metabric_clinical_data__2[Tumor Stage])</f>
        <v>2</v>
      </c>
    </row>
    <row r="384" spans="1:15" x14ac:dyDescent="0.45">
      <c r="A384" t="s">
        <v>417</v>
      </c>
      <c r="B384">
        <v>56.74</v>
      </c>
      <c r="C384" t="s">
        <v>16</v>
      </c>
      <c r="D384" t="s">
        <v>17</v>
      </c>
      <c r="E384" t="s">
        <v>18</v>
      </c>
      <c r="F384" t="s">
        <v>19</v>
      </c>
      <c r="G384" t="s">
        <v>20</v>
      </c>
      <c r="H384" t="s">
        <v>21</v>
      </c>
      <c r="I384" t="s">
        <v>21</v>
      </c>
      <c r="J384" t="s">
        <v>27</v>
      </c>
      <c r="K384">
        <v>9</v>
      </c>
      <c r="L384">
        <v>121.533333333333</v>
      </c>
      <c r="M384" t="s">
        <v>24</v>
      </c>
      <c r="N384" t="str">
        <f>_xlfn.XLOOKUP(A384,[1]!brca_metabric_clinical_data__2[Patient ID], [1]!brca_metabric_clinical_data__2[Tumor Size])</f>
        <v>24</v>
      </c>
      <c r="O384" t="str">
        <f>_xlfn.XLOOKUP(A384,[1]!brca_metabric_clinical_data__2[Sample ID],[1]!brca_metabric_clinical_data__2[Tumor Stage])</f>
        <v>2</v>
      </c>
    </row>
    <row r="385" spans="1:15" x14ac:dyDescent="0.45">
      <c r="A385" t="s">
        <v>418</v>
      </c>
      <c r="B385">
        <v>73.39</v>
      </c>
      <c r="C385" t="s">
        <v>16</v>
      </c>
      <c r="D385" t="s">
        <v>17</v>
      </c>
      <c r="E385" t="s">
        <v>18</v>
      </c>
      <c r="F385" t="s">
        <v>19</v>
      </c>
      <c r="G385" t="s">
        <v>20</v>
      </c>
      <c r="H385" t="s">
        <v>21</v>
      </c>
      <c r="I385" t="s">
        <v>21</v>
      </c>
      <c r="J385" t="s">
        <v>27</v>
      </c>
      <c r="K385">
        <v>9</v>
      </c>
      <c r="L385">
        <v>117.033333333333</v>
      </c>
      <c r="M385" t="s">
        <v>24</v>
      </c>
      <c r="N385" t="str">
        <f>_xlfn.XLOOKUP(A385,[1]!brca_metabric_clinical_data__2[Patient ID], [1]!brca_metabric_clinical_data__2[Tumor Size])</f>
        <v>32</v>
      </c>
      <c r="O385" t="str">
        <f>_xlfn.XLOOKUP(A385,[1]!brca_metabric_clinical_data__2[Sample ID],[1]!brca_metabric_clinical_data__2[Tumor Stage])</f>
        <v>2</v>
      </c>
    </row>
    <row r="386" spans="1:15" x14ac:dyDescent="0.45">
      <c r="A386" t="s">
        <v>419</v>
      </c>
      <c r="B386">
        <v>42.89</v>
      </c>
      <c r="C386" t="s">
        <v>16</v>
      </c>
      <c r="D386" t="s">
        <v>26</v>
      </c>
      <c r="E386" t="s">
        <v>18</v>
      </c>
      <c r="F386" t="s">
        <v>19</v>
      </c>
      <c r="G386" t="s">
        <v>21</v>
      </c>
      <c r="H386" t="s">
        <v>21</v>
      </c>
      <c r="I386" t="s">
        <v>21</v>
      </c>
      <c r="J386" t="s">
        <v>29</v>
      </c>
      <c r="K386">
        <v>3</v>
      </c>
      <c r="L386">
        <v>13.4</v>
      </c>
      <c r="M386" t="s">
        <v>24</v>
      </c>
      <c r="N386" t="str">
        <f>_xlfn.XLOOKUP(A386,[1]!brca_metabric_clinical_data__2[Patient ID], [1]!brca_metabric_clinical_data__2[Tumor Size])</f>
        <v>20</v>
      </c>
      <c r="O386" t="str">
        <f>_xlfn.XLOOKUP(A386,[1]!brca_metabric_clinical_data__2[Sample ID],[1]!brca_metabric_clinical_data__2[Tumor Stage])</f>
        <v>2</v>
      </c>
    </row>
    <row r="387" spans="1:15" x14ac:dyDescent="0.45">
      <c r="A387" t="s">
        <v>420</v>
      </c>
      <c r="B387">
        <v>62.81</v>
      </c>
      <c r="C387" t="s">
        <v>16</v>
      </c>
      <c r="D387" t="s">
        <v>17</v>
      </c>
      <c r="E387" t="s">
        <v>37</v>
      </c>
      <c r="F387" t="s">
        <v>19</v>
      </c>
      <c r="G387" t="s">
        <v>21</v>
      </c>
      <c r="H387" t="s">
        <v>20</v>
      </c>
      <c r="I387" t="s">
        <v>21</v>
      </c>
      <c r="J387" t="s">
        <v>58</v>
      </c>
      <c r="K387">
        <v>10</v>
      </c>
      <c r="L387">
        <v>114.466666666667</v>
      </c>
      <c r="M387" t="s">
        <v>24</v>
      </c>
      <c r="N387" t="str">
        <f>_xlfn.XLOOKUP(A387,[1]!brca_metabric_clinical_data__2[Patient ID], [1]!brca_metabric_clinical_data__2[Tumor Size])</f>
        <v>15</v>
      </c>
      <c r="O387" t="str">
        <f>_xlfn.XLOOKUP(A387,[1]!brca_metabric_clinical_data__2[Sample ID],[1]!brca_metabric_clinical_data__2[Tumor Stage])</f>
        <v>1</v>
      </c>
    </row>
    <row r="388" spans="1:15" x14ac:dyDescent="0.45">
      <c r="A388" t="s">
        <v>421</v>
      </c>
      <c r="B388">
        <v>47.92</v>
      </c>
      <c r="C388" t="s">
        <v>16</v>
      </c>
      <c r="D388" t="s">
        <v>26</v>
      </c>
      <c r="E388" t="s">
        <v>18</v>
      </c>
      <c r="F388" t="s">
        <v>35</v>
      </c>
      <c r="G388" t="s">
        <v>20</v>
      </c>
      <c r="H388" t="s">
        <v>21</v>
      </c>
      <c r="I388" t="s">
        <v>21</v>
      </c>
      <c r="J388" t="s">
        <v>27</v>
      </c>
      <c r="K388">
        <v>9</v>
      </c>
      <c r="L388">
        <v>61.9</v>
      </c>
      <c r="M388" t="s">
        <v>24</v>
      </c>
      <c r="N388" t="str">
        <f>_xlfn.XLOOKUP(A388,[1]!brca_metabric_clinical_data__2[Patient ID], [1]!brca_metabric_clinical_data__2[Tumor Size])</f>
        <v>17</v>
      </c>
      <c r="O388" t="str">
        <f>_xlfn.XLOOKUP(A388,[1]!brca_metabric_clinical_data__2[Sample ID],[1]!brca_metabric_clinical_data__2[Tumor Stage])</f>
        <v>1</v>
      </c>
    </row>
    <row r="389" spans="1:15" x14ac:dyDescent="0.45">
      <c r="A389" t="s">
        <v>422</v>
      </c>
      <c r="B389">
        <v>61.99</v>
      </c>
      <c r="C389" t="s">
        <v>16</v>
      </c>
      <c r="D389" t="s">
        <v>17</v>
      </c>
      <c r="E389" t="s">
        <v>18</v>
      </c>
      <c r="F389" t="s">
        <v>35</v>
      </c>
      <c r="G389" t="s">
        <v>21</v>
      </c>
      <c r="H389" t="s">
        <v>21</v>
      </c>
      <c r="I389" t="s">
        <v>21</v>
      </c>
      <c r="J389" t="s">
        <v>22</v>
      </c>
      <c r="K389" t="s">
        <v>23</v>
      </c>
      <c r="L389">
        <v>110.966666666667</v>
      </c>
      <c r="M389" t="s">
        <v>24</v>
      </c>
      <c r="N389" t="str">
        <f>_xlfn.XLOOKUP(A389,[1]!brca_metabric_clinical_data__2[Patient ID], [1]!brca_metabric_clinical_data__2[Tumor Size])</f>
        <v>65</v>
      </c>
      <c r="O389" t="str">
        <f>_xlfn.XLOOKUP(A389,[1]!brca_metabric_clinical_data__2[Sample ID],[1]!brca_metabric_clinical_data__2[Tumor Stage])</f>
        <v>3</v>
      </c>
    </row>
    <row r="390" spans="1:15" x14ac:dyDescent="0.45">
      <c r="A390" t="s">
        <v>423</v>
      </c>
      <c r="B390">
        <v>52.2</v>
      </c>
      <c r="C390" t="s">
        <v>16</v>
      </c>
      <c r="D390" t="s">
        <v>17</v>
      </c>
      <c r="E390" t="s">
        <v>18</v>
      </c>
      <c r="F390" t="s">
        <v>19</v>
      </c>
      <c r="G390" t="s">
        <v>20</v>
      </c>
      <c r="H390" t="s">
        <v>21</v>
      </c>
      <c r="I390" t="s">
        <v>21</v>
      </c>
      <c r="J390" t="s">
        <v>27</v>
      </c>
      <c r="K390">
        <v>3</v>
      </c>
      <c r="L390">
        <v>212.2</v>
      </c>
      <c r="M390" t="s">
        <v>24</v>
      </c>
      <c r="N390" t="str">
        <f>_xlfn.XLOOKUP(A390,[1]!brca_metabric_clinical_data__2[Patient ID], [1]!brca_metabric_clinical_data__2[Tumor Size])</f>
        <v>30</v>
      </c>
      <c r="O390" t="str">
        <f>_xlfn.XLOOKUP(A390,[1]!brca_metabric_clinical_data__2[Sample ID],[1]!brca_metabric_clinical_data__2[Tumor Stage])</f>
        <v>2</v>
      </c>
    </row>
    <row r="391" spans="1:15" x14ac:dyDescent="0.45">
      <c r="A391" t="s">
        <v>424</v>
      </c>
      <c r="B391">
        <v>54.08</v>
      </c>
      <c r="C391" t="s">
        <v>16</v>
      </c>
      <c r="D391" t="s">
        <v>17</v>
      </c>
      <c r="E391" t="s">
        <v>37</v>
      </c>
      <c r="F391" t="s">
        <v>43</v>
      </c>
      <c r="G391" t="s">
        <v>20</v>
      </c>
      <c r="H391" t="s">
        <v>20</v>
      </c>
      <c r="I391" t="s">
        <v>20</v>
      </c>
      <c r="J391" t="s">
        <v>45</v>
      </c>
      <c r="K391">
        <v>5</v>
      </c>
      <c r="L391">
        <v>2.5</v>
      </c>
      <c r="M391" t="s">
        <v>24</v>
      </c>
      <c r="N391" t="str">
        <f>_xlfn.XLOOKUP(A391,[1]!brca_metabric_clinical_data__2[Patient ID], [1]!brca_metabric_clinical_data__2[Tumor Size])</f>
        <v>NA</v>
      </c>
      <c r="O391" t="str">
        <f>_xlfn.XLOOKUP(A391,[1]!brca_metabric_clinical_data__2[Sample ID],[1]!brca_metabric_clinical_data__2[Tumor Stage])</f>
        <v>0</v>
      </c>
    </row>
    <row r="392" spans="1:15" x14ac:dyDescent="0.45">
      <c r="A392" t="s">
        <v>425</v>
      </c>
      <c r="B392">
        <v>40.65</v>
      </c>
      <c r="C392" t="s">
        <v>16</v>
      </c>
      <c r="D392" t="s">
        <v>26</v>
      </c>
      <c r="E392" t="s">
        <v>18</v>
      </c>
      <c r="F392" t="s">
        <v>19</v>
      </c>
      <c r="G392" t="s">
        <v>21</v>
      </c>
      <c r="H392" t="s">
        <v>21</v>
      </c>
      <c r="I392" t="s">
        <v>20</v>
      </c>
      <c r="J392" t="s">
        <v>38</v>
      </c>
      <c r="K392" t="s">
        <v>23</v>
      </c>
      <c r="L392">
        <v>80.8333333333333</v>
      </c>
      <c r="M392" t="s">
        <v>24</v>
      </c>
      <c r="N392" t="str">
        <f>_xlfn.XLOOKUP(A392,[1]!brca_metabric_clinical_data__2[Patient ID], [1]!brca_metabric_clinical_data__2[Tumor Size])</f>
        <v>10</v>
      </c>
      <c r="O392" t="str">
        <f>_xlfn.XLOOKUP(A392,[1]!brca_metabric_clinical_data__2[Sample ID],[1]!brca_metabric_clinical_data__2[Tumor Stage])</f>
        <v>2</v>
      </c>
    </row>
    <row r="393" spans="1:15" x14ac:dyDescent="0.45">
      <c r="A393" t="s">
        <v>426</v>
      </c>
      <c r="B393">
        <v>48.47</v>
      </c>
      <c r="C393" t="s">
        <v>16</v>
      </c>
      <c r="D393" t="s">
        <v>26</v>
      </c>
      <c r="E393" t="s">
        <v>37</v>
      </c>
      <c r="F393" t="s">
        <v>19</v>
      </c>
      <c r="G393" t="s">
        <v>21</v>
      </c>
      <c r="H393" t="s">
        <v>20</v>
      </c>
      <c r="I393" t="s">
        <v>21</v>
      </c>
      <c r="J393" t="s">
        <v>58</v>
      </c>
      <c r="K393" t="s">
        <v>39</v>
      </c>
      <c r="L393">
        <v>65.866666666666703</v>
      </c>
      <c r="M393" t="s">
        <v>24</v>
      </c>
      <c r="N393" t="str">
        <f>_xlfn.XLOOKUP(A393,[1]!brca_metabric_clinical_data__2[Patient ID], [1]!brca_metabric_clinical_data__2[Tumor Size])</f>
        <v>25</v>
      </c>
      <c r="O393" t="str">
        <f>_xlfn.XLOOKUP(A393,[1]!brca_metabric_clinical_data__2[Sample ID],[1]!brca_metabric_clinical_data__2[Tumor Stage])</f>
        <v>2</v>
      </c>
    </row>
    <row r="394" spans="1:15" x14ac:dyDescent="0.45">
      <c r="A394" t="s">
        <v>427</v>
      </c>
      <c r="B394">
        <v>72.180000000000007</v>
      </c>
      <c r="C394" t="s">
        <v>16</v>
      </c>
      <c r="D394" t="s">
        <v>17</v>
      </c>
      <c r="E394" t="s">
        <v>37</v>
      </c>
      <c r="F394" t="s">
        <v>19</v>
      </c>
      <c r="G394" t="s">
        <v>20</v>
      </c>
      <c r="H394" t="s">
        <v>20</v>
      </c>
      <c r="I394" t="s">
        <v>20</v>
      </c>
      <c r="J394" t="s">
        <v>29</v>
      </c>
      <c r="K394">
        <v>2</v>
      </c>
      <c r="L394">
        <v>139.63333333333301</v>
      </c>
      <c r="M394" t="s">
        <v>30</v>
      </c>
      <c r="N394" t="str">
        <f>_xlfn.XLOOKUP(A394,[1]!brca_metabric_clinical_data__2[Patient ID], [1]!brca_metabric_clinical_data__2[Tumor Size])</f>
        <v>15</v>
      </c>
      <c r="O394" t="str">
        <f>_xlfn.XLOOKUP(A394,[1]!brca_metabric_clinical_data__2[Sample ID],[1]!brca_metabric_clinical_data__2[Tumor Stage])</f>
        <v>NA</v>
      </c>
    </row>
    <row r="395" spans="1:15" x14ac:dyDescent="0.45">
      <c r="A395" t="s">
        <v>428</v>
      </c>
      <c r="B395">
        <v>73.22</v>
      </c>
      <c r="C395" t="s">
        <v>16</v>
      </c>
      <c r="D395" t="s">
        <v>17</v>
      </c>
      <c r="E395" t="s">
        <v>18</v>
      </c>
      <c r="F395" t="s">
        <v>19</v>
      </c>
      <c r="G395" t="s">
        <v>20</v>
      </c>
      <c r="H395" t="s">
        <v>21</v>
      </c>
      <c r="I395" t="s">
        <v>21</v>
      </c>
      <c r="J395" t="s">
        <v>22</v>
      </c>
      <c r="K395" t="s">
        <v>23</v>
      </c>
      <c r="L395">
        <v>109.833333333333</v>
      </c>
      <c r="M395" t="s">
        <v>30</v>
      </c>
      <c r="N395" t="str">
        <f>_xlfn.XLOOKUP(A395,[1]!brca_metabric_clinical_data__2[Patient ID], [1]!brca_metabric_clinical_data__2[Tumor Size])</f>
        <v>19</v>
      </c>
      <c r="O395" t="str">
        <f>_xlfn.XLOOKUP(A395,[1]!brca_metabric_clinical_data__2[Sample ID],[1]!brca_metabric_clinical_data__2[Tumor Stage])</f>
        <v>2</v>
      </c>
    </row>
    <row r="396" spans="1:15" x14ac:dyDescent="0.45">
      <c r="A396" t="s">
        <v>429</v>
      </c>
      <c r="B396">
        <v>53.64</v>
      </c>
      <c r="C396" t="s">
        <v>16</v>
      </c>
      <c r="D396" t="s">
        <v>17</v>
      </c>
      <c r="E396" t="s">
        <v>18</v>
      </c>
      <c r="F396" t="s">
        <v>19</v>
      </c>
      <c r="G396" t="s">
        <v>21</v>
      </c>
      <c r="H396" t="s">
        <v>21</v>
      </c>
      <c r="I396" t="s">
        <v>21</v>
      </c>
      <c r="J396" t="s">
        <v>27</v>
      </c>
      <c r="K396">
        <v>2</v>
      </c>
      <c r="L396">
        <v>193.96666666666701</v>
      </c>
      <c r="M396" t="s">
        <v>24</v>
      </c>
      <c r="N396" t="str">
        <f>_xlfn.XLOOKUP(A396,[1]!brca_metabric_clinical_data__2[Patient ID], [1]!brca_metabric_clinical_data__2[Tumor Size])</f>
        <v>26</v>
      </c>
      <c r="O396" t="str">
        <f>_xlfn.XLOOKUP(A396,[1]!brca_metabric_clinical_data__2[Sample ID],[1]!brca_metabric_clinical_data__2[Tumor Stage])</f>
        <v>2</v>
      </c>
    </row>
    <row r="397" spans="1:15" x14ac:dyDescent="0.45">
      <c r="A397" t="s">
        <v>430</v>
      </c>
      <c r="B397">
        <v>67.459999999999994</v>
      </c>
      <c r="C397" t="s">
        <v>16</v>
      </c>
      <c r="D397" t="s">
        <v>17</v>
      </c>
      <c r="E397" t="s">
        <v>18</v>
      </c>
      <c r="F397" t="s">
        <v>19</v>
      </c>
      <c r="G397" t="s">
        <v>21</v>
      </c>
      <c r="H397" t="s">
        <v>21</v>
      </c>
      <c r="I397" t="s">
        <v>20</v>
      </c>
      <c r="J397" t="s">
        <v>27</v>
      </c>
      <c r="K397">
        <v>8</v>
      </c>
      <c r="L397">
        <v>48.533333333333303</v>
      </c>
      <c r="M397" t="s">
        <v>30</v>
      </c>
      <c r="N397" t="str">
        <f>_xlfn.XLOOKUP(A397,[1]!brca_metabric_clinical_data__2[Patient ID], [1]!brca_metabric_clinical_data__2[Tumor Size])</f>
        <v>25</v>
      </c>
      <c r="O397" t="str">
        <f>_xlfn.XLOOKUP(A397,[1]!brca_metabric_clinical_data__2[Sample ID],[1]!brca_metabric_clinical_data__2[Tumor Stage])</f>
        <v>4</v>
      </c>
    </row>
    <row r="398" spans="1:15" x14ac:dyDescent="0.45">
      <c r="A398" t="s">
        <v>431</v>
      </c>
      <c r="B398">
        <v>60.12</v>
      </c>
      <c r="C398" t="s">
        <v>16</v>
      </c>
      <c r="D398" t="s">
        <v>17</v>
      </c>
      <c r="E398" t="s">
        <v>37</v>
      </c>
      <c r="F398" t="s">
        <v>35</v>
      </c>
      <c r="G398" t="s">
        <v>21</v>
      </c>
      <c r="H398" t="s">
        <v>21</v>
      </c>
      <c r="I398" t="s">
        <v>21</v>
      </c>
      <c r="J398" t="s">
        <v>38</v>
      </c>
      <c r="K398" t="s">
        <v>39</v>
      </c>
      <c r="L398">
        <v>163.86666666666699</v>
      </c>
      <c r="M398" t="s">
        <v>24</v>
      </c>
      <c r="N398" t="str">
        <f>_xlfn.XLOOKUP(A398,[1]!brca_metabric_clinical_data__2[Patient ID], [1]!brca_metabric_clinical_data__2[Tumor Size])</f>
        <v>16</v>
      </c>
      <c r="O398" t="str">
        <f>_xlfn.XLOOKUP(A398,[1]!brca_metabric_clinical_data__2[Sample ID],[1]!brca_metabric_clinical_data__2[Tumor Stage])</f>
        <v>1</v>
      </c>
    </row>
    <row r="399" spans="1:15" x14ac:dyDescent="0.45">
      <c r="A399" t="s">
        <v>432</v>
      </c>
      <c r="B399">
        <v>59.07</v>
      </c>
      <c r="C399" t="s">
        <v>16</v>
      </c>
      <c r="D399" t="s">
        <v>17</v>
      </c>
      <c r="E399" t="s">
        <v>37</v>
      </c>
      <c r="F399" t="s">
        <v>19</v>
      </c>
      <c r="G399" t="s">
        <v>21</v>
      </c>
      <c r="H399" t="s">
        <v>21</v>
      </c>
      <c r="I399" t="s">
        <v>21</v>
      </c>
      <c r="J399" t="s">
        <v>29</v>
      </c>
      <c r="K399">
        <v>9</v>
      </c>
      <c r="L399">
        <v>143.13333333333301</v>
      </c>
      <c r="M399" t="s">
        <v>30</v>
      </c>
      <c r="N399" t="str">
        <f>_xlfn.XLOOKUP(A399,[1]!brca_metabric_clinical_data__2[Patient ID], [1]!brca_metabric_clinical_data__2[Tumor Size])</f>
        <v>35</v>
      </c>
      <c r="O399" t="str">
        <f>_xlfn.XLOOKUP(A399,[1]!brca_metabric_clinical_data__2[Sample ID],[1]!brca_metabric_clinical_data__2[Tumor Stage])</f>
        <v>2</v>
      </c>
    </row>
    <row r="400" spans="1:15" x14ac:dyDescent="0.45">
      <c r="A400" t="s">
        <v>433</v>
      </c>
      <c r="B400">
        <v>51.56</v>
      </c>
      <c r="C400" t="s">
        <v>16</v>
      </c>
      <c r="D400" t="s">
        <v>17</v>
      </c>
      <c r="E400" t="s">
        <v>18</v>
      </c>
      <c r="F400" t="s">
        <v>19</v>
      </c>
      <c r="G400" t="s">
        <v>21</v>
      </c>
      <c r="H400" t="s">
        <v>21</v>
      </c>
      <c r="I400" t="s">
        <v>21</v>
      </c>
      <c r="J400" t="s">
        <v>22</v>
      </c>
      <c r="K400" t="s">
        <v>23</v>
      </c>
      <c r="L400">
        <v>124.1</v>
      </c>
      <c r="M400" t="s">
        <v>24</v>
      </c>
      <c r="N400" t="str">
        <f>_xlfn.XLOOKUP(A400,[1]!brca_metabric_clinical_data__2[Patient ID], [1]!brca_metabric_clinical_data__2[Tumor Size])</f>
        <v>17</v>
      </c>
      <c r="O400" t="str">
        <f>_xlfn.XLOOKUP(A400,[1]!brca_metabric_clinical_data__2[Sample ID],[1]!brca_metabric_clinical_data__2[Tumor Stage])</f>
        <v>2</v>
      </c>
    </row>
    <row r="401" spans="1:15" x14ac:dyDescent="0.45">
      <c r="A401" t="s">
        <v>434</v>
      </c>
      <c r="B401">
        <v>46.66</v>
      </c>
      <c r="C401" t="s">
        <v>16</v>
      </c>
      <c r="D401" t="s">
        <v>26</v>
      </c>
      <c r="E401" t="s">
        <v>18</v>
      </c>
      <c r="F401" t="s">
        <v>19</v>
      </c>
      <c r="G401" t="s">
        <v>20</v>
      </c>
      <c r="H401" t="s">
        <v>21</v>
      </c>
      <c r="I401" t="s">
        <v>21</v>
      </c>
      <c r="J401" t="s">
        <v>27</v>
      </c>
      <c r="K401">
        <v>8</v>
      </c>
      <c r="L401">
        <v>199.13333333333301</v>
      </c>
      <c r="M401" t="s">
        <v>24</v>
      </c>
      <c r="N401" t="str">
        <f>_xlfn.XLOOKUP(A401,[1]!brca_metabric_clinical_data__2[Patient ID], [1]!brca_metabric_clinical_data__2[Tumor Size])</f>
        <v>12</v>
      </c>
      <c r="O401" t="str">
        <f>_xlfn.XLOOKUP(A401,[1]!brca_metabric_clinical_data__2[Sample ID],[1]!brca_metabric_clinical_data__2[Tumor Stage])</f>
        <v>1</v>
      </c>
    </row>
    <row r="402" spans="1:15" x14ac:dyDescent="0.45">
      <c r="A402" t="s">
        <v>435</v>
      </c>
      <c r="B402">
        <v>67.88</v>
      </c>
      <c r="C402" t="s">
        <v>16</v>
      </c>
      <c r="D402" t="s">
        <v>17</v>
      </c>
      <c r="E402" t="s">
        <v>18</v>
      </c>
      <c r="F402" t="s">
        <v>19</v>
      </c>
      <c r="G402" t="s">
        <v>20</v>
      </c>
      <c r="H402" t="s">
        <v>21</v>
      </c>
      <c r="I402" t="s">
        <v>21</v>
      </c>
      <c r="J402" t="s">
        <v>29</v>
      </c>
      <c r="K402">
        <v>1</v>
      </c>
      <c r="L402">
        <v>147.36666666666699</v>
      </c>
      <c r="M402" t="s">
        <v>30</v>
      </c>
      <c r="N402" t="str">
        <f>_xlfn.XLOOKUP(A402,[1]!brca_metabric_clinical_data__2[Patient ID], [1]!brca_metabric_clinical_data__2[Tumor Size])</f>
        <v>20</v>
      </c>
      <c r="O402" t="str">
        <f>_xlfn.XLOOKUP(A402,[1]!brca_metabric_clinical_data__2[Sample ID],[1]!brca_metabric_clinical_data__2[Tumor Stage])</f>
        <v>1</v>
      </c>
    </row>
    <row r="403" spans="1:15" x14ac:dyDescent="0.45">
      <c r="A403" t="s">
        <v>436</v>
      </c>
      <c r="B403">
        <v>59.8</v>
      </c>
      <c r="C403" t="s">
        <v>16</v>
      </c>
      <c r="D403" t="s">
        <v>17</v>
      </c>
      <c r="E403" t="s">
        <v>18</v>
      </c>
      <c r="F403" t="s">
        <v>19</v>
      </c>
      <c r="G403" t="s">
        <v>21</v>
      </c>
      <c r="H403" t="s">
        <v>21</v>
      </c>
      <c r="I403" t="s">
        <v>21</v>
      </c>
      <c r="J403" t="s">
        <v>22</v>
      </c>
      <c r="K403" t="s">
        <v>23</v>
      </c>
      <c r="L403">
        <v>113.566666666667</v>
      </c>
      <c r="M403" t="s">
        <v>24</v>
      </c>
      <c r="N403" t="str">
        <f>_xlfn.XLOOKUP(A403,[1]!brca_metabric_clinical_data__2[Patient ID], [1]!brca_metabric_clinical_data__2[Tumor Size])</f>
        <v>14</v>
      </c>
      <c r="O403" t="str">
        <f>_xlfn.XLOOKUP(A403,[1]!brca_metabric_clinical_data__2[Sample ID],[1]!brca_metabric_clinical_data__2[Tumor Stage])</f>
        <v>2</v>
      </c>
    </row>
    <row r="404" spans="1:15" x14ac:dyDescent="0.45">
      <c r="A404" t="s">
        <v>437</v>
      </c>
      <c r="B404">
        <v>61.89</v>
      </c>
      <c r="C404" t="s">
        <v>16</v>
      </c>
      <c r="D404" t="s">
        <v>17</v>
      </c>
      <c r="E404" t="s">
        <v>18</v>
      </c>
      <c r="F404" t="s">
        <v>19</v>
      </c>
      <c r="G404" t="s">
        <v>21</v>
      </c>
      <c r="H404" t="s">
        <v>21</v>
      </c>
      <c r="I404" t="s">
        <v>21</v>
      </c>
      <c r="J404" t="s">
        <v>27</v>
      </c>
      <c r="K404">
        <v>9</v>
      </c>
      <c r="L404">
        <v>24.1</v>
      </c>
      <c r="M404" t="s">
        <v>30</v>
      </c>
      <c r="N404" t="str">
        <f>_xlfn.XLOOKUP(A404,[1]!brca_metabric_clinical_data__2[Patient ID], [1]!brca_metabric_clinical_data__2[Tumor Size])</f>
        <v>37</v>
      </c>
      <c r="O404" t="str">
        <f>_xlfn.XLOOKUP(A404,[1]!brca_metabric_clinical_data__2[Sample ID],[1]!brca_metabric_clinical_data__2[Tumor Stage])</f>
        <v>2</v>
      </c>
    </row>
    <row r="405" spans="1:15" x14ac:dyDescent="0.45">
      <c r="A405" t="s">
        <v>438</v>
      </c>
      <c r="B405">
        <v>64.209999999999994</v>
      </c>
      <c r="C405" t="s">
        <v>16</v>
      </c>
      <c r="D405" t="s">
        <v>17</v>
      </c>
      <c r="F405" t="s">
        <v>43</v>
      </c>
      <c r="G405" t="s">
        <v>20</v>
      </c>
      <c r="H405" t="s">
        <v>20</v>
      </c>
      <c r="I405" t="s">
        <v>20</v>
      </c>
      <c r="J405" t="s">
        <v>58</v>
      </c>
      <c r="K405">
        <v>5</v>
      </c>
      <c r="L405">
        <v>85.5</v>
      </c>
      <c r="M405" t="s">
        <v>30</v>
      </c>
      <c r="N405" t="str">
        <f>_xlfn.XLOOKUP(A405,[1]!brca_metabric_clinical_data__2[Patient ID], [1]!brca_metabric_clinical_data__2[Tumor Size])</f>
        <v>20</v>
      </c>
      <c r="O405" t="str">
        <f>_xlfn.XLOOKUP(A405,[1]!brca_metabric_clinical_data__2[Sample ID],[1]!brca_metabric_clinical_data__2[Tumor Stage])</f>
        <v>0</v>
      </c>
    </row>
    <row r="406" spans="1:15" x14ac:dyDescent="0.45">
      <c r="A406" t="s">
        <v>439</v>
      </c>
      <c r="B406">
        <v>66.11</v>
      </c>
      <c r="C406" t="s">
        <v>16</v>
      </c>
      <c r="D406" t="s">
        <v>17</v>
      </c>
      <c r="E406" t="s">
        <v>18</v>
      </c>
      <c r="F406" t="s">
        <v>19</v>
      </c>
      <c r="G406" t="s">
        <v>20</v>
      </c>
      <c r="H406" t="s">
        <v>21</v>
      </c>
      <c r="I406" t="s">
        <v>21</v>
      </c>
      <c r="J406" t="s">
        <v>22</v>
      </c>
      <c r="K406" t="s">
        <v>23</v>
      </c>
      <c r="L406">
        <v>194.53333333333299</v>
      </c>
      <c r="M406" t="s">
        <v>24</v>
      </c>
      <c r="N406" t="str">
        <f>_xlfn.XLOOKUP(A406,[1]!brca_metabric_clinical_data__2[Patient ID], [1]!brca_metabric_clinical_data__2[Tumor Size])</f>
        <v>12</v>
      </c>
      <c r="O406" t="str">
        <f>_xlfn.XLOOKUP(A406,[1]!brca_metabric_clinical_data__2[Sample ID],[1]!brca_metabric_clinical_data__2[Tumor Stage])</f>
        <v>1</v>
      </c>
    </row>
    <row r="407" spans="1:15" x14ac:dyDescent="0.45">
      <c r="A407" t="s">
        <v>440</v>
      </c>
      <c r="B407">
        <v>38.86</v>
      </c>
      <c r="C407" t="s">
        <v>16</v>
      </c>
      <c r="D407" t="s">
        <v>26</v>
      </c>
      <c r="E407" t="s">
        <v>18</v>
      </c>
      <c r="F407" t="s">
        <v>19</v>
      </c>
      <c r="G407" t="s">
        <v>21</v>
      </c>
      <c r="H407" t="s">
        <v>21</v>
      </c>
      <c r="I407" t="s">
        <v>21</v>
      </c>
      <c r="J407" t="s">
        <v>27</v>
      </c>
      <c r="K407">
        <v>9</v>
      </c>
      <c r="L407">
        <v>174.26666666666699</v>
      </c>
      <c r="M407" t="s">
        <v>24</v>
      </c>
      <c r="N407" t="str">
        <f>_xlfn.XLOOKUP(A407,[1]!brca_metabric_clinical_data__2[Patient ID], [1]!brca_metabric_clinical_data__2[Tumor Size])</f>
        <v>19</v>
      </c>
      <c r="O407" t="str">
        <f>_xlfn.XLOOKUP(A407,[1]!brca_metabric_clinical_data__2[Sample ID],[1]!brca_metabric_clinical_data__2[Tumor Stage])</f>
        <v>1</v>
      </c>
    </row>
    <row r="408" spans="1:15" x14ac:dyDescent="0.45">
      <c r="A408" t="s">
        <v>441</v>
      </c>
      <c r="B408">
        <v>39.299999999999997</v>
      </c>
      <c r="C408" t="s">
        <v>16</v>
      </c>
      <c r="D408" t="s">
        <v>26</v>
      </c>
      <c r="E408" t="s">
        <v>18</v>
      </c>
      <c r="F408" t="s">
        <v>19</v>
      </c>
      <c r="G408" t="s">
        <v>21</v>
      </c>
      <c r="H408" t="s">
        <v>21</v>
      </c>
      <c r="I408" t="s">
        <v>21</v>
      </c>
      <c r="J408" t="s">
        <v>38</v>
      </c>
      <c r="K408">
        <v>1</v>
      </c>
      <c r="L408">
        <v>48.6</v>
      </c>
      <c r="M408" t="s">
        <v>30</v>
      </c>
      <c r="N408" t="str">
        <f>_xlfn.XLOOKUP(A408,[1]!brca_metabric_clinical_data__2[Patient ID], [1]!brca_metabric_clinical_data__2[Tumor Size])</f>
        <v>23</v>
      </c>
      <c r="O408" t="str">
        <f>_xlfn.XLOOKUP(A408,[1]!brca_metabric_clinical_data__2[Sample ID],[1]!brca_metabric_clinical_data__2[Tumor Stage])</f>
        <v>2</v>
      </c>
    </row>
    <row r="409" spans="1:15" x14ac:dyDescent="0.45">
      <c r="A409" t="s">
        <v>442</v>
      </c>
      <c r="B409">
        <v>45.9</v>
      </c>
      <c r="C409" t="s">
        <v>16</v>
      </c>
      <c r="D409" t="s">
        <v>26</v>
      </c>
      <c r="E409" t="s">
        <v>18</v>
      </c>
      <c r="F409" t="s">
        <v>43</v>
      </c>
      <c r="G409" t="s">
        <v>20</v>
      </c>
      <c r="H409" t="s">
        <v>21</v>
      </c>
      <c r="I409" t="s">
        <v>21</v>
      </c>
      <c r="J409" t="s">
        <v>58</v>
      </c>
      <c r="K409">
        <v>1</v>
      </c>
      <c r="L409">
        <v>154.76666666666699</v>
      </c>
      <c r="M409" t="s">
        <v>24</v>
      </c>
      <c r="N409" t="str">
        <f>_xlfn.XLOOKUP(A409,[1]!brca_metabric_clinical_data__2[Patient ID], [1]!brca_metabric_clinical_data__2[Tumor Size])</f>
        <v>27</v>
      </c>
      <c r="O409" t="str">
        <f>_xlfn.XLOOKUP(A409,[1]!brca_metabric_clinical_data__2[Sample ID],[1]!brca_metabric_clinical_data__2[Tumor Stage])</f>
        <v>2</v>
      </c>
    </row>
    <row r="410" spans="1:15" x14ac:dyDescent="0.45">
      <c r="A410" t="s">
        <v>443</v>
      </c>
      <c r="B410">
        <v>74.459999999999994</v>
      </c>
      <c r="C410" t="s">
        <v>16</v>
      </c>
      <c r="D410" t="s">
        <v>17</v>
      </c>
      <c r="E410" t="s">
        <v>18</v>
      </c>
      <c r="F410" t="s">
        <v>19</v>
      </c>
      <c r="G410" t="s">
        <v>21</v>
      </c>
      <c r="H410" t="s">
        <v>21</v>
      </c>
      <c r="I410" t="s">
        <v>21</v>
      </c>
      <c r="J410" t="s">
        <v>29</v>
      </c>
      <c r="K410">
        <v>8</v>
      </c>
      <c r="L410">
        <v>79.3333333333333</v>
      </c>
      <c r="M410" t="s">
        <v>30</v>
      </c>
      <c r="N410" t="str">
        <f>_xlfn.XLOOKUP(A410,[1]!brca_metabric_clinical_data__2[Patient ID], [1]!brca_metabric_clinical_data__2[Tumor Size])</f>
        <v>52</v>
      </c>
      <c r="O410" t="str">
        <f>_xlfn.XLOOKUP(A410,[1]!brca_metabric_clinical_data__2[Sample ID],[1]!brca_metabric_clinical_data__2[Tumor Stage])</f>
        <v>3</v>
      </c>
    </row>
    <row r="411" spans="1:15" x14ac:dyDescent="0.45">
      <c r="A411" t="s">
        <v>444</v>
      </c>
      <c r="B411">
        <v>83.92</v>
      </c>
      <c r="C411" t="s">
        <v>16</v>
      </c>
      <c r="D411" t="s">
        <v>17</v>
      </c>
      <c r="E411" t="s">
        <v>18</v>
      </c>
      <c r="F411" t="s">
        <v>19</v>
      </c>
      <c r="G411" t="s">
        <v>20</v>
      </c>
      <c r="H411" t="s">
        <v>21</v>
      </c>
      <c r="I411" t="s">
        <v>21</v>
      </c>
      <c r="J411" t="s">
        <v>38</v>
      </c>
      <c r="K411">
        <v>6</v>
      </c>
      <c r="L411">
        <v>41.1666666666667</v>
      </c>
      <c r="M411" t="s">
        <v>30</v>
      </c>
      <c r="N411" t="str">
        <f>_xlfn.XLOOKUP(A411,[1]!brca_metabric_clinical_data__2[Patient ID], [1]!brca_metabric_clinical_data__2[Tumor Size])</f>
        <v>26</v>
      </c>
      <c r="O411" t="str">
        <f>_xlfn.XLOOKUP(A411,[1]!brca_metabric_clinical_data__2[Sample ID],[1]!brca_metabric_clinical_data__2[Tumor Stage])</f>
        <v>2</v>
      </c>
    </row>
    <row r="412" spans="1:15" x14ac:dyDescent="0.45">
      <c r="A412" t="s">
        <v>445</v>
      </c>
      <c r="B412">
        <v>51.45</v>
      </c>
      <c r="C412" t="s">
        <v>16</v>
      </c>
      <c r="D412" t="s">
        <v>17</v>
      </c>
      <c r="E412" t="s">
        <v>18</v>
      </c>
      <c r="F412" t="s">
        <v>19</v>
      </c>
      <c r="G412" t="s">
        <v>21</v>
      </c>
      <c r="H412" t="s">
        <v>21</v>
      </c>
      <c r="I412" t="s">
        <v>21</v>
      </c>
      <c r="J412" t="s">
        <v>38</v>
      </c>
      <c r="K412">
        <v>3</v>
      </c>
      <c r="L412">
        <v>193.8</v>
      </c>
      <c r="M412" t="s">
        <v>24</v>
      </c>
      <c r="N412" t="str">
        <f>_xlfn.XLOOKUP(A412,[1]!brca_metabric_clinical_data__2[Patient ID], [1]!brca_metabric_clinical_data__2[Tumor Size])</f>
        <v>12</v>
      </c>
      <c r="O412" t="str">
        <f>_xlfn.XLOOKUP(A412,[1]!brca_metabric_clinical_data__2[Sample ID],[1]!brca_metabric_clinical_data__2[Tumor Stage])</f>
        <v>2</v>
      </c>
    </row>
    <row r="413" spans="1:15" x14ac:dyDescent="0.45">
      <c r="A413" t="s">
        <v>446</v>
      </c>
      <c r="B413">
        <v>66.73</v>
      </c>
      <c r="C413" t="s">
        <v>16</v>
      </c>
      <c r="E413" t="s">
        <v>18</v>
      </c>
      <c r="N413" t="str">
        <f>_xlfn.XLOOKUP(A413,[1]!brca_metabric_clinical_data__2[Patient ID], [1]!brca_metabric_clinical_data__2[Tumor Size])</f>
        <v>25</v>
      </c>
      <c r="O413" t="str">
        <f>_xlfn.XLOOKUP(A413,[1]!brca_metabric_clinical_data__2[Sample ID],[1]!brca_metabric_clinical_data__2[Tumor Stage])</f>
        <v>2</v>
      </c>
    </row>
    <row r="414" spans="1:15" x14ac:dyDescent="0.45">
      <c r="A414" t="s">
        <v>447</v>
      </c>
      <c r="B414">
        <v>76.84</v>
      </c>
      <c r="C414" t="s">
        <v>16</v>
      </c>
      <c r="D414" t="s">
        <v>17</v>
      </c>
      <c r="E414" t="s">
        <v>18</v>
      </c>
      <c r="F414" t="s">
        <v>43</v>
      </c>
      <c r="G414" t="s">
        <v>20</v>
      </c>
      <c r="H414" t="s">
        <v>21</v>
      </c>
      <c r="I414" t="s">
        <v>20</v>
      </c>
      <c r="J414" t="s">
        <v>29</v>
      </c>
      <c r="K414">
        <v>5</v>
      </c>
      <c r="L414">
        <v>25.966666666666701</v>
      </c>
      <c r="M414" t="s">
        <v>24</v>
      </c>
      <c r="N414" t="str">
        <f>_xlfn.XLOOKUP(A414,[1]!brca_metabric_clinical_data__2[Patient ID], [1]!brca_metabric_clinical_data__2[Tumor Size])</f>
        <v>30</v>
      </c>
      <c r="O414" t="str">
        <f>_xlfn.XLOOKUP(A414,[1]!brca_metabric_clinical_data__2[Sample ID],[1]!brca_metabric_clinical_data__2[Tumor Stage])</f>
        <v>2</v>
      </c>
    </row>
    <row r="415" spans="1:15" x14ac:dyDescent="0.45">
      <c r="A415" t="s">
        <v>448</v>
      </c>
      <c r="B415">
        <v>60.12</v>
      </c>
      <c r="C415" t="s">
        <v>16</v>
      </c>
      <c r="D415" t="s">
        <v>17</v>
      </c>
      <c r="E415" t="s">
        <v>18</v>
      </c>
      <c r="F415" t="s">
        <v>19</v>
      </c>
      <c r="G415" t="s">
        <v>20</v>
      </c>
      <c r="H415" t="s">
        <v>20</v>
      </c>
      <c r="I415" t="s">
        <v>20</v>
      </c>
      <c r="J415" t="s">
        <v>29</v>
      </c>
      <c r="K415">
        <v>8</v>
      </c>
      <c r="L415">
        <v>132.333333333333</v>
      </c>
      <c r="M415" t="s">
        <v>30</v>
      </c>
      <c r="N415" t="str">
        <f>_xlfn.XLOOKUP(A415,[1]!brca_metabric_clinical_data__2[Patient ID], [1]!brca_metabric_clinical_data__2[Tumor Size])</f>
        <v>15</v>
      </c>
      <c r="O415" t="str">
        <f>_xlfn.XLOOKUP(A415,[1]!brca_metabric_clinical_data__2[Sample ID],[1]!brca_metabric_clinical_data__2[Tumor Stage])</f>
        <v>NA</v>
      </c>
    </row>
    <row r="416" spans="1:15" x14ac:dyDescent="0.45">
      <c r="A416" t="s">
        <v>449</v>
      </c>
      <c r="B416">
        <v>76.319999999999993</v>
      </c>
      <c r="C416" t="s">
        <v>16</v>
      </c>
      <c r="D416" t="s">
        <v>17</v>
      </c>
      <c r="E416" t="s">
        <v>18</v>
      </c>
      <c r="F416" t="s">
        <v>19</v>
      </c>
      <c r="G416" t="s">
        <v>20</v>
      </c>
      <c r="H416" t="s">
        <v>21</v>
      </c>
      <c r="I416" t="s">
        <v>21</v>
      </c>
      <c r="J416" t="s">
        <v>38</v>
      </c>
      <c r="K416" t="s">
        <v>23</v>
      </c>
      <c r="L416">
        <v>51.966666666666697</v>
      </c>
      <c r="M416" t="s">
        <v>30</v>
      </c>
      <c r="N416" t="str">
        <f>_xlfn.XLOOKUP(A416,[1]!brca_metabric_clinical_data__2[Patient ID], [1]!brca_metabric_clinical_data__2[Tumor Size])</f>
        <v>32</v>
      </c>
      <c r="O416" t="str">
        <f>_xlfn.XLOOKUP(A416,[1]!brca_metabric_clinical_data__2[Sample ID],[1]!brca_metabric_clinical_data__2[Tumor Stage])</f>
        <v>2</v>
      </c>
    </row>
    <row r="417" spans="1:15" x14ac:dyDescent="0.45">
      <c r="A417" t="s">
        <v>450</v>
      </c>
      <c r="B417">
        <v>61.53</v>
      </c>
      <c r="C417" t="s">
        <v>16</v>
      </c>
      <c r="D417" t="s">
        <v>17</v>
      </c>
      <c r="E417" t="s">
        <v>18</v>
      </c>
      <c r="F417" t="s">
        <v>43</v>
      </c>
      <c r="G417" t="s">
        <v>21</v>
      </c>
      <c r="H417" t="s">
        <v>21</v>
      </c>
      <c r="I417" t="s">
        <v>21</v>
      </c>
      <c r="J417" t="s">
        <v>45</v>
      </c>
      <c r="K417">
        <v>5</v>
      </c>
      <c r="L417">
        <v>68.066666666666706</v>
      </c>
      <c r="M417" t="s">
        <v>30</v>
      </c>
      <c r="N417" t="str">
        <f>_xlfn.XLOOKUP(A417,[1]!brca_metabric_clinical_data__2[Patient ID], [1]!brca_metabric_clinical_data__2[Tumor Size])</f>
        <v>29</v>
      </c>
      <c r="O417" t="str">
        <f>_xlfn.XLOOKUP(A417,[1]!brca_metabric_clinical_data__2[Sample ID],[1]!brca_metabric_clinical_data__2[Tumor Stage])</f>
        <v>2</v>
      </c>
    </row>
    <row r="418" spans="1:15" x14ac:dyDescent="0.45">
      <c r="A418" t="s">
        <v>451</v>
      </c>
      <c r="B418">
        <v>86.99</v>
      </c>
      <c r="C418" t="s">
        <v>16</v>
      </c>
      <c r="D418" t="s">
        <v>17</v>
      </c>
      <c r="E418" t="s">
        <v>18</v>
      </c>
      <c r="F418" t="s">
        <v>43</v>
      </c>
      <c r="G418" t="s">
        <v>20</v>
      </c>
      <c r="H418" t="s">
        <v>21</v>
      </c>
      <c r="I418" t="s">
        <v>21</v>
      </c>
      <c r="J418" t="s">
        <v>27</v>
      </c>
      <c r="K418">
        <v>5</v>
      </c>
      <c r="L418">
        <v>85.733333333333306</v>
      </c>
      <c r="M418" t="s">
        <v>30</v>
      </c>
      <c r="N418" t="str">
        <f>_xlfn.XLOOKUP(A418,[1]!brca_metabric_clinical_data__2[Patient ID], [1]!brca_metabric_clinical_data__2[Tumor Size])</f>
        <v>20</v>
      </c>
      <c r="O418" t="str">
        <f>_xlfn.XLOOKUP(A418,[1]!brca_metabric_clinical_data__2[Sample ID],[1]!brca_metabric_clinical_data__2[Tumor Stage])</f>
        <v>2</v>
      </c>
    </row>
    <row r="419" spans="1:15" x14ac:dyDescent="0.45">
      <c r="A419" t="s">
        <v>452</v>
      </c>
      <c r="B419">
        <v>82.35</v>
      </c>
      <c r="C419" t="s">
        <v>16</v>
      </c>
      <c r="D419" t="s">
        <v>17</v>
      </c>
      <c r="E419" t="s">
        <v>18</v>
      </c>
      <c r="F419" t="s">
        <v>19</v>
      </c>
      <c r="G419" t="s">
        <v>20</v>
      </c>
      <c r="H419" t="s">
        <v>21</v>
      </c>
      <c r="I419" t="s">
        <v>20</v>
      </c>
      <c r="J419" t="s">
        <v>27</v>
      </c>
      <c r="K419">
        <v>8</v>
      </c>
      <c r="L419">
        <v>111.166666666667</v>
      </c>
      <c r="M419" t="s">
        <v>30</v>
      </c>
      <c r="N419" t="str">
        <f>_xlfn.XLOOKUP(A419,[1]!brca_metabric_clinical_data__2[Patient ID], [1]!brca_metabric_clinical_data__2[Tumor Size])</f>
        <v>16</v>
      </c>
      <c r="O419" t="str">
        <f>_xlfn.XLOOKUP(A419,[1]!brca_metabric_clinical_data__2[Sample ID],[1]!brca_metabric_clinical_data__2[Tumor Stage])</f>
        <v>1</v>
      </c>
    </row>
    <row r="420" spans="1:15" x14ac:dyDescent="0.45">
      <c r="A420" t="s">
        <v>453</v>
      </c>
      <c r="B420">
        <v>69.88</v>
      </c>
      <c r="C420" t="s">
        <v>16</v>
      </c>
      <c r="D420" t="s">
        <v>17</v>
      </c>
      <c r="E420" t="s">
        <v>37</v>
      </c>
      <c r="F420" t="s">
        <v>43</v>
      </c>
      <c r="G420" t="s">
        <v>20</v>
      </c>
      <c r="H420" t="s">
        <v>20</v>
      </c>
      <c r="I420" t="s">
        <v>20</v>
      </c>
      <c r="J420" t="s">
        <v>22</v>
      </c>
      <c r="K420">
        <v>10</v>
      </c>
      <c r="L420">
        <v>97.8333333333333</v>
      </c>
      <c r="M420" t="s">
        <v>30</v>
      </c>
      <c r="N420" t="str">
        <f>_xlfn.XLOOKUP(A420,[1]!brca_metabric_clinical_data__2[Patient ID], [1]!brca_metabric_clinical_data__2[Tumor Size])</f>
        <v>28</v>
      </c>
      <c r="O420" t="str">
        <f>_xlfn.XLOOKUP(A420,[1]!brca_metabric_clinical_data__2[Sample ID],[1]!brca_metabric_clinical_data__2[Tumor Stage])</f>
        <v>2</v>
      </c>
    </row>
    <row r="421" spans="1:15" x14ac:dyDescent="0.45">
      <c r="A421" t="s">
        <v>454</v>
      </c>
      <c r="B421">
        <v>47.71</v>
      </c>
      <c r="C421" t="s">
        <v>16</v>
      </c>
      <c r="D421" t="s">
        <v>26</v>
      </c>
      <c r="E421" t="s">
        <v>18</v>
      </c>
      <c r="F421" t="s">
        <v>19</v>
      </c>
      <c r="G421" t="s">
        <v>21</v>
      </c>
      <c r="H421" t="s">
        <v>21</v>
      </c>
      <c r="I421" t="s">
        <v>20</v>
      </c>
      <c r="J421" t="s">
        <v>27</v>
      </c>
      <c r="K421">
        <v>7</v>
      </c>
      <c r="L421">
        <v>161.76666666666699</v>
      </c>
      <c r="M421" t="s">
        <v>24</v>
      </c>
      <c r="N421" t="str">
        <f>_xlfn.XLOOKUP(A421,[1]!brca_metabric_clinical_data__2[Patient ID], [1]!brca_metabric_clinical_data__2[Tumor Size])</f>
        <v>25</v>
      </c>
      <c r="O421" t="str">
        <f>_xlfn.XLOOKUP(A421,[1]!brca_metabric_clinical_data__2[Sample ID],[1]!brca_metabric_clinical_data__2[Tumor Stage])</f>
        <v>2</v>
      </c>
    </row>
    <row r="422" spans="1:15" x14ac:dyDescent="0.45">
      <c r="A422" t="s">
        <v>455</v>
      </c>
      <c r="B422">
        <v>48.39</v>
      </c>
      <c r="C422" t="s">
        <v>16</v>
      </c>
      <c r="D422" t="s">
        <v>26</v>
      </c>
      <c r="E422" t="s">
        <v>37</v>
      </c>
      <c r="F422" t="s">
        <v>43</v>
      </c>
      <c r="G422" t="s">
        <v>21</v>
      </c>
      <c r="H422" t="s">
        <v>20</v>
      </c>
      <c r="I422" t="s">
        <v>20</v>
      </c>
      <c r="J422" t="s">
        <v>38</v>
      </c>
      <c r="K422" t="s">
        <v>39</v>
      </c>
      <c r="L422">
        <v>37.933333333333302</v>
      </c>
      <c r="M422" t="s">
        <v>30</v>
      </c>
      <c r="N422" t="str">
        <f>_xlfn.XLOOKUP(A422,[1]!brca_metabric_clinical_data__2[Patient ID], [1]!brca_metabric_clinical_data__2[Tumor Size])</f>
        <v>22</v>
      </c>
      <c r="O422" t="str">
        <f>_xlfn.XLOOKUP(A422,[1]!brca_metabric_clinical_data__2[Sample ID],[1]!brca_metabric_clinical_data__2[Tumor Stage])</f>
        <v>1</v>
      </c>
    </row>
    <row r="423" spans="1:15" x14ac:dyDescent="0.45">
      <c r="A423" t="s">
        <v>456</v>
      </c>
      <c r="B423">
        <v>61.28</v>
      </c>
      <c r="C423" t="s">
        <v>16</v>
      </c>
      <c r="D423" t="s">
        <v>17</v>
      </c>
      <c r="E423" t="s">
        <v>18</v>
      </c>
      <c r="F423" t="s">
        <v>19</v>
      </c>
      <c r="G423" t="s">
        <v>20</v>
      </c>
      <c r="H423" t="s">
        <v>21</v>
      </c>
      <c r="I423" t="s">
        <v>20</v>
      </c>
      <c r="J423" t="s">
        <v>27</v>
      </c>
      <c r="K423">
        <v>7</v>
      </c>
      <c r="L423">
        <v>181.46666666666701</v>
      </c>
      <c r="M423" t="s">
        <v>24</v>
      </c>
      <c r="N423" t="str">
        <f>_xlfn.XLOOKUP(A423,[1]!brca_metabric_clinical_data__2[Patient ID], [1]!brca_metabric_clinical_data__2[Tumor Size])</f>
        <v>17</v>
      </c>
      <c r="O423" t="str">
        <f>_xlfn.XLOOKUP(A423,[1]!brca_metabric_clinical_data__2[Sample ID],[1]!brca_metabric_clinical_data__2[Tumor Stage])</f>
        <v>2</v>
      </c>
    </row>
    <row r="424" spans="1:15" x14ac:dyDescent="0.45">
      <c r="A424" t="s">
        <v>457</v>
      </c>
      <c r="B424">
        <v>74.959999999999994</v>
      </c>
      <c r="C424" t="s">
        <v>16</v>
      </c>
      <c r="D424" t="s">
        <v>17</v>
      </c>
      <c r="E424" t="s">
        <v>18</v>
      </c>
      <c r="F424" t="s">
        <v>19</v>
      </c>
      <c r="G424" t="s">
        <v>21</v>
      </c>
      <c r="H424" t="s">
        <v>21</v>
      </c>
      <c r="I424" t="s">
        <v>21</v>
      </c>
      <c r="J424" t="s">
        <v>29</v>
      </c>
      <c r="K424" t="s">
        <v>23</v>
      </c>
      <c r="L424">
        <v>59.5</v>
      </c>
      <c r="M424" t="s">
        <v>30</v>
      </c>
      <c r="N424" t="str">
        <f>_xlfn.XLOOKUP(A424,[1]!brca_metabric_clinical_data__2[Patient ID], [1]!brca_metabric_clinical_data__2[Tumor Size])</f>
        <v>23</v>
      </c>
      <c r="O424" t="str">
        <f>_xlfn.XLOOKUP(A424,[1]!brca_metabric_clinical_data__2[Sample ID],[1]!brca_metabric_clinical_data__2[Tumor Stage])</f>
        <v>2</v>
      </c>
    </row>
    <row r="425" spans="1:15" x14ac:dyDescent="0.45">
      <c r="A425" t="s">
        <v>458</v>
      </c>
      <c r="B425">
        <v>68.989999999999995</v>
      </c>
      <c r="C425" t="s">
        <v>16</v>
      </c>
      <c r="D425" t="s">
        <v>17</v>
      </c>
      <c r="E425" t="s">
        <v>18</v>
      </c>
      <c r="F425" t="s">
        <v>43</v>
      </c>
      <c r="G425" t="s">
        <v>20</v>
      </c>
      <c r="H425" t="s">
        <v>21</v>
      </c>
      <c r="I425" t="s">
        <v>21</v>
      </c>
      <c r="J425" t="s">
        <v>29</v>
      </c>
      <c r="K425">
        <v>6</v>
      </c>
      <c r="L425">
        <v>272.2</v>
      </c>
      <c r="M425" t="s">
        <v>24</v>
      </c>
      <c r="N425" t="str">
        <f>_xlfn.XLOOKUP(A425,[1]!brca_metabric_clinical_data__2[Patient ID], [1]!brca_metabric_clinical_data__2[Tumor Size])</f>
        <v>20</v>
      </c>
      <c r="O425" t="str">
        <f>_xlfn.XLOOKUP(A425,[1]!brca_metabric_clinical_data__2[Sample ID],[1]!brca_metabric_clinical_data__2[Tumor Stage])</f>
        <v>2</v>
      </c>
    </row>
    <row r="426" spans="1:15" x14ac:dyDescent="0.45">
      <c r="A426" t="s">
        <v>459</v>
      </c>
      <c r="B426">
        <v>61.79</v>
      </c>
      <c r="C426" t="s">
        <v>16</v>
      </c>
      <c r="D426" t="s">
        <v>17</v>
      </c>
      <c r="E426" t="s">
        <v>18</v>
      </c>
      <c r="F426" t="s">
        <v>19</v>
      </c>
      <c r="G426" t="s">
        <v>20</v>
      </c>
      <c r="H426" t="s">
        <v>21</v>
      </c>
      <c r="I426" t="s">
        <v>21</v>
      </c>
      <c r="J426" t="s">
        <v>27</v>
      </c>
      <c r="K426">
        <v>7</v>
      </c>
      <c r="L426">
        <v>149.86666666666699</v>
      </c>
      <c r="M426" t="s">
        <v>24</v>
      </c>
      <c r="N426" t="str">
        <f>_xlfn.XLOOKUP(A426,[1]!brca_metabric_clinical_data__2[Patient ID], [1]!brca_metabric_clinical_data__2[Tumor Size])</f>
        <v>20</v>
      </c>
      <c r="O426" t="str">
        <f>_xlfn.XLOOKUP(A426,[1]!brca_metabric_clinical_data__2[Sample ID],[1]!brca_metabric_clinical_data__2[Tumor Stage])</f>
        <v>1</v>
      </c>
    </row>
    <row r="427" spans="1:15" x14ac:dyDescent="0.45">
      <c r="A427" t="s">
        <v>460</v>
      </c>
      <c r="B427">
        <v>76.22</v>
      </c>
      <c r="C427" t="s">
        <v>16</v>
      </c>
      <c r="D427" t="s">
        <v>17</v>
      </c>
      <c r="E427" t="s">
        <v>18</v>
      </c>
      <c r="F427" t="s">
        <v>35</v>
      </c>
      <c r="G427" t="s">
        <v>20</v>
      </c>
      <c r="H427" t="s">
        <v>21</v>
      </c>
      <c r="I427" t="s">
        <v>21</v>
      </c>
      <c r="J427" t="s">
        <v>22</v>
      </c>
      <c r="K427">
        <v>7</v>
      </c>
      <c r="L427">
        <v>163.19999999999999</v>
      </c>
      <c r="M427" t="s">
        <v>30</v>
      </c>
      <c r="N427" t="str">
        <f>_xlfn.XLOOKUP(A427,[1]!brca_metabric_clinical_data__2[Patient ID], [1]!brca_metabric_clinical_data__2[Tumor Size])</f>
        <v>65</v>
      </c>
      <c r="O427" t="str">
        <f>_xlfn.XLOOKUP(A427,[1]!brca_metabric_clinical_data__2[Sample ID],[1]!brca_metabric_clinical_data__2[Tumor Stage])</f>
        <v>0</v>
      </c>
    </row>
    <row r="428" spans="1:15" x14ac:dyDescent="0.45">
      <c r="A428" t="s">
        <v>461</v>
      </c>
      <c r="B428">
        <v>71.209999999999994</v>
      </c>
      <c r="C428" t="s">
        <v>16</v>
      </c>
      <c r="D428" t="s">
        <v>17</v>
      </c>
      <c r="E428" t="s">
        <v>18</v>
      </c>
      <c r="F428" t="s">
        <v>19</v>
      </c>
      <c r="G428" t="s">
        <v>20</v>
      </c>
      <c r="H428" t="s">
        <v>21</v>
      </c>
      <c r="I428" t="s">
        <v>21</v>
      </c>
      <c r="J428" t="s">
        <v>27</v>
      </c>
      <c r="K428">
        <v>2</v>
      </c>
      <c r="L428">
        <v>119.8</v>
      </c>
      <c r="M428" t="s">
        <v>24</v>
      </c>
      <c r="N428" t="str">
        <f>_xlfn.XLOOKUP(A428,[1]!brca_metabric_clinical_data__2[Patient ID], [1]!brca_metabric_clinical_data__2[Tumor Size])</f>
        <v>21</v>
      </c>
      <c r="O428" t="str">
        <f>_xlfn.XLOOKUP(A428,[1]!brca_metabric_clinical_data__2[Sample ID],[1]!brca_metabric_clinical_data__2[Tumor Stage])</f>
        <v>2</v>
      </c>
    </row>
    <row r="429" spans="1:15" x14ac:dyDescent="0.45">
      <c r="A429" t="s">
        <v>462</v>
      </c>
      <c r="B429">
        <v>48.1</v>
      </c>
      <c r="C429" t="s">
        <v>16</v>
      </c>
      <c r="D429" t="s">
        <v>26</v>
      </c>
      <c r="E429" t="s">
        <v>18</v>
      </c>
      <c r="F429" t="s">
        <v>43</v>
      </c>
      <c r="G429" t="s">
        <v>21</v>
      </c>
      <c r="H429" t="s">
        <v>21</v>
      </c>
      <c r="I429" t="s">
        <v>21</v>
      </c>
      <c r="J429" t="s">
        <v>27</v>
      </c>
      <c r="K429" t="s">
        <v>23</v>
      </c>
      <c r="L429">
        <v>128.566666666667</v>
      </c>
      <c r="M429" t="s">
        <v>24</v>
      </c>
      <c r="N429" t="str">
        <f>_xlfn.XLOOKUP(A429,[1]!brca_metabric_clinical_data__2[Patient ID], [1]!brca_metabric_clinical_data__2[Tumor Size])</f>
        <v>55</v>
      </c>
      <c r="O429" t="str">
        <f>_xlfn.XLOOKUP(A429,[1]!brca_metabric_clinical_data__2[Sample ID],[1]!brca_metabric_clinical_data__2[Tumor Stage])</f>
        <v>3</v>
      </c>
    </row>
    <row r="430" spans="1:15" x14ac:dyDescent="0.45">
      <c r="A430" t="s">
        <v>463</v>
      </c>
      <c r="B430">
        <v>68.47</v>
      </c>
      <c r="C430" t="s">
        <v>16</v>
      </c>
      <c r="D430" t="s">
        <v>17</v>
      </c>
      <c r="E430" t="s">
        <v>18</v>
      </c>
      <c r="F430" t="s">
        <v>19</v>
      </c>
      <c r="G430" t="s">
        <v>20</v>
      </c>
      <c r="H430" t="s">
        <v>21</v>
      </c>
      <c r="I430" t="s">
        <v>21</v>
      </c>
      <c r="J430" t="s">
        <v>29</v>
      </c>
      <c r="K430">
        <v>2</v>
      </c>
      <c r="L430">
        <v>31</v>
      </c>
      <c r="M430" t="s">
        <v>30</v>
      </c>
      <c r="N430" t="str">
        <f>_xlfn.XLOOKUP(A430,[1]!brca_metabric_clinical_data__2[Patient ID], [1]!brca_metabric_clinical_data__2[Tumor Size])</f>
        <v>21</v>
      </c>
      <c r="O430" t="str">
        <f>_xlfn.XLOOKUP(A430,[1]!brca_metabric_clinical_data__2[Sample ID],[1]!brca_metabric_clinical_data__2[Tumor Stage])</f>
        <v>2</v>
      </c>
    </row>
    <row r="431" spans="1:15" x14ac:dyDescent="0.45">
      <c r="A431" t="s">
        <v>464</v>
      </c>
      <c r="B431">
        <v>51.42</v>
      </c>
      <c r="C431" t="s">
        <v>16</v>
      </c>
      <c r="D431" t="s">
        <v>17</v>
      </c>
      <c r="E431" t="s">
        <v>18</v>
      </c>
      <c r="F431" t="s">
        <v>19</v>
      </c>
      <c r="G431" t="s">
        <v>20</v>
      </c>
      <c r="H431" t="s">
        <v>21</v>
      </c>
      <c r="I431" t="s">
        <v>21</v>
      </c>
      <c r="J431" t="s">
        <v>29</v>
      </c>
      <c r="K431">
        <v>7</v>
      </c>
      <c r="L431">
        <v>65.400000000000006</v>
      </c>
      <c r="M431" t="s">
        <v>24</v>
      </c>
      <c r="N431" t="str">
        <f>_xlfn.XLOOKUP(A431,[1]!brca_metabric_clinical_data__2[Patient ID], [1]!brca_metabric_clinical_data__2[Tumor Size])</f>
        <v>10</v>
      </c>
      <c r="O431" t="str">
        <f>_xlfn.XLOOKUP(A431,[1]!brca_metabric_clinical_data__2[Sample ID],[1]!brca_metabric_clinical_data__2[Tumor Stage])</f>
        <v>1</v>
      </c>
    </row>
    <row r="432" spans="1:15" x14ac:dyDescent="0.45">
      <c r="A432" t="s">
        <v>465</v>
      </c>
      <c r="B432">
        <v>59.64</v>
      </c>
      <c r="C432" t="s">
        <v>16</v>
      </c>
      <c r="D432" t="s">
        <v>17</v>
      </c>
      <c r="E432" t="s">
        <v>18</v>
      </c>
      <c r="F432" t="s">
        <v>19</v>
      </c>
      <c r="G432" t="s">
        <v>21</v>
      </c>
      <c r="H432" t="s">
        <v>21</v>
      </c>
      <c r="I432" t="s">
        <v>21</v>
      </c>
      <c r="J432" t="s">
        <v>38</v>
      </c>
      <c r="K432" t="s">
        <v>23</v>
      </c>
      <c r="L432">
        <v>110.1</v>
      </c>
      <c r="M432" t="s">
        <v>24</v>
      </c>
      <c r="N432" t="str">
        <f>_xlfn.XLOOKUP(A432,[1]!brca_metabric_clinical_data__2[Patient ID], [1]!brca_metabric_clinical_data__2[Tumor Size])</f>
        <v>42</v>
      </c>
      <c r="O432" t="str">
        <f>_xlfn.XLOOKUP(A432,[1]!brca_metabric_clinical_data__2[Sample ID],[1]!brca_metabric_clinical_data__2[Tumor Stage])</f>
        <v>2</v>
      </c>
    </row>
    <row r="433" spans="1:15" x14ac:dyDescent="0.45">
      <c r="A433" t="s">
        <v>466</v>
      </c>
      <c r="B433">
        <v>70.53</v>
      </c>
      <c r="C433" t="s">
        <v>16</v>
      </c>
      <c r="D433" t="s">
        <v>17</v>
      </c>
      <c r="E433" t="s">
        <v>18</v>
      </c>
      <c r="F433" t="s">
        <v>43</v>
      </c>
      <c r="G433" t="s">
        <v>20</v>
      </c>
      <c r="H433" t="s">
        <v>21</v>
      </c>
      <c r="I433" t="s">
        <v>21</v>
      </c>
      <c r="J433" t="s">
        <v>29</v>
      </c>
      <c r="K433">
        <v>7</v>
      </c>
      <c r="L433">
        <v>92.766666666666694</v>
      </c>
      <c r="M433" t="s">
        <v>30</v>
      </c>
      <c r="N433" t="str">
        <f>_xlfn.XLOOKUP(A433,[1]!brca_metabric_clinical_data__2[Patient ID], [1]!brca_metabric_clinical_data__2[Tumor Size])</f>
        <v>29</v>
      </c>
      <c r="O433" t="str">
        <f>_xlfn.XLOOKUP(A433,[1]!brca_metabric_clinical_data__2[Sample ID],[1]!brca_metabric_clinical_data__2[Tumor Stage])</f>
        <v>2</v>
      </c>
    </row>
    <row r="434" spans="1:15" x14ac:dyDescent="0.45">
      <c r="A434" t="s">
        <v>467</v>
      </c>
      <c r="B434">
        <v>33.799999999999997</v>
      </c>
      <c r="C434" t="s">
        <v>16</v>
      </c>
      <c r="D434" t="s">
        <v>26</v>
      </c>
      <c r="E434" t="s">
        <v>18</v>
      </c>
      <c r="F434" t="s">
        <v>43</v>
      </c>
      <c r="G434" t="s">
        <v>21</v>
      </c>
      <c r="H434" t="s">
        <v>21</v>
      </c>
      <c r="I434" t="s">
        <v>21</v>
      </c>
      <c r="J434" t="s">
        <v>27</v>
      </c>
      <c r="K434" t="s">
        <v>23</v>
      </c>
      <c r="L434">
        <v>79.366666666666703</v>
      </c>
      <c r="M434" t="s">
        <v>30</v>
      </c>
      <c r="N434" t="str">
        <f>_xlfn.XLOOKUP(A434,[1]!brca_metabric_clinical_data__2[Patient ID], [1]!brca_metabric_clinical_data__2[Tumor Size])</f>
        <v>40</v>
      </c>
      <c r="O434" t="str">
        <f>_xlfn.XLOOKUP(A434,[1]!brca_metabric_clinical_data__2[Sample ID],[1]!brca_metabric_clinical_data__2[Tumor Stage])</f>
        <v>2</v>
      </c>
    </row>
    <row r="435" spans="1:15" x14ac:dyDescent="0.45">
      <c r="A435" t="s">
        <v>468</v>
      </c>
      <c r="B435">
        <v>96.29</v>
      </c>
      <c r="C435" t="s">
        <v>16</v>
      </c>
      <c r="D435" t="s">
        <v>17</v>
      </c>
      <c r="E435" t="s">
        <v>37</v>
      </c>
      <c r="F435" t="s">
        <v>19</v>
      </c>
      <c r="G435" t="s">
        <v>20</v>
      </c>
      <c r="H435" t="s">
        <v>20</v>
      </c>
      <c r="I435" t="s">
        <v>21</v>
      </c>
      <c r="J435" t="s">
        <v>58</v>
      </c>
      <c r="K435">
        <v>7</v>
      </c>
      <c r="L435">
        <v>7.8666666666666698</v>
      </c>
      <c r="M435" t="s">
        <v>30</v>
      </c>
      <c r="N435" t="str">
        <f>_xlfn.XLOOKUP(A435,[1]!brca_metabric_clinical_data__2[Patient ID], [1]!brca_metabric_clinical_data__2[Tumor Size])</f>
        <v>26</v>
      </c>
      <c r="O435" t="str">
        <f>_xlfn.XLOOKUP(A435,[1]!brca_metabric_clinical_data__2[Sample ID],[1]!brca_metabric_clinical_data__2[Tumor Stage])</f>
        <v>2</v>
      </c>
    </row>
    <row r="436" spans="1:15" x14ac:dyDescent="0.45">
      <c r="A436" t="s">
        <v>469</v>
      </c>
      <c r="B436">
        <v>84.76</v>
      </c>
      <c r="C436" t="s">
        <v>16</v>
      </c>
      <c r="D436" t="s">
        <v>17</v>
      </c>
      <c r="E436" t="s">
        <v>37</v>
      </c>
      <c r="F436" t="s">
        <v>19</v>
      </c>
      <c r="G436" t="s">
        <v>20</v>
      </c>
      <c r="H436" t="s">
        <v>20</v>
      </c>
      <c r="I436" t="s">
        <v>20</v>
      </c>
      <c r="J436" t="s">
        <v>58</v>
      </c>
      <c r="K436">
        <v>10</v>
      </c>
      <c r="L436">
        <v>15.533333333333299</v>
      </c>
      <c r="M436" t="s">
        <v>30</v>
      </c>
      <c r="N436" t="str">
        <f>_xlfn.XLOOKUP(A436,[1]!brca_metabric_clinical_data__2[Patient ID], [1]!brca_metabric_clinical_data__2[Tumor Size])</f>
        <v>30</v>
      </c>
      <c r="O436" t="str">
        <f>_xlfn.XLOOKUP(A436,[1]!brca_metabric_clinical_data__2[Sample ID],[1]!brca_metabric_clinical_data__2[Tumor Stage])</f>
        <v>2</v>
      </c>
    </row>
    <row r="437" spans="1:15" x14ac:dyDescent="0.45">
      <c r="A437" t="s">
        <v>470</v>
      </c>
      <c r="B437">
        <v>75.67</v>
      </c>
      <c r="C437" t="s">
        <v>16</v>
      </c>
      <c r="D437" t="s">
        <v>17</v>
      </c>
      <c r="E437" t="s">
        <v>18</v>
      </c>
      <c r="F437" t="s">
        <v>19</v>
      </c>
      <c r="G437" t="s">
        <v>20</v>
      </c>
      <c r="H437" t="s">
        <v>21</v>
      </c>
      <c r="I437" t="s">
        <v>20</v>
      </c>
      <c r="J437" t="s">
        <v>27</v>
      </c>
      <c r="K437">
        <v>3</v>
      </c>
      <c r="L437">
        <v>62.633333333333297</v>
      </c>
      <c r="M437" t="s">
        <v>24</v>
      </c>
      <c r="N437" t="str">
        <f>_xlfn.XLOOKUP(A437,[1]!brca_metabric_clinical_data__2[Patient ID], [1]!brca_metabric_clinical_data__2[Tumor Size])</f>
        <v>22</v>
      </c>
      <c r="O437" t="str">
        <f>_xlfn.XLOOKUP(A437,[1]!brca_metabric_clinical_data__2[Sample ID],[1]!brca_metabric_clinical_data__2[Tumor Stage])</f>
        <v>2</v>
      </c>
    </row>
    <row r="438" spans="1:15" x14ac:dyDescent="0.45">
      <c r="A438" t="s">
        <v>471</v>
      </c>
      <c r="B438">
        <v>41.31</v>
      </c>
      <c r="C438" t="s">
        <v>16</v>
      </c>
      <c r="D438" t="s">
        <v>26</v>
      </c>
      <c r="E438" t="s">
        <v>18</v>
      </c>
      <c r="F438" t="s">
        <v>19</v>
      </c>
      <c r="G438" t="s">
        <v>20</v>
      </c>
      <c r="H438" t="s">
        <v>21</v>
      </c>
      <c r="I438" t="s">
        <v>20</v>
      </c>
      <c r="J438" t="s">
        <v>29</v>
      </c>
      <c r="K438">
        <v>7</v>
      </c>
      <c r="L438">
        <v>118.2</v>
      </c>
      <c r="M438" t="s">
        <v>24</v>
      </c>
      <c r="N438" t="str">
        <f>_xlfn.XLOOKUP(A438,[1]!brca_metabric_clinical_data__2[Patient ID], [1]!brca_metabric_clinical_data__2[Tumor Size])</f>
        <v>20</v>
      </c>
      <c r="O438" t="str">
        <f>_xlfn.XLOOKUP(A438,[1]!brca_metabric_clinical_data__2[Sample ID],[1]!brca_metabric_clinical_data__2[Tumor Stage])</f>
        <v>1</v>
      </c>
    </row>
    <row r="439" spans="1:15" x14ac:dyDescent="0.45">
      <c r="A439" t="s">
        <v>472</v>
      </c>
      <c r="B439">
        <v>76.72</v>
      </c>
      <c r="C439" t="s">
        <v>16</v>
      </c>
      <c r="D439" t="s">
        <v>17</v>
      </c>
      <c r="E439" t="s">
        <v>18</v>
      </c>
      <c r="F439" t="s">
        <v>19</v>
      </c>
      <c r="G439" t="s">
        <v>20</v>
      </c>
      <c r="H439" t="s">
        <v>21</v>
      </c>
      <c r="I439" t="s">
        <v>21</v>
      </c>
      <c r="J439" t="s">
        <v>29</v>
      </c>
      <c r="K439">
        <v>6</v>
      </c>
      <c r="L439">
        <v>115.7</v>
      </c>
      <c r="M439" t="s">
        <v>30</v>
      </c>
      <c r="N439" t="str">
        <f>_xlfn.XLOOKUP(A439,[1]!brca_metabric_clinical_data__2[Patient ID], [1]!brca_metabric_clinical_data__2[Tumor Size])</f>
        <v>28</v>
      </c>
      <c r="O439" t="str">
        <f>_xlfn.XLOOKUP(A439,[1]!brca_metabric_clinical_data__2[Sample ID],[1]!brca_metabric_clinical_data__2[Tumor Stage])</f>
        <v>2</v>
      </c>
    </row>
    <row r="440" spans="1:15" x14ac:dyDescent="0.45">
      <c r="A440" t="s">
        <v>473</v>
      </c>
      <c r="B440">
        <v>77.989999999999995</v>
      </c>
      <c r="C440" t="s">
        <v>16</v>
      </c>
      <c r="D440" t="s">
        <v>17</v>
      </c>
      <c r="E440" t="s">
        <v>18</v>
      </c>
      <c r="F440" t="s">
        <v>19</v>
      </c>
      <c r="G440" t="s">
        <v>20</v>
      </c>
      <c r="H440" t="s">
        <v>21</v>
      </c>
      <c r="I440" t="s">
        <v>21</v>
      </c>
      <c r="J440" t="s">
        <v>27</v>
      </c>
      <c r="K440">
        <v>6</v>
      </c>
      <c r="L440">
        <v>77.233333333333306</v>
      </c>
      <c r="M440" t="s">
        <v>30</v>
      </c>
      <c r="N440" t="str">
        <f>_xlfn.XLOOKUP(A440,[1]!brca_metabric_clinical_data__2[Patient ID], [1]!brca_metabric_clinical_data__2[Tumor Size])</f>
        <v>65</v>
      </c>
      <c r="O440" t="str">
        <f>_xlfn.XLOOKUP(A440,[1]!brca_metabric_clinical_data__2[Sample ID],[1]!brca_metabric_clinical_data__2[Tumor Stage])</f>
        <v>3</v>
      </c>
    </row>
    <row r="441" spans="1:15" x14ac:dyDescent="0.45">
      <c r="A441" t="s">
        <v>474</v>
      </c>
      <c r="B441">
        <v>50.41</v>
      </c>
      <c r="C441" t="s">
        <v>16</v>
      </c>
      <c r="D441" t="s">
        <v>17</v>
      </c>
      <c r="E441" t="s">
        <v>18</v>
      </c>
      <c r="F441" t="s">
        <v>43</v>
      </c>
      <c r="G441" t="s">
        <v>21</v>
      </c>
      <c r="H441" t="s">
        <v>21</v>
      </c>
      <c r="I441" t="s">
        <v>21</v>
      </c>
      <c r="J441" t="s">
        <v>27</v>
      </c>
      <c r="K441">
        <v>9</v>
      </c>
      <c r="L441">
        <v>91.266666666666694</v>
      </c>
      <c r="M441" t="s">
        <v>24</v>
      </c>
      <c r="N441" t="str">
        <f>_xlfn.XLOOKUP(A441,[1]!brca_metabric_clinical_data__2[Patient ID], [1]!brca_metabric_clinical_data__2[Tumor Size])</f>
        <v>24</v>
      </c>
      <c r="O441" t="str">
        <f>_xlfn.XLOOKUP(A441,[1]!brca_metabric_clinical_data__2[Sample ID],[1]!brca_metabric_clinical_data__2[Tumor Stage])</f>
        <v>2</v>
      </c>
    </row>
    <row r="442" spans="1:15" x14ac:dyDescent="0.45">
      <c r="A442" t="s">
        <v>475</v>
      </c>
      <c r="B442">
        <v>76.349999999999994</v>
      </c>
      <c r="C442" t="s">
        <v>16</v>
      </c>
      <c r="D442" t="s">
        <v>17</v>
      </c>
      <c r="E442" t="s">
        <v>37</v>
      </c>
      <c r="F442" t="s">
        <v>19</v>
      </c>
      <c r="G442" t="s">
        <v>20</v>
      </c>
      <c r="H442" t="s">
        <v>20</v>
      </c>
      <c r="I442" t="s">
        <v>20</v>
      </c>
      <c r="J442" t="s">
        <v>38</v>
      </c>
      <c r="K442" t="s">
        <v>39</v>
      </c>
      <c r="L442">
        <v>119.73333333333299</v>
      </c>
      <c r="M442" t="s">
        <v>24</v>
      </c>
      <c r="N442" t="str">
        <f>_xlfn.XLOOKUP(A442,[1]!brca_metabric_clinical_data__2[Patient ID], [1]!brca_metabric_clinical_data__2[Tumor Size])</f>
        <v>22</v>
      </c>
      <c r="O442" t="str">
        <f>_xlfn.XLOOKUP(A442,[1]!brca_metabric_clinical_data__2[Sample ID],[1]!brca_metabric_clinical_data__2[Tumor Stage])</f>
        <v>2</v>
      </c>
    </row>
    <row r="443" spans="1:15" x14ac:dyDescent="0.45">
      <c r="A443" t="s">
        <v>476</v>
      </c>
      <c r="B443">
        <v>59.96</v>
      </c>
      <c r="C443" t="s">
        <v>16</v>
      </c>
      <c r="D443" t="s">
        <v>17</v>
      </c>
      <c r="E443" t="s">
        <v>18</v>
      </c>
      <c r="F443" t="s">
        <v>43</v>
      </c>
      <c r="G443" t="s">
        <v>20</v>
      </c>
      <c r="H443" t="s">
        <v>21</v>
      </c>
      <c r="I443" t="s">
        <v>21</v>
      </c>
      <c r="J443" t="s">
        <v>29</v>
      </c>
      <c r="K443">
        <v>5</v>
      </c>
      <c r="L443">
        <v>125.8</v>
      </c>
      <c r="M443" t="s">
        <v>24</v>
      </c>
      <c r="N443" t="str">
        <f>_xlfn.XLOOKUP(A443,[1]!brca_metabric_clinical_data__2[Patient ID], [1]!brca_metabric_clinical_data__2[Tumor Size])</f>
        <v>35</v>
      </c>
      <c r="O443" t="str">
        <f>_xlfn.XLOOKUP(A443,[1]!brca_metabric_clinical_data__2[Sample ID],[1]!brca_metabric_clinical_data__2[Tumor Stage])</f>
        <v>4</v>
      </c>
    </row>
    <row r="444" spans="1:15" x14ac:dyDescent="0.45">
      <c r="A444" t="s">
        <v>477</v>
      </c>
      <c r="B444">
        <v>60.27</v>
      </c>
      <c r="C444" t="s">
        <v>16</v>
      </c>
      <c r="D444" t="s">
        <v>17</v>
      </c>
      <c r="E444" t="s">
        <v>18</v>
      </c>
      <c r="F444" t="s">
        <v>43</v>
      </c>
      <c r="G444" t="s">
        <v>21</v>
      </c>
      <c r="H444" t="s">
        <v>21</v>
      </c>
      <c r="I444" t="s">
        <v>21</v>
      </c>
      <c r="J444" t="s">
        <v>29</v>
      </c>
      <c r="K444">
        <v>9</v>
      </c>
      <c r="L444">
        <v>72.466666666666697</v>
      </c>
      <c r="M444" t="s">
        <v>30</v>
      </c>
      <c r="N444" t="str">
        <f>_xlfn.XLOOKUP(A444,[1]!brca_metabric_clinical_data__2[Patient ID], [1]!brca_metabric_clinical_data__2[Tumor Size])</f>
        <v>30</v>
      </c>
      <c r="O444" t="str">
        <f>_xlfn.XLOOKUP(A444,[1]!brca_metabric_clinical_data__2[Sample ID],[1]!brca_metabric_clinical_data__2[Tumor Stage])</f>
        <v>2</v>
      </c>
    </row>
    <row r="445" spans="1:15" x14ac:dyDescent="0.45">
      <c r="A445" t="s">
        <v>478</v>
      </c>
      <c r="B445">
        <v>84</v>
      </c>
      <c r="C445" t="s">
        <v>16</v>
      </c>
      <c r="D445" t="s">
        <v>17</v>
      </c>
      <c r="E445" t="s">
        <v>18</v>
      </c>
      <c r="F445" t="s">
        <v>19</v>
      </c>
      <c r="G445" t="s">
        <v>20</v>
      </c>
      <c r="H445" t="s">
        <v>21</v>
      </c>
      <c r="I445" t="s">
        <v>20</v>
      </c>
      <c r="J445" t="s">
        <v>29</v>
      </c>
      <c r="K445">
        <v>8</v>
      </c>
      <c r="L445">
        <v>119.466666666667</v>
      </c>
      <c r="M445" t="s">
        <v>30</v>
      </c>
      <c r="N445" t="str">
        <f>_xlfn.XLOOKUP(A445,[1]!brca_metabric_clinical_data__2[Patient ID], [1]!brca_metabric_clinical_data__2[Tumor Size])</f>
        <v>17</v>
      </c>
      <c r="O445" t="str">
        <f>_xlfn.XLOOKUP(A445,[1]!brca_metabric_clinical_data__2[Sample ID],[1]!brca_metabric_clinical_data__2[Tumor Stage])</f>
        <v>1</v>
      </c>
    </row>
    <row r="446" spans="1:15" x14ac:dyDescent="0.45">
      <c r="A446" t="s">
        <v>479</v>
      </c>
      <c r="B446">
        <v>74.94</v>
      </c>
      <c r="C446" t="s">
        <v>16</v>
      </c>
      <c r="D446" t="s">
        <v>17</v>
      </c>
      <c r="E446" t="s">
        <v>18</v>
      </c>
      <c r="F446" t="s">
        <v>19</v>
      </c>
      <c r="G446" t="s">
        <v>20</v>
      </c>
      <c r="H446" t="s">
        <v>20</v>
      </c>
      <c r="I446" t="s">
        <v>20</v>
      </c>
      <c r="J446" t="s">
        <v>29</v>
      </c>
      <c r="K446">
        <v>8</v>
      </c>
      <c r="L446">
        <v>74.566666666666706</v>
      </c>
      <c r="M446" t="s">
        <v>24</v>
      </c>
      <c r="N446" t="str">
        <f>_xlfn.XLOOKUP(A446,[1]!brca_metabric_clinical_data__2[Patient ID], [1]!brca_metabric_clinical_data__2[Tumor Size])</f>
        <v>55</v>
      </c>
      <c r="O446" t="str">
        <f>_xlfn.XLOOKUP(A446,[1]!brca_metabric_clinical_data__2[Sample ID],[1]!brca_metabric_clinical_data__2[Tumor Stage])</f>
        <v>0</v>
      </c>
    </row>
    <row r="447" spans="1:15" x14ac:dyDescent="0.45">
      <c r="A447" t="s">
        <v>480</v>
      </c>
      <c r="B447">
        <v>62.34</v>
      </c>
      <c r="C447" t="s">
        <v>16</v>
      </c>
      <c r="D447" t="s">
        <v>17</v>
      </c>
      <c r="E447" t="s">
        <v>37</v>
      </c>
      <c r="F447" t="s">
        <v>43</v>
      </c>
      <c r="G447" t="s">
        <v>21</v>
      </c>
      <c r="H447" t="s">
        <v>20</v>
      </c>
      <c r="I447" t="s">
        <v>21</v>
      </c>
      <c r="J447" t="s">
        <v>45</v>
      </c>
      <c r="K447">
        <v>5</v>
      </c>
      <c r="L447">
        <v>34.6666666666667</v>
      </c>
      <c r="M447" t="s">
        <v>30</v>
      </c>
      <c r="N447" t="str">
        <f>_xlfn.XLOOKUP(A447,[1]!brca_metabric_clinical_data__2[Patient ID], [1]!brca_metabric_clinical_data__2[Tumor Size])</f>
        <v>90</v>
      </c>
      <c r="O447" t="str">
        <f>_xlfn.XLOOKUP(A447,[1]!brca_metabric_clinical_data__2[Sample ID],[1]!brca_metabric_clinical_data__2[Tumor Stage])</f>
        <v>3</v>
      </c>
    </row>
    <row r="448" spans="1:15" x14ac:dyDescent="0.45">
      <c r="A448" t="s">
        <v>481</v>
      </c>
      <c r="B448">
        <v>77.959999999999994</v>
      </c>
      <c r="C448" t="s">
        <v>16</v>
      </c>
      <c r="D448" t="s">
        <v>17</v>
      </c>
      <c r="E448" t="s">
        <v>18</v>
      </c>
      <c r="F448" t="s">
        <v>35</v>
      </c>
      <c r="G448" t="s">
        <v>20</v>
      </c>
      <c r="H448" t="s">
        <v>21</v>
      </c>
      <c r="I448" t="s">
        <v>21</v>
      </c>
      <c r="J448" t="s">
        <v>29</v>
      </c>
      <c r="K448" t="s">
        <v>23</v>
      </c>
      <c r="L448">
        <v>44.233333333333299</v>
      </c>
      <c r="M448" t="s">
        <v>24</v>
      </c>
      <c r="N448" t="str">
        <f>_xlfn.XLOOKUP(A448,[1]!brca_metabric_clinical_data__2[Patient ID], [1]!brca_metabric_clinical_data__2[Tumor Size])</f>
        <v>45</v>
      </c>
      <c r="O448" t="str">
        <f>_xlfn.XLOOKUP(A448,[1]!brca_metabric_clinical_data__2[Sample ID],[1]!brca_metabric_clinical_data__2[Tumor Stage])</f>
        <v>3</v>
      </c>
    </row>
    <row r="449" spans="1:15" x14ac:dyDescent="0.45">
      <c r="A449" t="s">
        <v>482</v>
      </c>
      <c r="B449">
        <v>77.48</v>
      </c>
      <c r="C449" t="s">
        <v>16</v>
      </c>
      <c r="D449" t="s">
        <v>17</v>
      </c>
      <c r="E449" t="s">
        <v>18</v>
      </c>
      <c r="F449" t="s">
        <v>35</v>
      </c>
      <c r="G449" t="s">
        <v>20</v>
      </c>
      <c r="H449" t="s">
        <v>21</v>
      </c>
      <c r="I449" t="s">
        <v>21</v>
      </c>
      <c r="J449" t="s">
        <v>27</v>
      </c>
      <c r="K449">
        <v>3</v>
      </c>
      <c r="L449">
        <v>107.1</v>
      </c>
      <c r="M449" t="s">
        <v>30</v>
      </c>
      <c r="N449" t="str">
        <f>_xlfn.XLOOKUP(A449,[1]!brca_metabric_clinical_data__2[Patient ID], [1]!brca_metabric_clinical_data__2[Tumor Size])</f>
        <v>16</v>
      </c>
      <c r="O449" t="str">
        <f>_xlfn.XLOOKUP(A449,[1]!brca_metabric_clinical_data__2[Sample ID],[1]!brca_metabric_clinical_data__2[Tumor Stage])</f>
        <v>1</v>
      </c>
    </row>
    <row r="450" spans="1:15" x14ac:dyDescent="0.45">
      <c r="A450" t="s">
        <v>483</v>
      </c>
      <c r="B450">
        <v>64.55</v>
      </c>
      <c r="C450" t="s">
        <v>16</v>
      </c>
      <c r="D450" t="s">
        <v>17</v>
      </c>
      <c r="E450" t="s">
        <v>18</v>
      </c>
      <c r="F450" t="s">
        <v>19</v>
      </c>
      <c r="G450" t="s">
        <v>21</v>
      </c>
      <c r="H450" t="s">
        <v>21</v>
      </c>
      <c r="I450" t="s">
        <v>21</v>
      </c>
      <c r="J450" t="s">
        <v>38</v>
      </c>
      <c r="K450">
        <v>3</v>
      </c>
      <c r="L450">
        <v>113.2</v>
      </c>
      <c r="M450" t="s">
        <v>30</v>
      </c>
      <c r="N450" t="str">
        <f>_xlfn.XLOOKUP(A450,[1]!brca_metabric_clinical_data__2[Patient ID], [1]!brca_metabric_clinical_data__2[Tumor Size])</f>
        <v>17</v>
      </c>
      <c r="O450" t="str">
        <f>_xlfn.XLOOKUP(A450,[1]!brca_metabric_clinical_data__2[Sample ID],[1]!brca_metabric_clinical_data__2[Tumor Stage])</f>
        <v>2</v>
      </c>
    </row>
    <row r="451" spans="1:15" x14ac:dyDescent="0.45">
      <c r="A451" t="s">
        <v>484</v>
      </c>
      <c r="B451">
        <v>77.48</v>
      </c>
      <c r="C451" t="s">
        <v>16</v>
      </c>
      <c r="D451" t="s">
        <v>17</v>
      </c>
      <c r="E451" t="s">
        <v>18</v>
      </c>
      <c r="F451" t="s">
        <v>19</v>
      </c>
      <c r="G451" t="s">
        <v>20</v>
      </c>
      <c r="H451" t="s">
        <v>21</v>
      </c>
      <c r="I451" t="s">
        <v>21</v>
      </c>
      <c r="J451" t="s">
        <v>29</v>
      </c>
      <c r="K451">
        <v>3</v>
      </c>
      <c r="L451">
        <v>89.366666666666703</v>
      </c>
      <c r="M451" t="s">
        <v>30</v>
      </c>
      <c r="N451" t="str">
        <f>_xlfn.XLOOKUP(A451,[1]!brca_metabric_clinical_data__2[Patient ID], [1]!brca_metabric_clinical_data__2[Tumor Size])</f>
        <v>24</v>
      </c>
      <c r="O451" t="str">
        <f>_xlfn.XLOOKUP(A451,[1]!brca_metabric_clinical_data__2[Sample ID],[1]!brca_metabric_clinical_data__2[Tumor Stage])</f>
        <v>2</v>
      </c>
    </row>
    <row r="452" spans="1:15" x14ac:dyDescent="0.45">
      <c r="A452" t="s">
        <v>485</v>
      </c>
      <c r="B452">
        <v>46.85</v>
      </c>
      <c r="C452" t="s">
        <v>16</v>
      </c>
      <c r="D452" t="s">
        <v>26</v>
      </c>
      <c r="E452" t="s">
        <v>18</v>
      </c>
      <c r="F452" t="s">
        <v>19</v>
      </c>
      <c r="G452" t="s">
        <v>21</v>
      </c>
      <c r="H452" t="s">
        <v>21</v>
      </c>
      <c r="I452" t="s">
        <v>21</v>
      </c>
      <c r="J452" t="s">
        <v>27</v>
      </c>
      <c r="K452" t="s">
        <v>23</v>
      </c>
      <c r="L452">
        <v>123.26666666666701</v>
      </c>
      <c r="M452" t="s">
        <v>24</v>
      </c>
      <c r="N452" t="str">
        <f>_xlfn.XLOOKUP(A452,[1]!brca_metabric_clinical_data__2[Patient ID], [1]!brca_metabric_clinical_data__2[Tumor Size])</f>
        <v>24</v>
      </c>
      <c r="O452" t="str">
        <f>_xlfn.XLOOKUP(A452,[1]!brca_metabric_clinical_data__2[Sample ID],[1]!brca_metabric_clinical_data__2[Tumor Stage])</f>
        <v>2</v>
      </c>
    </row>
    <row r="453" spans="1:15" x14ac:dyDescent="0.45">
      <c r="A453" t="s">
        <v>486</v>
      </c>
      <c r="B453">
        <v>70.5</v>
      </c>
      <c r="C453" t="s">
        <v>16</v>
      </c>
      <c r="D453" t="s">
        <v>17</v>
      </c>
      <c r="E453" t="s">
        <v>18</v>
      </c>
      <c r="F453" t="s">
        <v>19</v>
      </c>
      <c r="G453" t="s">
        <v>20</v>
      </c>
      <c r="H453" t="s">
        <v>21</v>
      </c>
      <c r="I453" t="s">
        <v>21</v>
      </c>
      <c r="J453" t="s">
        <v>27</v>
      </c>
      <c r="K453">
        <v>6</v>
      </c>
      <c r="L453">
        <v>111</v>
      </c>
      <c r="M453" t="s">
        <v>24</v>
      </c>
      <c r="N453" t="str">
        <f>_xlfn.XLOOKUP(A453,[1]!brca_metabric_clinical_data__2[Patient ID], [1]!brca_metabric_clinical_data__2[Tumor Size])</f>
        <v>27</v>
      </c>
      <c r="O453" t="str">
        <f>_xlfn.XLOOKUP(A453,[1]!brca_metabric_clinical_data__2[Sample ID],[1]!brca_metabric_clinical_data__2[Tumor Stage])</f>
        <v>2</v>
      </c>
    </row>
    <row r="454" spans="1:15" x14ac:dyDescent="0.45">
      <c r="A454" t="s">
        <v>487</v>
      </c>
      <c r="B454">
        <v>32.99</v>
      </c>
      <c r="C454" t="s">
        <v>16</v>
      </c>
      <c r="D454" t="s">
        <v>26</v>
      </c>
      <c r="E454" t="s">
        <v>18</v>
      </c>
      <c r="F454" t="s">
        <v>19</v>
      </c>
      <c r="G454" t="s">
        <v>21</v>
      </c>
      <c r="H454" t="s">
        <v>21</v>
      </c>
      <c r="I454" t="s">
        <v>21</v>
      </c>
      <c r="J454" t="s">
        <v>29</v>
      </c>
      <c r="K454">
        <v>10</v>
      </c>
      <c r="L454">
        <v>29.6666666666667</v>
      </c>
      <c r="M454" t="s">
        <v>30</v>
      </c>
      <c r="N454" t="str">
        <f>_xlfn.XLOOKUP(A454,[1]!brca_metabric_clinical_data__2[Patient ID], [1]!brca_metabric_clinical_data__2[Tumor Size])</f>
        <v>25</v>
      </c>
      <c r="O454" t="str">
        <f>_xlfn.XLOOKUP(A454,[1]!brca_metabric_clinical_data__2[Sample ID],[1]!brca_metabric_clinical_data__2[Tumor Stage])</f>
        <v>2</v>
      </c>
    </row>
    <row r="455" spans="1:15" x14ac:dyDescent="0.45">
      <c r="A455" t="s">
        <v>488</v>
      </c>
      <c r="B455">
        <v>79.52</v>
      </c>
      <c r="C455" t="s">
        <v>16</v>
      </c>
      <c r="D455" t="s">
        <v>17</v>
      </c>
      <c r="E455" t="s">
        <v>18</v>
      </c>
      <c r="F455" t="s">
        <v>19</v>
      </c>
      <c r="G455" t="s">
        <v>20</v>
      </c>
      <c r="H455" t="s">
        <v>21</v>
      </c>
      <c r="I455" t="s">
        <v>20</v>
      </c>
      <c r="J455" t="s">
        <v>27</v>
      </c>
      <c r="K455">
        <v>7</v>
      </c>
      <c r="L455">
        <v>121.966666666667</v>
      </c>
      <c r="M455" t="s">
        <v>24</v>
      </c>
      <c r="N455" t="str">
        <f>_xlfn.XLOOKUP(A455,[1]!brca_metabric_clinical_data__2[Patient ID], [1]!brca_metabric_clinical_data__2[Tumor Size])</f>
        <v>21</v>
      </c>
      <c r="O455" t="str">
        <f>_xlfn.XLOOKUP(A455,[1]!brca_metabric_clinical_data__2[Sample ID],[1]!brca_metabric_clinical_data__2[Tumor Stage])</f>
        <v>2</v>
      </c>
    </row>
    <row r="456" spans="1:15" x14ac:dyDescent="0.45">
      <c r="A456" t="s">
        <v>489</v>
      </c>
      <c r="B456">
        <v>58.08</v>
      </c>
      <c r="C456" t="s">
        <v>16</v>
      </c>
      <c r="D456" t="s">
        <v>17</v>
      </c>
      <c r="E456" t="s">
        <v>18</v>
      </c>
      <c r="F456" t="s">
        <v>43</v>
      </c>
      <c r="G456" t="s">
        <v>20</v>
      </c>
      <c r="H456" t="s">
        <v>21</v>
      </c>
      <c r="I456" t="s">
        <v>20</v>
      </c>
      <c r="J456" t="s">
        <v>27</v>
      </c>
      <c r="K456">
        <v>8</v>
      </c>
      <c r="L456">
        <v>114.6</v>
      </c>
      <c r="M456" t="s">
        <v>24</v>
      </c>
      <c r="N456" t="str">
        <f>_xlfn.XLOOKUP(A456,[1]!brca_metabric_clinical_data__2[Patient ID], [1]!brca_metabric_clinical_data__2[Tumor Size])</f>
        <v>18</v>
      </c>
      <c r="O456" t="str">
        <f>_xlfn.XLOOKUP(A456,[1]!brca_metabric_clinical_data__2[Sample ID],[1]!brca_metabric_clinical_data__2[Tumor Stage])</f>
        <v>1</v>
      </c>
    </row>
    <row r="457" spans="1:15" x14ac:dyDescent="0.45">
      <c r="A457" t="s">
        <v>490</v>
      </c>
      <c r="B457">
        <v>83.19</v>
      </c>
      <c r="C457" t="s">
        <v>16</v>
      </c>
      <c r="D457" t="s">
        <v>17</v>
      </c>
      <c r="E457" t="s">
        <v>18</v>
      </c>
      <c r="F457" t="s">
        <v>19</v>
      </c>
      <c r="G457" t="s">
        <v>20</v>
      </c>
      <c r="H457" t="s">
        <v>21</v>
      </c>
      <c r="I457" t="s">
        <v>20</v>
      </c>
      <c r="J457" t="s">
        <v>29</v>
      </c>
      <c r="K457">
        <v>3</v>
      </c>
      <c r="L457">
        <v>27.466666666666701</v>
      </c>
      <c r="M457" t="s">
        <v>30</v>
      </c>
      <c r="N457" t="str">
        <f>_xlfn.XLOOKUP(A457,[1]!brca_metabric_clinical_data__2[Patient ID], [1]!brca_metabric_clinical_data__2[Tumor Size])</f>
        <v>18</v>
      </c>
      <c r="O457" t="str">
        <f>_xlfn.XLOOKUP(A457,[1]!brca_metabric_clinical_data__2[Sample ID],[1]!brca_metabric_clinical_data__2[Tumor Stage])</f>
        <v>1</v>
      </c>
    </row>
    <row r="458" spans="1:15" x14ac:dyDescent="0.45">
      <c r="A458" t="s">
        <v>491</v>
      </c>
      <c r="B458">
        <v>53.1</v>
      </c>
      <c r="C458" t="s">
        <v>16</v>
      </c>
      <c r="D458" t="s">
        <v>17</v>
      </c>
      <c r="E458" t="s">
        <v>18</v>
      </c>
      <c r="F458" t="s">
        <v>43</v>
      </c>
      <c r="G458" t="s">
        <v>21</v>
      </c>
      <c r="H458" t="s">
        <v>21</v>
      </c>
      <c r="I458" t="s">
        <v>21</v>
      </c>
      <c r="J458" t="s">
        <v>27</v>
      </c>
      <c r="K458" t="s">
        <v>23</v>
      </c>
      <c r="L458">
        <v>87.8333333333333</v>
      </c>
      <c r="M458" t="s">
        <v>24</v>
      </c>
      <c r="N458" t="str">
        <f>_xlfn.XLOOKUP(A458,[1]!brca_metabric_clinical_data__2[Patient ID], [1]!brca_metabric_clinical_data__2[Tumor Size])</f>
        <v>30</v>
      </c>
      <c r="O458" t="str">
        <f>_xlfn.XLOOKUP(A458,[1]!brca_metabric_clinical_data__2[Sample ID],[1]!brca_metabric_clinical_data__2[Tumor Stage])</f>
        <v>2</v>
      </c>
    </row>
    <row r="459" spans="1:15" x14ac:dyDescent="0.45">
      <c r="A459" t="s">
        <v>492</v>
      </c>
      <c r="B459">
        <v>76.81</v>
      </c>
      <c r="C459" t="s">
        <v>16</v>
      </c>
      <c r="D459" t="s">
        <v>17</v>
      </c>
      <c r="E459" t="s">
        <v>37</v>
      </c>
      <c r="F459" t="s">
        <v>19</v>
      </c>
      <c r="G459" t="s">
        <v>20</v>
      </c>
      <c r="H459" t="s">
        <v>20</v>
      </c>
      <c r="I459" t="s">
        <v>21</v>
      </c>
      <c r="J459" t="s">
        <v>22</v>
      </c>
      <c r="K459">
        <v>10</v>
      </c>
      <c r="L459">
        <v>63.966666666666697</v>
      </c>
      <c r="M459" t="s">
        <v>30</v>
      </c>
      <c r="N459" t="str">
        <f>_xlfn.XLOOKUP(A459,[1]!brca_metabric_clinical_data__2[Patient ID], [1]!brca_metabric_clinical_data__2[Tumor Size])</f>
        <v>25</v>
      </c>
      <c r="O459" t="str">
        <f>_xlfn.XLOOKUP(A459,[1]!brca_metabric_clinical_data__2[Sample ID],[1]!brca_metabric_clinical_data__2[Tumor Stage])</f>
        <v>2</v>
      </c>
    </row>
    <row r="460" spans="1:15" x14ac:dyDescent="0.45">
      <c r="A460" t="s">
        <v>493</v>
      </c>
      <c r="B460">
        <v>51.15</v>
      </c>
      <c r="C460" t="s">
        <v>16</v>
      </c>
      <c r="D460" t="s">
        <v>17</v>
      </c>
      <c r="E460" t="s">
        <v>18</v>
      </c>
      <c r="F460" t="s">
        <v>19</v>
      </c>
      <c r="G460" t="s">
        <v>21</v>
      </c>
      <c r="H460" t="s">
        <v>21</v>
      </c>
      <c r="I460" t="s">
        <v>20</v>
      </c>
      <c r="J460" t="s">
        <v>27</v>
      </c>
      <c r="K460">
        <v>8</v>
      </c>
      <c r="L460">
        <v>98.7</v>
      </c>
      <c r="M460" t="s">
        <v>30</v>
      </c>
      <c r="N460" t="str">
        <f>_xlfn.XLOOKUP(A460,[1]!brca_metabric_clinical_data__2[Patient ID], [1]!brca_metabric_clinical_data__2[Tumor Size])</f>
        <v>14</v>
      </c>
      <c r="O460" t="str">
        <f>_xlfn.XLOOKUP(A460,[1]!brca_metabric_clinical_data__2[Sample ID],[1]!brca_metabric_clinical_data__2[Tumor Stage])</f>
        <v>2</v>
      </c>
    </row>
    <row r="461" spans="1:15" x14ac:dyDescent="0.45">
      <c r="A461" t="s">
        <v>494</v>
      </c>
      <c r="B461">
        <v>71.3</v>
      </c>
      <c r="C461" t="s">
        <v>16</v>
      </c>
      <c r="D461" t="s">
        <v>17</v>
      </c>
      <c r="E461" t="s">
        <v>18</v>
      </c>
      <c r="F461" t="s">
        <v>19</v>
      </c>
      <c r="G461" t="s">
        <v>20</v>
      </c>
      <c r="H461" t="s">
        <v>21</v>
      </c>
      <c r="I461" t="s">
        <v>21</v>
      </c>
      <c r="J461" t="s">
        <v>22</v>
      </c>
      <c r="K461" t="s">
        <v>23</v>
      </c>
      <c r="L461">
        <v>76.7</v>
      </c>
      <c r="M461" t="s">
        <v>24</v>
      </c>
      <c r="N461" t="str">
        <f>_xlfn.XLOOKUP(A461,[1]!brca_metabric_clinical_data__2[Patient ID], [1]!brca_metabric_clinical_data__2[Tumor Size])</f>
        <v>18</v>
      </c>
      <c r="O461" t="str">
        <f>_xlfn.XLOOKUP(A461,[1]!brca_metabric_clinical_data__2[Sample ID],[1]!brca_metabric_clinical_data__2[Tumor Stage])</f>
        <v>2</v>
      </c>
    </row>
    <row r="462" spans="1:15" x14ac:dyDescent="0.45">
      <c r="A462" t="s">
        <v>495</v>
      </c>
      <c r="B462">
        <v>75.650000000000006</v>
      </c>
      <c r="C462" t="s">
        <v>16</v>
      </c>
      <c r="D462" t="s">
        <v>17</v>
      </c>
      <c r="E462" t="s">
        <v>18</v>
      </c>
      <c r="F462" t="s">
        <v>43</v>
      </c>
      <c r="G462" t="s">
        <v>20</v>
      </c>
      <c r="H462" t="s">
        <v>21</v>
      </c>
      <c r="I462" t="s">
        <v>20</v>
      </c>
      <c r="J462" t="s">
        <v>29</v>
      </c>
      <c r="K462">
        <v>9</v>
      </c>
      <c r="L462">
        <v>104.533333333333</v>
      </c>
      <c r="M462" t="s">
        <v>24</v>
      </c>
      <c r="N462" t="str">
        <f>_xlfn.XLOOKUP(A462,[1]!brca_metabric_clinical_data__2[Patient ID], [1]!brca_metabric_clinical_data__2[Tumor Size])</f>
        <v>24</v>
      </c>
      <c r="O462" t="str">
        <f>_xlfn.XLOOKUP(A462,[1]!brca_metabric_clinical_data__2[Sample ID],[1]!brca_metabric_clinical_data__2[Tumor Stage])</f>
        <v>2</v>
      </c>
    </row>
    <row r="463" spans="1:15" x14ac:dyDescent="0.45">
      <c r="A463" t="s">
        <v>496</v>
      </c>
      <c r="B463">
        <v>60.2</v>
      </c>
      <c r="C463" t="s">
        <v>16</v>
      </c>
      <c r="D463" t="s">
        <v>17</v>
      </c>
      <c r="E463" t="s">
        <v>37</v>
      </c>
      <c r="F463" t="s">
        <v>19</v>
      </c>
      <c r="G463" t="s">
        <v>21</v>
      </c>
      <c r="H463" t="s">
        <v>20</v>
      </c>
      <c r="I463" t="s">
        <v>21</v>
      </c>
      <c r="J463" t="s">
        <v>22</v>
      </c>
      <c r="K463" t="s">
        <v>39</v>
      </c>
      <c r="L463">
        <v>48.8</v>
      </c>
      <c r="M463" t="s">
        <v>24</v>
      </c>
      <c r="N463" t="str">
        <f>_xlfn.XLOOKUP(A463,[1]!brca_metabric_clinical_data__2[Patient ID], [1]!brca_metabric_clinical_data__2[Tumor Size])</f>
        <v>60</v>
      </c>
      <c r="O463" t="str">
        <f>_xlfn.XLOOKUP(A463,[1]!brca_metabric_clinical_data__2[Sample ID],[1]!brca_metabric_clinical_data__2[Tumor Stage])</f>
        <v>3</v>
      </c>
    </row>
    <row r="464" spans="1:15" x14ac:dyDescent="0.45">
      <c r="A464" t="s">
        <v>497</v>
      </c>
      <c r="B464">
        <v>48.99</v>
      </c>
      <c r="C464" t="s">
        <v>16</v>
      </c>
      <c r="D464" t="s">
        <v>26</v>
      </c>
      <c r="E464" t="s">
        <v>18</v>
      </c>
      <c r="F464" t="s">
        <v>19</v>
      </c>
      <c r="G464" t="s">
        <v>21</v>
      </c>
      <c r="H464" t="s">
        <v>21</v>
      </c>
      <c r="I464" t="s">
        <v>20</v>
      </c>
      <c r="J464" t="s">
        <v>27</v>
      </c>
      <c r="K464">
        <v>6</v>
      </c>
      <c r="L464">
        <v>119.333333333333</v>
      </c>
      <c r="M464" t="s">
        <v>24</v>
      </c>
      <c r="N464" t="str">
        <f>_xlfn.XLOOKUP(A464,[1]!brca_metabric_clinical_data__2[Patient ID], [1]!brca_metabric_clinical_data__2[Tumor Size])</f>
        <v>19</v>
      </c>
      <c r="O464" t="str">
        <f>_xlfn.XLOOKUP(A464,[1]!brca_metabric_clinical_data__2[Sample ID],[1]!brca_metabric_clinical_data__2[Tumor Stage])</f>
        <v>2</v>
      </c>
    </row>
    <row r="465" spans="1:15" x14ac:dyDescent="0.45">
      <c r="A465" t="s">
        <v>498</v>
      </c>
      <c r="B465">
        <v>38.75</v>
      </c>
      <c r="C465" t="s">
        <v>16</v>
      </c>
      <c r="D465" t="s">
        <v>26</v>
      </c>
      <c r="E465" t="s">
        <v>37</v>
      </c>
      <c r="F465" t="s">
        <v>43</v>
      </c>
      <c r="G465" t="s">
        <v>20</v>
      </c>
      <c r="H465" t="s">
        <v>20</v>
      </c>
      <c r="I465" t="s">
        <v>20</v>
      </c>
      <c r="J465" t="s">
        <v>38</v>
      </c>
      <c r="K465">
        <v>5</v>
      </c>
      <c r="L465">
        <v>34.766666666666701</v>
      </c>
      <c r="M465" t="s">
        <v>24</v>
      </c>
      <c r="N465" t="str">
        <f>_xlfn.XLOOKUP(A465,[1]!brca_metabric_clinical_data__2[Patient ID], [1]!brca_metabric_clinical_data__2[Tumor Size])</f>
        <v>3</v>
      </c>
      <c r="O465" t="str">
        <f>_xlfn.XLOOKUP(A465,[1]!brca_metabric_clinical_data__2[Sample ID],[1]!brca_metabric_clinical_data__2[Tumor Stage])</f>
        <v>NA</v>
      </c>
    </row>
    <row r="466" spans="1:15" x14ac:dyDescent="0.45">
      <c r="A466" t="s">
        <v>499</v>
      </c>
      <c r="B466">
        <v>75.98</v>
      </c>
      <c r="C466" t="s">
        <v>16</v>
      </c>
      <c r="D466" t="s">
        <v>17</v>
      </c>
      <c r="E466" t="s">
        <v>18</v>
      </c>
      <c r="F466" t="s">
        <v>19</v>
      </c>
      <c r="G466" t="s">
        <v>20</v>
      </c>
      <c r="H466" t="s">
        <v>21</v>
      </c>
      <c r="I466" t="s">
        <v>21</v>
      </c>
      <c r="J466" t="s">
        <v>29</v>
      </c>
      <c r="K466">
        <v>7</v>
      </c>
      <c r="L466">
        <v>29.033333333333299</v>
      </c>
      <c r="M466" t="s">
        <v>30</v>
      </c>
      <c r="N466" t="str">
        <f>_xlfn.XLOOKUP(A466,[1]!brca_metabric_clinical_data__2[Patient ID], [1]!brca_metabric_clinical_data__2[Tumor Size])</f>
        <v>38</v>
      </c>
      <c r="O466" t="str">
        <f>_xlfn.XLOOKUP(A466,[1]!brca_metabric_clinical_data__2[Sample ID],[1]!brca_metabric_clinical_data__2[Tumor Stage])</f>
        <v>2</v>
      </c>
    </row>
    <row r="467" spans="1:15" x14ac:dyDescent="0.45">
      <c r="A467" t="s">
        <v>500</v>
      </c>
      <c r="B467">
        <v>72.14</v>
      </c>
      <c r="C467" t="s">
        <v>16</v>
      </c>
      <c r="D467" t="s">
        <v>17</v>
      </c>
      <c r="E467" t="s">
        <v>18</v>
      </c>
      <c r="F467" t="s">
        <v>19</v>
      </c>
      <c r="G467" t="s">
        <v>20</v>
      </c>
      <c r="H467" t="s">
        <v>21</v>
      </c>
      <c r="I467" t="s">
        <v>20</v>
      </c>
      <c r="J467" t="s">
        <v>22</v>
      </c>
      <c r="K467" t="s">
        <v>23</v>
      </c>
      <c r="L467">
        <v>92.966666666666697</v>
      </c>
      <c r="M467" t="s">
        <v>30</v>
      </c>
      <c r="N467" t="str">
        <f>_xlfn.XLOOKUP(A467,[1]!brca_metabric_clinical_data__2[Patient ID], [1]!brca_metabric_clinical_data__2[Tumor Size])</f>
        <v>40</v>
      </c>
      <c r="O467" t="str">
        <f>_xlfn.XLOOKUP(A467,[1]!brca_metabric_clinical_data__2[Sample ID],[1]!brca_metabric_clinical_data__2[Tumor Stage])</f>
        <v>2</v>
      </c>
    </row>
    <row r="468" spans="1:15" x14ac:dyDescent="0.45">
      <c r="A468" t="s">
        <v>501</v>
      </c>
      <c r="B468">
        <v>63.86</v>
      </c>
      <c r="C468" t="s">
        <v>16</v>
      </c>
      <c r="D468" t="s">
        <v>17</v>
      </c>
      <c r="E468" t="s">
        <v>18</v>
      </c>
      <c r="F468" t="s">
        <v>19</v>
      </c>
      <c r="G468" t="s">
        <v>20</v>
      </c>
      <c r="H468" t="s">
        <v>21</v>
      </c>
      <c r="I468" t="s">
        <v>20</v>
      </c>
      <c r="J468" t="s">
        <v>29</v>
      </c>
      <c r="K468">
        <v>3</v>
      </c>
      <c r="L468">
        <v>101.9</v>
      </c>
      <c r="M468" t="s">
        <v>24</v>
      </c>
      <c r="N468" t="str">
        <f>_xlfn.XLOOKUP(A468,[1]!brca_metabric_clinical_data__2[Patient ID], [1]!brca_metabric_clinical_data__2[Tumor Size])</f>
        <v>17</v>
      </c>
      <c r="O468" t="str">
        <f>_xlfn.XLOOKUP(A468,[1]!brca_metabric_clinical_data__2[Sample ID],[1]!brca_metabric_clinical_data__2[Tumor Stage])</f>
        <v>1</v>
      </c>
    </row>
    <row r="469" spans="1:15" x14ac:dyDescent="0.45">
      <c r="A469" t="s">
        <v>502</v>
      </c>
      <c r="B469">
        <v>38.9</v>
      </c>
      <c r="C469" t="s">
        <v>16</v>
      </c>
      <c r="D469" t="s">
        <v>26</v>
      </c>
      <c r="E469" t="s">
        <v>18</v>
      </c>
      <c r="F469" t="s">
        <v>19</v>
      </c>
      <c r="G469" t="s">
        <v>21</v>
      </c>
      <c r="H469" t="s">
        <v>21</v>
      </c>
      <c r="I469" t="s">
        <v>21</v>
      </c>
      <c r="J469" t="s">
        <v>38</v>
      </c>
      <c r="K469" t="s">
        <v>23</v>
      </c>
      <c r="L469">
        <v>94.233333333333306</v>
      </c>
      <c r="M469" t="s">
        <v>24</v>
      </c>
      <c r="N469" t="str">
        <f>_xlfn.XLOOKUP(A469,[1]!brca_metabric_clinical_data__2[Patient ID], [1]!brca_metabric_clinical_data__2[Tumor Size])</f>
        <v>25</v>
      </c>
      <c r="O469" t="str">
        <f>_xlfn.XLOOKUP(A469,[1]!brca_metabric_clinical_data__2[Sample ID],[1]!brca_metabric_clinical_data__2[Tumor Stage])</f>
        <v>2</v>
      </c>
    </row>
    <row r="470" spans="1:15" x14ac:dyDescent="0.45">
      <c r="A470" t="s">
        <v>503</v>
      </c>
      <c r="B470">
        <v>62.97</v>
      </c>
      <c r="C470" t="s">
        <v>16</v>
      </c>
      <c r="D470" t="s">
        <v>17</v>
      </c>
      <c r="E470" t="s">
        <v>18</v>
      </c>
      <c r="F470" t="s">
        <v>19</v>
      </c>
      <c r="G470" t="s">
        <v>21</v>
      </c>
      <c r="H470" t="s">
        <v>21</v>
      </c>
      <c r="I470" t="s">
        <v>21</v>
      </c>
      <c r="J470" t="s">
        <v>22</v>
      </c>
      <c r="K470" t="s">
        <v>23</v>
      </c>
      <c r="L470">
        <v>112.8</v>
      </c>
      <c r="M470" t="s">
        <v>24</v>
      </c>
      <c r="N470" t="str">
        <f>_xlfn.XLOOKUP(A470,[1]!brca_metabric_clinical_data__2[Patient ID], [1]!brca_metabric_clinical_data__2[Tumor Size])</f>
        <v>14</v>
      </c>
      <c r="O470" t="str">
        <f>_xlfn.XLOOKUP(A470,[1]!brca_metabric_clinical_data__2[Sample ID],[1]!brca_metabric_clinical_data__2[Tumor Stage])</f>
        <v>2</v>
      </c>
    </row>
    <row r="471" spans="1:15" x14ac:dyDescent="0.45">
      <c r="A471" t="s">
        <v>504</v>
      </c>
      <c r="B471">
        <v>70.040000000000006</v>
      </c>
      <c r="C471" t="s">
        <v>16</v>
      </c>
      <c r="D471" t="s">
        <v>17</v>
      </c>
      <c r="E471" t="s">
        <v>18</v>
      </c>
      <c r="F471" t="s">
        <v>19</v>
      </c>
      <c r="G471" t="s">
        <v>20</v>
      </c>
      <c r="H471" t="s">
        <v>21</v>
      </c>
      <c r="I471" t="s">
        <v>21</v>
      </c>
      <c r="J471" t="s">
        <v>27</v>
      </c>
      <c r="K471" t="s">
        <v>23</v>
      </c>
      <c r="L471">
        <v>33.566666666666698</v>
      </c>
      <c r="M471" t="s">
        <v>24</v>
      </c>
      <c r="N471" t="str">
        <f>_xlfn.XLOOKUP(A471,[1]!brca_metabric_clinical_data__2[Patient ID], [1]!brca_metabric_clinical_data__2[Tumor Size])</f>
        <v>30</v>
      </c>
      <c r="O471" t="str">
        <f>_xlfn.XLOOKUP(A471,[1]!brca_metabric_clinical_data__2[Sample ID],[1]!brca_metabric_clinical_data__2[Tumor Stage])</f>
        <v>2</v>
      </c>
    </row>
    <row r="472" spans="1:15" x14ac:dyDescent="0.45">
      <c r="A472" t="s">
        <v>505</v>
      </c>
      <c r="B472">
        <v>66.52</v>
      </c>
      <c r="C472" t="s">
        <v>16</v>
      </c>
      <c r="D472" t="s">
        <v>17</v>
      </c>
      <c r="E472" t="s">
        <v>18</v>
      </c>
      <c r="F472" t="s">
        <v>19</v>
      </c>
      <c r="G472" t="s">
        <v>20</v>
      </c>
      <c r="H472" t="s">
        <v>21</v>
      </c>
      <c r="I472" t="s">
        <v>21</v>
      </c>
      <c r="J472" t="s">
        <v>38</v>
      </c>
      <c r="K472" t="s">
        <v>23</v>
      </c>
      <c r="L472">
        <v>111.066666666667</v>
      </c>
      <c r="M472" t="s">
        <v>24</v>
      </c>
      <c r="N472" t="str">
        <f>_xlfn.XLOOKUP(A472,[1]!brca_metabric_clinical_data__2[Patient ID], [1]!brca_metabric_clinical_data__2[Tumor Size])</f>
        <v>12</v>
      </c>
      <c r="O472" t="str">
        <f>_xlfn.XLOOKUP(A472,[1]!brca_metabric_clinical_data__2[Sample ID],[1]!brca_metabric_clinical_data__2[Tumor Stage])</f>
        <v>1</v>
      </c>
    </row>
    <row r="473" spans="1:15" x14ac:dyDescent="0.45">
      <c r="A473" t="s">
        <v>506</v>
      </c>
      <c r="B473">
        <v>64.28</v>
      </c>
      <c r="C473" t="s">
        <v>16</v>
      </c>
      <c r="D473" t="s">
        <v>17</v>
      </c>
      <c r="E473" t="s">
        <v>18</v>
      </c>
      <c r="F473" t="s">
        <v>35</v>
      </c>
      <c r="G473" t="s">
        <v>20</v>
      </c>
      <c r="H473" t="s">
        <v>21</v>
      </c>
      <c r="I473" t="s">
        <v>20</v>
      </c>
      <c r="J473" t="s">
        <v>27</v>
      </c>
      <c r="K473">
        <v>3</v>
      </c>
      <c r="L473">
        <v>64.033333333333303</v>
      </c>
      <c r="M473" t="s">
        <v>24</v>
      </c>
      <c r="N473" t="str">
        <f>_xlfn.XLOOKUP(A473,[1]!brca_metabric_clinical_data__2[Patient ID], [1]!brca_metabric_clinical_data__2[Tumor Size])</f>
        <v>16</v>
      </c>
      <c r="O473" t="str">
        <f>_xlfn.XLOOKUP(A473,[1]!brca_metabric_clinical_data__2[Sample ID],[1]!brca_metabric_clinical_data__2[Tumor Stage])</f>
        <v>2</v>
      </c>
    </row>
    <row r="474" spans="1:15" x14ac:dyDescent="0.45">
      <c r="A474" t="s">
        <v>507</v>
      </c>
      <c r="B474">
        <v>61.11</v>
      </c>
      <c r="C474" t="s">
        <v>16</v>
      </c>
      <c r="D474" t="s">
        <v>17</v>
      </c>
      <c r="E474" t="s">
        <v>18</v>
      </c>
      <c r="F474" t="s">
        <v>19</v>
      </c>
      <c r="G474" t="s">
        <v>20</v>
      </c>
      <c r="H474" t="s">
        <v>21</v>
      </c>
      <c r="I474" t="s">
        <v>21</v>
      </c>
      <c r="J474" t="s">
        <v>29</v>
      </c>
      <c r="K474">
        <v>1</v>
      </c>
      <c r="L474">
        <v>35.533333333333303</v>
      </c>
      <c r="M474" t="s">
        <v>30</v>
      </c>
      <c r="N474" t="str">
        <f>_xlfn.XLOOKUP(A474,[1]!brca_metabric_clinical_data__2[Patient ID], [1]!brca_metabric_clinical_data__2[Tumor Size])</f>
        <v>20</v>
      </c>
      <c r="O474" t="str">
        <f>_xlfn.XLOOKUP(A474,[1]!brca_metabric_clinical_data__2[Sample ID],[1]!brca_metabric_clinical_data__2[Tumor Stage])</f>
        <v>2</v>
      </c>
    </row>
    <row r="475" spans="1:15" x14ac:dyDescent="0.45">
      <c r="A475" t="s">
        <v>508</v>
      </c>
      <c r="B475">
        <v>54.1</v>
      </c>
      <c r="C475" t="s">
        <v>16</v>
      </c>
      <c r="D475" t="s">
        <v>17</v>
      </c>
      <c r="E475" t="s">
        <v>37</v>
      </c>
      <c r="F475" t="s">
        <v>19</v>
      </c>
      <c r="G475" t="s">
        <v>20</v>
      </c>
      <c r="H475" t="s">
        <v>20</v>
      </c>
      <c r="I475" t="s">
        <v>20</v>
      </c>
      <c r="J475" t="s">
        <v>22</v>
      </c>
      <c r="K475" t="s">
        <v>39</v>
      </c>
      <c r="L475">
        <v>0.76666666666666705</v>
      </c>
      <c r="M475" t="s">
        <v>24</v>
      </c>
      <c r="N475" t="str">
        <f>_xlfn.XLOOKUP(A475,[1]!brca_metabric_clinical_data__2[Patient ID], [1]!brca_metabric_clinical_data__2[Tumor Size])</f>
        <v>20</v>
      </c>
      <c r="O475" t="str">
        <f>_xlfn.XLOOKUP(A475,[1]!brca_metabric_clinical_data__2[Sample ID],[1]!brca_metabric_clinical_data__2[Tumor Stage])</f>
        <v>NA</v>
      </c>
    </row>
    <row r="476" spans="1:15" x14ac:dyDescent="0.45">
      <c r="A476" t="s">
        <v>509</v>
      </c>
      <c r="B476">
        <v>63.98</v>
      </c>
      <c r="C476" t="s">
        <v>16</v>
      </c>
      <c r="D476" t="s">
        <v>17</v>
      </c>
      <c r="E476" t="s">
        <v>18</v>
      </c>
      <c r="F476" t="s">
        <v>19</v>
      </c>
      <c r="G476" t="s">
        <v>20</v>
      </c>
      <c r="H476" t="s">
        <v>21</v>
      </c>
      <c r="I476" t="s">
        <v>21</v>
      </c>
      <c r="J476" t="s">
        <v>38</v>
      </c>
      <c r="K476">
        <v>7</v>
      </c>
      <c r="L476">
        <v>105.966666666667</v>
      </c>
      <c r="M476" t="s">
        <v>24</v>
      </c>
      <c r="N476" t="str">
        <f>_xlfn.XLOOKUP(A476,[1]!brca_metabric_clinical_data__2[Patient ID], [1]!brca_metabric_clinical_data__2[Tumor Size])</f>
        <v>10</v>
      </c>
      <c r="O476" t="str">
        <f>_xlfn.XLOOKUP(A476,[1]!brca_metabric_clinical_data__2[Sample ID],[1]!brca_metabric_clinical_data__2[Tumor Stage])</f>
        <v>1</v>
      </c>
    </row>
    <row r="477" spans="1:15" x14ac:dyDescent="0.45">
      <c r="A477" t="s">
        <v>510</v>
      </c>
      <c r="B477">
        <v>38.35</v>
      </c>
      <c r="C477" t="s">
        <v>16</v>
      </c>
      <c r="D477" t="s">
        <v>26</v>
      </c>
      <c r="E477" t="s">
        <v>18</v>
      </c>
      <c r="F477" t="s">
        <v>43</v>
      </c>
      <c r="G477" t="s">
        <v>21</v>
      </c>
      <c r="H477" t="s">
        <v>21</v>
      </c>
      <c r="I477" t="s">
        <v>21</v>
      </c>
      <c r="J477" t="s">
        <v>29</v>
      </c>
      <c r="K477">
        <v>1</v>
      </c>
      <c r="L477">
        <v>86.8</v>
      </c>
      <c r="M477" t="s">
        <v>24</v>
      </c>
      <c r="N477" t="str">
        <f>_xlfn.XLOOKUP(A477,[1]!brca_metabric_clinical_data__2[Patient ID], [1]!brca_metabric_clinical_data__2[Tumor Size])</f>
        <v>20</v>
      </c>
      <c r="O477" t="str">
        <f>_xlfn.XLOOKUP(A477,[1]!brca_metabric_clinical_data__2[Sample ID],[1]!brca_metabric_clinical_data__2[Tumor Stage])</f>
        <v>1</v>
      </c>
    </row>
    <row r="478" spans="1:15" x14ac:dyDescent="0.45">
      <c r="A478" t="s">
        <v>511</v>
      </c>
      <c r="B478">
        <v>84.41</v>
      </c>
      <c r="C478" t="s">
        <v>16</v>
      </c>
      <c r="D478" t="s">
        <v>17</v>
      </c>
      <c r="E478" t="s">
        <v>18</v>
      </c>
      <c r="F478" t="s">
        <v>19</v>
      </c>
      <c r="G478" t="s">
        <v>21</v>
      </c>
      <c r="H478" t="s">
        <v>21</v>
      </c>
      <c r="I478" t="s">
        <v>21</v>
      </c>
      <c r="J478" t="s">
        <v>27</v>
      </c>
      <c r="K478">
        <v>8</v>
      </c>
      <c r="L478">
        <v>47.433333333333302</v>
      </c>
      <c r="M478" t="s">
        <v>30</v>
      </c>
      <c r="N478" t="str">
        <f>_xlfn.XLOOKUP(A478,[1]!brca_metabric_clinical_data__2[Patient ID], [1]!brca_metabric_clinical_data__2[Tumor Size])</f>
        <v>25</v>
      </c>
      <c r="O478" t="str">
        <f>_xlfn.XLOOKUP(A478,[1]!brca_metabric_clinical_data__2[Sample ID],[1]!brca_metabric_clinical_data__2[Tumor Stage])</f>
        <v>2</v>
      </c>
    </row>
    <row r="479" spans="1:15" x14ac:dyDescent="0.45">
      <c r="A479" t="s">
        <v>512</v>
      </c>
      <c r="B479">
        <v>51.92</v>
      </c>
      <c r="C479" t="s">
        <v>16</v>
      </c>
      <c r="D479" t="s">
        <v>17</v>
      </c>
      <c r="E479" t="s">
        <v>18</v>
      </c>
      <c r="F479" t="s">
        <v>19</v>
      </c>
      <c r="G479" t="s">
        <v>20</v>
      </c>
      <c r="H479" t="s">
        <v>21</v>
      </c>
      <c r="I479" t="s">
        <v>21</v>
      </c>
      <c r="J479" t="s">
        <v>27</v>
      </c>
      <c r="K479" t="s">
        <v>23</v>
      </c>
      <c r="L479">
        <v>56.5</v>
      </c>
      <c r="M479" t="s">
        <v>24</v>
      </c>
      <c r="N479" t="str">
        <f>_xlfn.XLOOKUP(A479,[1]!brca_metabric_clinical_data__2[Patient ID], [1]!brca_metabric_clinical_data__2[Tumor Size])</f>
        <v>20</v>
      </c>
      <c r="O479" t="str">
        <f>_xlfn.XLOOKUP(A479,[1]!brca_metabric_clinical_data__2[Sample ID],[1]!brca_metabric_clinical_data__2[Tumor Stage])</f>
        <v>1</v>
      </c>
    </row>
    <row r="480" spans="1:15" x14ac:dyDescent="0.45">
      <c r="A480" t="s">
        <v>513</v>
      </c>
      <c r="B480">
        <v>55.99</v>
      </c>
      <c r="C480" t="s">
        <v>16</v>
      </c>
      <c r="D480" t="s">
        <v>17</v>
      </c>
      <c r="E480" t="s">
        <v>18</v>
      </c>
      <c r="F480" t="s">
        <v>19</v>
      </c>
      <c r="G480" t="s">
        <v>20</v>
      </c>
      <c r="H480" t="s">
        <v>20</v>
      </c>
      <c r="I480" t="s">
        <v>20</v>
      </c>
      <c r="J480" t="s">
        <v>22</v>
      </c>
      <c r="K480" t="s">
        <v>23</v>
      </c>
      <c r="L480">
        <v>17.766666666666701</v>
      </c>
      <c r="M480" t="s">
        <v>24</v>
      </c>
      <c r="N480" t="str">
        <f>_xlfn.XLOOKUP(A480,[1]!brca_metabric_clinical_data__2[Patient ID], [1]!brca_metabric_clinical_data__2[Tumor Size])</f>
        <v>5</v>
      </c>
      <c r="O480" t="str">
        <f>_xlfn.XLOOKUP(A480,[1]!brca_metabric_clinical_data__2[Sample ID],[1]!brca_metabric_clinical_data__2[Tumor Stage])</f>
        <v>NA</v>
      </c>
    </row>
    <row r="481" spans="1:15" x14ac:dyDescent="0.45">
      <c r="A481" t="s">
        <v>514</v>
      </c>
      <c r="B481">
        <v>76.5</v>
      </c>
      <c r="C481" t="s">
        <v>16</v>
      </c>
      <c r="D481" t="s">
        <v>17</v>
      </c>
      <c r="E481" t="s">
        <v>18</v>
      </c>
      <c r="F481" t="s">
        <v>19</v>
      </c>
      <c r="G481" t="s">
        <v>20</v>
      </c>
      <c r="H481" t="s">
        <v>21</v>
      </c>
      <c r="I481" t="s">
        <v>20</v>
      </c>
      <c r="J481" t="s">
        <v>22</v>
      </c>
      <c r="K481" t="s">
        <v>23</v>
      </c>
      <c r="L481">
        <v>88</v>
      </c>
      <c r="M481" t="s">
        <v>24</v>
      </c>
      <c r="N481" t="str">
        <f>_xlfn.XLOOKUP(A481,[1]!brca_metabric_clinical_data__2[Patient ID], [1]!brca_metabric_clinical_data__2[Tumor Size])</f>
        <v>14</v>
      </c>
      <c r="O481" t="str">
        <f>_xlfn.XLOOKUP(A481,[1]!brca_metabric_clinical_data__2[Sample ID],[1]!brca_metabric_clinical_data__2[Tumor Stage])</f>
        <v>1</v>
      </c>
    </row>
    <row r="482" spans="1:15" x14ac:dyDescent="0.45">
      <c r="A482" t="s">
        <v>515</v>
      </c>
      <c r="B482">
        <v>26.36</v>
      </c>
      <c r="C482" t="s">
        <v>16</v>
      </c>
      <c r="D482" t="s">
        <v>26</v>
      </c>
      <c r="E482" t="s">
        <v>18</v>
      </c>
      <c r="F482" t="s">
        <v>19</v>
      </c>
      <c r="G482" t="s">
        <v>20</v>
      </c>
      <c r="H482" t="s">
        <v>21</v>
      </c>
      <c r="I482" t="s">
        <v>21</v>
      </c>
      <c r="J482" t="s">
        <v>27</v>
      </c>
      <c r="K482">
        <v>6</v>
      </c>
      <c r="L482">
        <v>32.633333333333297</v>
      </c>
      <c r="M482" t="s">
        <v>30</v>
      </c>
      <c r="N482" t="str">
        <f>_xlfn.XLOOKUP(A482,[1]!brca_metabric_clinical_data__2[Patient ID], [1]!brca_metabric_clinical_data__2[Tumor Size])</f>
        <v>12</v>
      </c>
      <c r="O482" t="str">
        <f>_xlfn.XLOOKUP(A482,[1]!brca_metabric_clinical_data__2[Sample ID],[1]!brca_metabric_clinical_data__2[Tumor Stage])</f>
        <v>1</v>
      </c>
    </row>
    <row r="483" spans="1:15" x14ac:dyDescent="0.45">
      <c r="A483" t="s">
        <v>516</v>
      </c>
      <c r="B483">
        <v>75.709999999999994</v>
      </c>
      <c r="C483" t="s">
        <v>16</v>
      </c>
      <c r="D483" t="s">
        <v>17</v>
      </c>
      <c r="E483" t="s">
        <v>18</v>
      </c>
      <c r="F483" t="s">
        <v>19</v>
      </c>
      <c r="G483" t="s">
        <v>20</v>
      </c>
      <c r="H483" t="s">
        <v>21</v>
      </c>
      <c r="I483" t="s">
        <v>21</v>
      </c>
      <c r="J483" t="s">
        <v>29</v>
      </c>
      <c r="K483">
        <v>10</v>
      </c>
      <c r="L483">
        <v>80.6666666666667</v>
      </c>
      <c r="M483" t="s">
        <v>24</v>
      </c>
      <c r="N483" t="str">
        <f>_xlfn.XLOOKUP(A483,[1]!brca_metabric_clinical_data__2[Patient ID], [1]!brca_metabric_clinical_data__2[Tumor Size])</f>
        <v>31</v>
      </c>
      <c r="O483" t="str">
        <f>_xlfn.XLOOKUP(A483,[1]!brca_metabric_clinical_data__2[Sample ID],[1]!brca_metabric_clinical_data__2[Tumor Stage])</f>
        <v>2</v>
      </c>
    </row>
    <row r="484" spans="1:15" x14ac:dyDescent="0.45">
      <c r="A484" t="s">
        <v>517</v>
      </c>
      <c r="B484">
        <v>66.95</v>
      </c>
      <c r="C484" t="s">
        <v>16</v>
      </c>
      <c r="D484" t="s">
        <v>17</v>
      </c>
      <c r="E484" t="s">
        <v>18</v>
      </c>
      <c r="F484" t="s">
        <v>19</v>
      </c>
      <c r="G484" t="s">
        <v>20</v>
      </c>
      <c r="H484" t="s">
        <v>21</v>
      </c>
      <c r="I484" t="s">
        <v>21</v>
      </c>
      <c r="J484" t="s">
        <v>38</v>
      </c>
      <c r="K484" t="s">
        <v>23</v>
      </c>
      <c r="L484">
        <v>103.76666666666701</v>
      </c>
      <c r="M484" t="s">
        <v>30</v>
      </c>
      <c r="N484" t="str">
        <f>_xlfn.XLOOKUP(A484,[1]!brca_metabric_clinical_data__2[Patient ID], [1]!brca_metabric_clinical_data__2[Tumor Size])</f>
        <v>32</v>
      </c>
      <c r="O484" t="str">
        <f>_xlfn.XLOOKUP(A484,[1]!brca_metabric_clinical_data__2[Sample ID],[1]!brca_metabric_clinical_data__2[Tumor Stage])</f>
        <v>2</v>
      </c>
    </row>
    <row r="485" spans="1:15" x14ac:dyDescent="0.45">
      <c r="A485" t="s">
        <v>518</v>
      </c>
      <c r="B485">
        <v>50.39</v>
      </c>
      <c r="C485" t="s">
        <v>16</v>
      </c>
      <c r="D485" t="s">
        <v>17</v>
      </c>
      <c r="E485" t="s">
        <v>37</v>
      </c>
      <c r="F485" t="s">
        <v>19</v>
      </c>
      <c r="G485" t="s">
        <v>21</v>
      </c>
      <c r="H485" t="s">
        <v>20</v>
      </c>
      <c r="I485" t="s">
        <v>21</v>
      </c>
      <c r="J485" t="s">
        <v>58</v>
      </c>
      <c r="K485">
        <v>10</v>
      </c>
      <c r="L485">
        <v>75.400000000000006</v>
      </c>
      <c r="M485" t="s">
        <v>24</v>
      </c>
      <c r="N485" t="str">
        <f>_xlfn.XLOOKUP(A485,[1]!brca_metabric_clinical_data__2[Patient ID], [1]!brca_metabric_clinical_data__2[Tumor Size])</f>
        <v>18</v>
      </c>
      <c r="O485" t="str">
        <f>_xlfn.XLOOKUP(A485,[1]!brca_metabric_clinical_data__2[Sample ID],[1]!brca_metabric_clinical_data__2[Tumor Stage])</f>
        <v>1</v>
      </c>
    </row>
    <row r="486" spans="1:15" x14ac:dyDescent="0.45">
      <c r="A486" t="s">
        <v>519</v>
      </c>
      <c r="B486">
        <v>66.09</v>
      </c>
      <c r="C486" t="s">
        <v>16</v>
      </c>
      <c r="D486" t="s">
        <v>17</v>
      </c>
      <c r="E486" t="s">
        <v>18</v>
      </c>
      <c r="F486" t="s">
        <v>19</v>
      </c>
      <c r="G486" t="s">
        <v>20</v>
      </c>
      <c r="H486" t="s">
        <v>21</v>
      </c>
      <c r="I486" t="s">
        <v>21</v>
      </c>
      <c r="J486" t="s">
        <v>38</v>
      </c>
      <c r="K486">
        <v>7</v>
      </c>
      <c r="L486">
        <v>61.3333333333333</v>
      </c>
      <c r="M486" t="s">
        <v>24</v>
      </c>
      <c r="N486" t="str">
        <f>_xlfn.XLOOKUP(A486,[1]!brca_metabric_clinical_data__2[Patient ID], [1]!brca_metabric_clinical_data__2[Tumor Size])</f>
        <v>13</v>
      </c>
      <c r="O486" t="str">
        <f>_xlfn.XLOOKUP(A486,[1]!brca_metabric_clinical_data__2[Sample ID],[1]!brca_metabric_clinical_data__2[Tumor Stage])</f>
        <v>1</v>
      </c>
    </row>
    <row r="487" spans="1:15" x14ac:dyDescent="0.45">
      <c r="A487" t="s">
        <v>520</v>
      </c>
      <c r="B487">
        <v>56.34</v>
      </c>
      <c r="C487" t="s">
        <v>16</v>
      </c>
      <c r="D487" t="s">
        <v>17</v>
      </c>
      <c r="E487" t="s">
        <v>18</v>
      </c>
      <c r="F487" t="s">
        <v>19</v>
      </c>
      <c r="G487" t="s">
        <v>20</v>
      </c>
      <c r="H487" t="s">
        <v>21</v>
      </c>
      <c r="I487" t="s">
        <v>21</v>
      </c>
      <c r="J487" t="s">
        <v>22</v>
      </c>
      <c r="K487" t="s">
        <v>23</v>
      </c>
      <c r="L487">
        <v>102.566666666667</v>
      </c>
      <c r="M487" t="s">
        <v>24</v>
      </c>
      <c r="N487" t="str">
        <f>_xlfn.XLOOKUP(A487,[1]!brca_metabric_clinical_data__2[Patient ID], [1]!brca_metabric_clinical_data__2[Tumor Size])</f>
        <v>14</v>
      </c>
      <c r="O487" t="str">
        <f>_xlfn.XLOOKUP(A487,[1]!brca_metabric_clinical_data__2[Sample ID],[1]!brca_metabric_clinical_data__2[Tumor Stage])</f>
        <v>2</v>
      </c>
    </row>
    <row r="488" spans="1:15" x14ac:dyDescent="0.45">
      <c r="A488" t="s">
        <v>521</v>
      </c>
      <c r="B488">
        <v>79.12</v>
      </c>
      <c r="C488" t="s">
        <v>16</v>
      </c>
      <c r="D488" t="s">
        <v>17</v>
      </c>
      <c r="E488" t="s">
        <v>18</v>
      </c>
      <c r="F488" t="s">
        <v>19</v>
      </c>
      <c r="G488" t="s">
        <v>20</v>
      </c>
      <c r="H488" t="s">
        <v>20</v>
      </c>
      <c r="I488" t="s">
        <v>21</v>
      </c>
      <c r="J488" t="s">
        <v>27</v>
      </c>
      <c r="K488">
        <v>8</v>
      </c>
      <c r="L488">
        <v>84.2</v>
      </c>
      <c r="M488" t="s">
        <v>30</v>
      </c>
      <c r="N488" t="str">
        <f>_xlfn.XLOOKUP(A488,[1]!brca_metabric_clinical_data__2[Patient ID], [1]!brca_metabric_clinical_data__2[Tumor Size])</f>
        <v>20</v>
      </c>
      <c r="O488" t="str">
        <f>_xlfn.XLOOKUP(A488,[1]!brca_metabric_clinical_data__2[Sample ID],[1]!brca_metabric_clinical_data__2[Tumor Stage])</f>
        <v>1</v>
      </c>
    </row>
    <row r="489" spans="1:15" x14ac:dyDescent="0.45">
      <c r="A489" t="s">
        <v>522</v>
      </c>
      <c r="B489">
        <v>73.459999999999994</v>
      </c>
      <c r="C489" t="s">
        <v>16</v>
      </c>
      <c r="D489" t="s">
        <v>17</v>
      </c>
      <c r="E489" t="s">
        <v>18</v>
      </c>
      <c r="F489" t="s">
        <v>43</v>
      </c>
      <c r="G489" t="s">
        <v>20</v>
      </c>
      <c r="H489" t="s">
        <v>21</v>
      </c>
      <c r="I489" t="s">
        <v>21</v>
      </c>
      <c r="J489" t="s">
        <v>45</v>
      </c>
      <c r="K489">
        <v>5</v>
      </c>
      <c r="L489">
        <v>19.733333333333299</v>
      </c>
      <c r="M489" t="s">
        <v>30</v>
      </c>
      <c r="N489" t="str">
        <f>_xlfn.XLOOKUP(A489,[1]!brca_metabric_clinical_data__2[Patient ID], [1]!brca_metabric_clinical_data__2[Tumor Size])</f>
        <v>60</v>
      </c>
      <c r="O489" t="str">
        <f>_xlfn.XLOOKUP(A489,[1]!brca_metabric_clinical_data__2[Sample ID],[1]!brca_metabric_clinical_data__2[Tumor Stage])</f>
        <v>3</v>
      </c>
    </row>
    <row r="490" spans="1:15" x14ac:dyDescent="0.45">
      <c r="A490" t="s">
        <v>523</v>
      </c>
      <c r="B490">
        <v>71.06</v>
      </c>
      <c r="C490" t="s">
        <v>16</v>
      </c>
      <c r="D490" t="s">
        <v>17</v>
      </c>
      <c r="E490" t="s">
        <v>18</v>
      </c>
      <c r="F490" t="s">
        <v>19</v>
      </c>
      <c r="G490" t="s">
        <v>20</v>
      </c>
      <c r="H490" t="s">
        <v>21</v>
      </c>
      <c r="I490" t="s">
        <v>21</v>
      </c>
      <c r="J490" t="s">
        <v>22</v>
      </c>
      <c r="K490" t="s">
        <v>23</v>
      </c>
      <c r="L490">
        <v>93.3</v>
      </c>
      <c r="M490" t="s">
        <v>24</v>
      </c>
      <c r="N490" t="str">
        <f>_xlfn.XLOOKUP(A490,[1]!brca_metabric_clinical_data__2[Patient ID], [1]!brca_metabric_clinical_data__2[Tumor Size])</f>
        <v>30</v>
      </c>
      <c r="O490" t="str">
        <f>_xlfn.XLOOKUP(A490,[1]!brca_metabric_clinical_data__2[Sample ID],[1]!brca_metabric_clinical_data__2[Tumor Stage])</f>
        <v>3</v>
      </c>
    </row>
    <row r="491" spans="1:15" x14ac:dyDescent="0.45">
      <c r="A491" t="s">
        <v>524</v>
      </c>
      <c r="B491">
        <v>67.06</v>
      </c>
      <c r="C491" t="s">
        <v>16</v>
      </c>
      <c r="D491" t="s">
        <v>17</v>
      </c>
      <c r="E491" t="s">
        <v>18</v>
      </c>
      <c r="F491" t="s">
        <v>19</v>
      </c>
      <c r="G491" t="s">
        <v>20</v>
      </c>
      <c r="H491" t="s">
        <v>21</v>
      </c>
      <c r="I491" t="s">
        <v>21</v>
      </c>
      <c r="J491" t="s">
        <v>29</v>
      </c>
      <c r="K491">
        <v>8</v>
      </c>
      <c r="L491">
        <v>15.1666666666667</v>
      </c>
      <c r="M491" t="s">
        <v>30</v>
      </c>
      <c r="N491" t="str">
        <f>_xlfn.XLOOKUP(A491,[1]!brca_metabric_clinical_data__2[Patient ID], [1]!brca_metabric_clinical_data__2[Tumor Size])</f>
        <v>33</v>
      </c>
      <c r="O491" t="str">
        <f>_xlfn.XLOOKUP(A491,[1]!brca_metabric_clinical_data__2[Sample ID],[1]!brca_metabric_clinical_data__2[Tumor Stage])</f>
        <v>2</v>
      </c>
    </row>
    <row r="492" spans="1:15" x14ac:dyDescent="0.45">
      <c r="A492" t="s">
        <v>525</v>
      </c>
      <c r="B492">
        <v>60.62</v>
      </c>
      <c r="C492" t="s">
        <v>16</v>
      </c>
      <c r="D492" t="s">
        <v>17</v>
      </c>
      <c r="E492" t="s">
        <v>18</v>
      </c>
      <c r="F492" t="s">
        <v>19</v>
      </c>
      <c r="G492" t="s">
        <v>20</v>
      </c>
      <c r="H492" t="s">
        <v>21</v>
      </c>
      <c r="I492" t="s">
        <v>21</v>
      </c>
      <c r="J492" t="s">
        <v>27</v>
      </c>
      <c r="K492">
        <v>7</v>
      </c>
      <c r="L492">
        <v>61.433333333333302</v>
      </c>
      <c r="M492" t="s">
        <v>24</v>
      </c>
      <c r="N492" t="str">
        <f>_xlfn.XLOOKUP(A492,[1]!brca_metabric_clinical_data__2[Patient ID], [1]!brca_metabric_clinical_data__2[Tumor Size])</f>
        <v>8</v>
      </c>
      <c r="O492" t="str">
        <f>_xlfn.XLOOKUP(A492,[1]!brca_metabric_clinical_data__2[Sample ID],[1]!brca_metabric_clinical_data__2[Tumor Stage])</f>
        <v>2</v>
      </c>
    </row>
    <row r="493" spans="1:15" x14ac:dyDescent="0.45">
      <c r="A493" t="s">
        <v>526</v>
      </c>
      <c r="B493">
        <v>79.48</v>
      </c>
      <c r="C493" t="s">
        <v>16</v>
      </c>
      <c r="D493" t="s">
        <v>17</v>
      </c>
      <c r="E493" t="s">
        <v>18</v>
      </c>
      <c r="F493" t="s">
        <v>19</v>
      </c>
      <c r="G493" t="s">
        <v>20</v>
      </c>
      <c r="H493" t="s">
        <v>21</v>
      </c>
      <c r="I493" t="s">
        <v>21</v>
      </c>
      <c r="J493" t="s">
        <v>27</v>
      </c>
      <c r="K493">
        <v>2</v>
      </c>
      <c r="L493">
        <v>25.533333333333299</v>
      </c>
      <c r="M493" t="s">
        <v>24</v>
      </c>
      <c r="N493" t="str">
        <f>_xlfn.XLOOKUP(A493,[1]!brca_metabric_clinical_data__2[Patient ID], [1]!brca_metabric_clinical_data__2[Tumor Size])</f>
        <v>21</v>
      </c>
      <c r="O493" t="str">
        <f>_xlfn.XLOOKUP(A493,[1]!brca_metabric_clinical_data__2[Sample ID],[1]!brca_metabric_clinical_data__2[Tumor Stage])</f>
        <v>2</v>
      </c>
    </row>
    <row r="494" spans="1:15" x14ac:dyDescent="0.45">
      <c r="A494" t="s">
        <v>527</v>
      </c>
      <c r="B494">
        <v>85.12</v>
      </c>
      <c r="C494" t="s">
        <v>16</v>
      </c>
      <c r="D494" t="s">
        <v>17</v>
      </c>
      <c r="E494" t="s">
        <v>18</v>
      </c>
      <c r="F494" t="s">
        <v>43</v>
      </c>
      <c r="G494" t="s">
        <v>20</v>
      </c>
      <c r="H494" t="s">
        <v>21</v>
      </c>
      <c r="I494" t="s">
        <v>20</v>
      </c>
      <c r="J494" t="s">
        <v>45</v>
      </c>
      <c r="K494">
        <v>5</v>
      </c>
      <c r="L494">
        <v>96.633333333333297</v>
      </c>
      <c r="M494" t="s">
        <v>30</v>
      </c>
      <c r="N494" t="str">
        <f>_xlfn.XLOOKUP(A494,[1]!brca_metabric_clinical_data__2[Patient ID], [1]!brca_metabric_clinical_data__2[Tumor Size])</f>
        <v>21</v>
      </c>
      <c r="O494" t="str">
        <f>_xlfn.XLOOKUP(A494,[1]!brca_metabric_clinical_data__2[Sample ID],[1]!brca_metabric_clinical_data__2[Tumor Stage])</f>
        <v>2</v>
      </c>
    </row>
    <row r="495" spans="1:15" x14ac:dyDescent="0.45">
      <c r="A495" t="s">
        <v>528</v>
      </c>
      <c r="B495">
        <v>69.95</v>
      </c>
      <c r="C495" t="s">
        <v>16</v>
      </c>
      <c r="D495" t="s">
        <v>17</v>
      </c>
      <c r="E495" t="s">
        <v>18</v>
      </c>
      <c r="F495" t="s">
        <v>19</v>
      </c>
      <c r="G495" t="s">
        <v>20</v>
      </c>
      <c r="H495" t="s">
        <v>21</v>
      </c>
      <c r="I495" t="s">
        <v>21</v>
      </c>
      <c r="J495" t="s">
        <v>45</v>
      </c>
      <c r="K495">
        <v>9</v>
      </c>
      <c r="L495">
        <v>24.8</v>
      </c>
      <c r="M495" t="s">
        <v>30</v>
      </c>
      <c r="N495" t="str">
        <f>_xlfn.XLOOKUP(A495,[1]!brca_metabric_clinical_data__2[Patient ID], [1]!brca_metabric_clinical_data__2[Tumor Size])</f>
        <v>28</v>
      </c>
      <c r="O495" t="str">
        <f>_xlfn.XLOOKUP(A495,[1]!brca_metabric_clinical_data__2[Sample ID],[1]!brca_metabric_clinical_data__2[Tumor Stage])</f>
        <v>2</v>
      </c>
    </row>
    <row r="496" spans="1:15" x14ac:dyDescent="0.45">
      <c r="A496" t="s">
        <v>529</v>
      </c>
      <c r="B496">
        <v>82.5</v>
      </c>
      <c r="C496" t="s">
        <v>16</v>
      </c>
      <c r="D496" t="s">
        <v>17</v>
      </c>
      <c r="E496" t="s">
        <v>18</v>
      </c>
      <c r="F496" t="s">
        <v>19</v>
      </c>
      <c r="G496" t="s">
        <v>20</v>
      </c>
      <c r="H496" t="s">
        <v>21</v>
      </c>
      <c r="I496" t="s">
        <v>21</v>
      </c>
      <c r="J496" t="s">
        <v>27</v>
      </c>
      <c r="K496">
        <v>8</v>
      </c>
      <c r="L496">
        <v>69.400000000000006</v>
      </c>
      <c r="M496" t="s">
        <v>24</v>
      </c>
      <c r="N496" t="str">
        <f>_xlfn.XLOOKUP(A496,[1]!brca_metabric_clinical_data__2[Patient ID], [1]!brca_metabric_clinical_data__2[Tumor Size])</f>
        <v>24</v>
      </c>
      <c r="O496" t="str">
        <f>_xlfn.XLOOKUP(A496,[1]!brca_metabric_clinical_data__2[Sample ID],[1]!brca_metabric_clinical_data__2[Tumor Stage])</f>
        <v>2</v>
      </c>
    </row>
    <row r="497" spans="1:15" x14ac:dyDescent="0.45">
      <c r="A497" t="s">
        <v>530</v>
      </c>
      <c r="B497">
        <v>69.73</v>
      </c>
      <c r="C497" t="s">
        <v>16</v>
      </c>
      <c r="D497" t="s">
        <v>17</v>
      </c>
      <c r="E497" t="s">
        <v>18</v>
      </c>
      <c r="F497" t="s">
        <v>19</v>
      </c>
      <c r="G497" t="s">
        <v>20</v>
      </c>
      <c r="H497" t="s">
        <v>20</v>
      </c>
      <c r="I497" t="s">
        <v>20</v>
      </c>
      <c r="J497" t="s">
        <v>38</v>
      </c>
      <c r="K497" t="s">
        <v>23</v>
      </c>
      <c r="L497">
        <v>111.066666666667</v>
      </c>
      <c r="M497" t="s">
        <v>24</v>
      </c>
      <c r="N497" t="str">
        <f>_xlfn.XLOOKUP(A497,[1]!brca_metabric_clinical_data__2[Patient ID], [1]!brca_metabric_clinical_data__2[Tumor Size])</f>
        <v>60</v>
      </c>
      <c r="O497" t="str">
        <f>_xlfn.XLOOKUP(A497,[1]!brca_metabric_clinical_data__2[Sample ID],[1]!brca_metabric_clinical_data__2[Tumor Stage])</f>
        <v>1</v>
      </c>
    </row>
    <row r="498" spans="1:15" x14ac:dyDescent="0.45">
      <c r="A498" t="s">
        <v>531</v>
      </c>
      <c r="B498">
        <v>35.9</v>
      </c>
      <c r="C498" t="s">
        <v>16</v>
      </c>
      <c r="D498" t="s">
        <v>26</v>
      </c>
      <c r="E498" t="s">
        <v>37</v>
      </c>
      <c r="F498" t="s">
        <v>43</v>
      </c>
      <c r="G498" t="s">
        <v>21</v>
      </c>
      <c r="H498" t="s">
        <v>20</v>
      </c>
      <c r="I498" t="s">
        <v>21</v>
      </c>
      <c r="J498" t="s">
        <v>22</v>
      </c>
      <c r="K498">
        <v>5</v>
      </c>
      <c r="L498">
        <v>19.033333333333299</v>
      </c>
      <c r="M498" t="s">
        <v>30</v>
      </c>
      <c r="N498" t="str">
        <f>_xlfn.XLOOKUP(A498,[1]!brca_metabric_clinical_data__2[Patient ID], [1]!brca_metabric_clinical_data__2[Tumor Size])</f>
        <v>100</v>
      </c>
      <c r="O498" t="str">
        <f>_xlfn.XLOOKUP(A498,[1]!brca_metabric_clinical_data__2[Sample ID],[1]!brca_metabric_clinical_data__2[Tumor Stage])</f>
        <v>3</v>
      </c>
    </row>
    <row r="499" spans="1:15" x14ac:dyDescent="0.45">
      <c r="A499" t="s">
        <v>532</v>
      </c>
      <c r="B499">
        <v>58.65</v>
      </c>
      <c r="C499" t="s">
        <v>16</v>
      </c>
      <c r="D499" t="s">
        <v>17</v>
      </c>
      <c r="E499" t="s">
        <v>18</v>
      </c>
      <c r="F499" t="s">
        <v>19</v>
      </c>
      <c r="G499" t="s">
        <v>20</v>
      </c>
      <c r="H499" t="s">
        <v>21</v>
      </c>
      <c r="I499" t="s">
        <v>21</v>
      </c>
      <c r="J499" t="s">
        <v>22</v>
      </c>
      <c r="K499" t="s">
        <v>23</v>
      </c>
      <c r="L499">
        <v>30.433333333333302</v>
      </c>
      <c r="M499" t="s">
        <v>24</v>
      </c>
      <c r="N499" t="str">
        <f>_xlfn.XLOOKUP(A499,[1]!brca_metabric_clinical_data__2[Patient ID], [1]!brca_metabric_clinical_data__2[Tumor Size])</f>
        <v>100</v>
      </c>
      <c r="O499" t="str">
        <f>_xlfn.XLOOKUP(A499,[1]!brca_metabric_clinical_data__2[Sample ID],[1]!brca_metabric_clinical_data__2[Tumor Stage])</f>
        <v>2</v>
      </c>
    </row>
    <row r="500" spans="1:15" x14ac:dyDescent="0.45">
      <c r="A500" t="s">
        <v>533</v>
      </c>
      <c r="B500">
        <v>60.89</v>
      </c>
      <c r="C500" t="s">
        <v>16</v>
      </c>
      <c r="D500" t="s">
        <v>17</v>
      </c>
      <c r="E500" t="s">
        <v>37</v>
      </c>
      <c r="F500" t="s">
        <v>35</v>
      </c>
      <c r="G500" t="s">
        <v>21</v>
      </c>
      <c r="H500" t="s">
        <v>21</v>
      </c>
      <c r="I500" t="s">
        <v>21</v>
      </c>
      <c r="J500" t="s">
        <v>22</v>
      </c>
      <c r="K500">
        <v>10</v>
      </c>
      <c r="L500">
        <v>97.266666666666694</v>
      </c>
      <c r="M500" t="s">
        <v>24</v>
      </c>
      <c r="N500" t="str">
        <f>_xlfn.XLOOKUP(A500,[1]!brca_metabric_clinical_data__2[Patient ID], [1]!brca_metabric_clinical_data__2[Tumor Size])</f>
        <v>25</v>
      </c>
      <c r="O500" t="str">
        <f>_xlfn.XLOOKUP(A500,[1]!brca_metabric_clinical_data__2[Sample ID],[1]!brca_metabric_clinical_data__2[Tumor Stage])</f>
        <v>2</v>
      </c>
    </row>
    <row r="501" spans="1:15" x14ac:dyDescent="0.45">
      <c r="A501" t="s">
        <v>534</v>
      </c>
      <c r="B501">
        <v>82.87</v>
      </c>
      <c r="C501" t="s">
        <v>16</v>
      </c>
      <c r="D501" t="s">
        <v>17</v>
      </c>
      <c r="E501" t="s">
        <v>37</v>
      </c>
      <c r="F501" t="s">
        <v>19</v>
      </c>
      <c r="G501" t="s">
        <v>20</v>
      </c>
      <c r="H501" t="s">
        <v>20</v>
      </c>
      <c r="I501" t="s">
        <v>21</v>
      </c>
      <c r="J501" t="s">
        <v>38</v>
      </c>
      <c r="K501" t="s">
        <v>39</v>
      </c>
      <c r="L501">
        <v>23.3333333333333</v>
      </c>
      <c r="M501" t="s">
        <v>30</v>
      </c>
      <c r="N501" t="str">
        <f>_xlfn.XLOOKUP(A501,[1]!brca_metabric_clinical_data__2[Patient ID], [1]!brca_metabric_clinical_data__2[Tumor Size])</f>
        <v>45</v>
      </c>
      <c r="O501" t="str">
        <f>_xlfn.XLOOKUP(A501,[1]!brca_metabric_clinical_data__2[Sample ID],[1]!brca_metabric_clinical_data__2[Tumor Stage])</f>
        <v>NA</v>
      </c>
    </row>
    <row r="502" spans="1:15" x14ac:dyDescent="0.45">
      <c r="A502" t="s">
        <v>535</v>
      </c>
      <c r="B502">
        <v>52.43</v>
      </c>
      <c r="C502" t="s">
        <v>16</v>
      </c>
      <c r="D502" t="s">
        <v>17</v>
      </c>
      <c r="E502" t="s">
        <v>18</v>
      </c>
      <c r="F502" t="s">
        <v>43</v>
      </c>
      <c r="G502" t="s">
        <v>21</v>
      </c>
      <c r="H502" t="s">
        <v>21</v>
      </c>
      <c r="I502" t="s">
        <v>21</v>
      </c>
      <c r="J502" t="s">
        <v>45</v>
      </c>
      <c r="K502">
        <v>10</v>
      </c>
      <c r="L502">
        <v>18.933333333333302</v>
      </c>
      <c r="M502" t="s">
        <v>30</v>
      </c>
      <c r="N502" t="str">
        <f>_xlfn.XLOOKUP(A502,[1]!brca_metabric_clinical_data__2[Patient ID], [1]!brca_metabric_clinical_data__2[Tumor Size])</f>
        <v>160</v>
      </c>
      <c r="O502" t="str">
        <f>_xlfn.XLOOKUP(A502,[1]!brca_metabric_clinical_data__2[Sample ID],[1]!brca_metabric_clinical_data__2[Tumor Stage])</f>
        <v>1</v>
      </c>
    </row>
    <row r="503" spans="1:15" x14ac:dyDescent="0.45">
      <c r="A503" t="s">
        <v>536</v>
      </c>
      <c r="B503">
        <v>78.78</v>
      </c>
      <c r="C503" t="s">
        <v>16</v>
      </c>
      <c r="D503" t="s">
        <v>17</v>
      </c>
      <c r="E503" t="s">
        <v>18</v>
      </c>
      <c r="F503" t="s">
        <v>43</v>
      </c>
      <c r="G503" t="s">
        <v>20</v>
      </c>
      <c r="H503" t="s">
        <v>21</v>
      </c>
      <c r="I503" t="s">
        <v>20</v>
      </c>
      <c r="J503" t="s">
        <v>27</v>
      </c>
      <c r="K503">
        <v>7</v>
      </c>
      <c r="L503">
        <v>20</v>
      </c>
      <c r="M503" t="s">
        <v>30</v>
      </c>
      <c r="N503" t="str">
        <f>_xlfn.XLOOKUP(A503,[1]!brca_metabric_clinical_data__2[Patient ID], [1]!brca_metabric_clinical_data__2[Tumor Size])</f>
        <v>8</v>
      </c>
      <c r="O503" t="str">
        <f>_xlfn.XLOOKUP(A503,[1]!brca_metabric_clinical_data__2[Sample ID],[1]!brca_metabric_clinical_data__2[Tumor Stage])</f>
        <v>1</v>
      </c>
    </row>
    <row r="504" spans="1:15" x14ac:dyDescent="0.45">
      <c r="A504" t="s">
        <v>537</v>
      </c>
      <c r="B504">
        <v>50.94</v>
      </c>
      <c r="C504" t="s">
        <v>16</v>
      </c>
      <c r="D504" t="s">
        <v>17</v>
      </c>
      <c r="E504" t="s">
        <v>18</v>
      </c>
      <c r="F504" t="s">
        <v>43</v>
      </c>
      <c r="G504" t="s">
        <v>20</v>
      </c>
      <c r="H504" t="s">
        <v>21</v>
      </c>
      <c r="I504" t="s">
        <v>21</v>
      </c>
      <c r="J504" t="s">
        <v>38</v>
      </c>
      <c r="K504">
        <v>5</v>
      </c>
      <c r="L504">
        <v>69.8</v>
      </c>
      <c r="M504" t="s">
        <v>30</v>
      </c>
      <c r="N504" t="str">
        <f>_xlfn.XLOOKUP(A504,[1]!brca_metabric_clinical_data__2[Patient ID], [1]!brca_metabric_clinical_data__2[Tumor Size])</f>
        <v>14</v>
      </c>
      <c r="O504" t="str">
        <f>_xlfn.XLOOKUP(A504,[1]!brca_metabric_clinical_data__2[Sample ID],[1]!brca_metabric_clinical_data__2[Tumor Stage])</f>
        <v>1</v>
      </c>
    </row>
    <row r="505" spans="1:15" x14ac:dyDescent="0.45">
      <c r="A505" t="s">
        <v>538</v>
      </c>
      <c r="B505">
        <v>57.76</v>
      </c>
      <c r="C505" t="s">
        <v>16</v>
      </c>
      <c r="D505" t="s">
        <v>17</v>
      </c>
      <c r="E505" t="s">
        <v>37</v>
      </c>
      <c r="F505" t="s">
        <v>43</v>
      </c>
      <c r="G505" t="s">
        <v>21</v>
      </c>
      <c r="H505" t="s">
        <v>20</v>
      </c>
      <c r="I505" t="s">
        <v>20</v>
      </c>
      <c r="J505" t="s">
        <v>45</v>
      </c>
      <c r="K505">
        <v>5</v>
      </c>
      <c r="L505">
        <v>55.366666666666703</v>
      </c>
      <c r="M505" t="s">
        <v>24</v>
      </c>
      <c r="N505" t="str">
        <f>_xlfn.XLOOKUP(A505,[1]!brca_metabric_clinical_data__2[Patient ID], [1]!brca_metabric_clinical_data__2[Tumor Size])</f>
        <v>16</v>
      </c>
      <c r="O505" t="str">
        <f>_xlfn.XLOOKUP(A505,[1]!brca_metabric_clinical_data__2[Sample ID],[1]!brca_metabric_clinical_data__2[Tumor Stage])</f>
        <v>1</v>
      </c>
    </row>
    <row r="506" spans="1:15" x14ac:dyDescent="0.45">
      <c r="A506" t="s">
        <v>539</v>
      </c>
      <c r="B506">
        <v>78.27</v>
      </c>
      <c r="C506" t="s">
        <v>16</v>
      </c>
      <c r="D506" t="s">
        <v>17</v>
      </c>
      <c r="E506" t="s">
        <v>37</v>
      </c>
      <c r="F506" t="s">
        <v>19</v>
      </c>
      <c r="G506" t="s">
        <v>21</v>
      </c>
      <c r="H506" t="s">
        <v>20</v>
      </c>
      <c r="I506" t="s">
        <v>21</v>
      </c>
      <c r="J506" t="s">
        <v>58</v>
      </c>
      <c r="K506">
        <v>10</v>
      </c>
      <c r="L506">
        <v>11.0666666666667</v>
      </c>
      <c r="M506" t="s">
        <v>30</v>
      </c>
      <c r="N506" t="str">
        <f>_xlfn.XLOOKUP(A506,[1]!brca_metabric_clinical_data__2[Patient ID], [1]!brca_metabric_clinical_data__2[Tumor Size])</f>
        <v>84</v>
      </c>
      <c r="O506" t="str">
        <f>_xlfn.XLOOKUP(A506,[1]!brca_metabric_clinical_data__2[Sample ID],[1]!brca_metabric_clinical_data__2[Tumor Stage])</f>
        <v>3</v>
      </c>
    </row>
    <row r="507" spans="1:15" x14ac:dyDescent="0.45">
      <c r="A507" t="s">
        <v>540</v>
      </c>
      <c r="B507">
        <v>61.31</v>
      </c>
      <c r="C507" t="s">
        <v>16</v>
      </c>
      <c r="D507" t="s">
        <v>17</v>
      </c>
      <c r="E507" t="s">
        <v>18</v>
      </c>
      <c r="F507" t="s">
        <v>19</v>
      </c>
      <c r="G507" t="s">
        <v>21</v>
      </c>
      <c r="H507" t="s">
        <v>21</v>
      </c>
      <c r="I507" t="s">
        <v>21</v>
      </c>
      <c r="J507" t="s">
        <v>27</v>
      </c>
      <c r="K507">
        <v>9</v>
      </c>
      <c r="L507">
        <v>24.3333333333333</v>
      </c>
      <c r="M507" t="s">
        <v>30</v>
      </c>
      <c r="N507" t="str">
        <f>_xlfn.XLOOKUP(A507,[1]!brca_metabric_clinical_data__2[Patient ID], [1]!brca_metabric_clinical_data__2[Tumor Size])</f>
        <v>25</v>
      </c>
      <c r="O507" t="str">
        <f>_xlfn.XLOOKUP(A507,[1]!brca_metabric_clinical_data__2[Sample ID],[1]!brca_metabric_clinical_data__2[Tumor Stage])</f>
        <v>2</v>
      </c>
    </row>
    <row r="508" spans="1:15" x14ac:dyDescent="0.45">
      <c r="A508" t="s">
        <v>541</v>
      </c>
      <c r="B508">
        <v>76.239999999999995</v>
      </c>
      <c r="C508" t="s">
        <v>16</v>
      </c>
      <c r="D508" t="s">
        <v>17</v>
      </c>
      <c r="E508" t="s">
        <v>18</v>
      </c>
      <c r="F508" t="s">
        <v>43</v>
      </c>
      <c r="G508" t="s">
        <v>20</v>
      </c>
      <c r="H508" t="s">
        <v>21</v>
      </c>
      <c r="I508" t="s">
        <v>21</v>
      </c>
      <c r="J508" t="s">
        <v>29</v>
      </c>
      <c r="K508">
        <v>1</v>
      </c>
      <c r="L508">
        <v>128</v>
      </c>
      <c r="M508" t="s">
        <v>30</v>
      </c>
      <c r="N508" t="str">
        <f>_xlfn.XLOOKUP(A508,[1]!brca_metabric_clinical_data__2[Patient ID], [1]!brca_metabric_clinical_data__2[Tumor Size])</f>
        <v>34</v>
      </c>
      <c r="O508" t="str">
        <f>_xlfn.XLOOKUP(A508,[1]!brca_metabric_clinical_data__2[Sample ID],[1]!brca_metabric_clinical_data__2[Tumor Stage])</f>
        <v>2</v>
      </c>
    </row>
    <row r="509" spans="1:15" x14ac:dyDescent="0.45">
      <c r="A509" t="s">
        <v>542</v>
      </c>
      <c r="B509">
        <v>58.83</v>
      </c>
      <c r="C509" t="s">
        <v>16</v>
      </c>
      <c r="D509" t="s">
        <v>17</v>
      </c>
      <c r="E509" t="s">
        <v>37</v>
      </c>
      <c r="F509" t="s">
        <v>19</v>
      </c>
      <c r="G509" t="s">
        <v>21</v>
      </c>
      <c r="H509" t="s">
        <v>21</v>
      </c>
      <c r="I509" t="s">
        <v>21</v>
      </c>
      <c r="J509" t="s">
        <v>58</v>
      </c>
      <c r="K509">
        <v>10</v>
      </c>
      <c r="L509">
        <v>112.4</v>
      </c>
      <c r="M509" t="s">
        <v>30</v>
      </c>
      <c r="N509" t="str">
        <f>_xlfn.XLOOKUP(A509,[1]!brca_metabric_clinical_data__2[Patient ID], [1]!brca_metabric_clinical_data__2[Tumor Size])</f>
        <v>29</v>
      </c>
      <c r="O509" t="str">
        <f>_xlfn.XLOOKUP(A509,[1]!brca_metabric_clinical_data__2[Sample ID],[1]!brca_metabric_clinical_data__2[Tumor Stage])</f>
        <v>2</v>
      </c>
    </row>
    <row r="510" spans="1:15" x14ac:dyDescent="0.45">
      <c r="A510" t="s">
        <v>543</v>
      </c>
      <c r="B510">
        <v>82.34</v>
      </c>
      <c r="C510" t="s">
        <v>16</v>
      </c>
      <c r="D510" t="s">
        <v>17</v>
      </c>
      <c r="E510" t="s">
        <v>18</v>
      </c>
      <c r="F510" t="s">
        <v>19</v>
      </c>
      <c r="G510" t="s">
        <v>20</v>
      </c>
      <c r="H510" t="s">
        <v>21</v>
      </c>
      <c r="I510" t="s">
        <v>21</v>
      </c>
      <c r="J510" t="s">
        <v>38</v>
      </c>
      <c r="K510">
        <v>7</v>
      </c>
      <c r="L510">
        <v>152.066666666667</v>
      </c>
      <c r="M510" t="s">
        <v>30</v>
      </c>
      <c r="N510" t="str">
        <f>_xlfn.XLOOKUP(A510,[1]!brca_metabric_clinical_data__2[Patient ID], [1]!brca_metabric_clinical_data__2[Tumor Size])</f>
        <v>14</v>
      </c>
      <c r="O510" t="str">
        <f>_xlfn.XLOOKUP(A510,[1]!brca_metabric_clinical_data__2[Sample ID],[1]!brca_metabric_clinical_data__2[Tumor Stage])</f>
        <v>2</v>
      </c>
    </row>
    <row r="511" spans="1:15" x14ac:dyDescent="0.45">
      <c r="A511" t="s">
        <v>544</v>
      </c>
      <c r="B511">
        <v>59.22</v>
      </c>
      <c r="C511" t="s">
        <v>16</v>
      </c>
      <c r="D511" t="s">
        <v>17</v>
      </c>
      <c r="E511" t="s">
        <v>37</v>
      </c>
      <c r="F511" t="s">
        <v>19</v>
      </c>
      <c r="G511" t="s">
        <v>21</v>
      </c>
      <c r="H511" t="s">
        <v>20</v>
      </c>
      <c r="I511" t="s">
        <v>21</v>
      </c>
      <c r="J511" t="s">
        <v>58</v>
      </c>
      <c r="K511">
        <v>10</v>
      </c>
      <c r="L511">
        <v>16.600000000000001</v>
      </c>
      <c r="M511" t="s">
        <v>30</v>
      </c>
      <c r="N511" t="str">
        <f>_xlfn.XLOOKUP(A511,[1]!brca_metabric_clinical_data__2[Patient ID], [1]!brca_metabric_clinical_data__2[Tumor Size])</f>
        <v>39</v>
      </c>
      <c r="O511" t="str">
        <f>_xlfn.XLOOKUP(A511,[1]!brca_metabric_clinical_data__2[Sample ID],[1]!brca_metabric_clinical_data__2[Tumor Stage])</f>
        <v>2</v>
      </c>
    </row>
    <row r="512" spans="1:15" x14ac:dyDescent="0.45">
      <c r="A512" t="s">
        <v>545</v>
      </c>
      <c r="B512">
        <v>54.85</v>
      </c>
      <c r="C512" t="s">
        <v>16</v>
      </c>
      <c r="D512" t="s">
        <v>17</v>
      </c>
      <c r="F512" t="s">
        <v>19</v>
      </c>
      <c r="G512" t="s">
        <v>20</v>
      </c>
      <c r="H512" t="s">
        <v>20</v>
      </c>
      <c r="I512" t="s">
        <v>20</v>
      </c>
      <c r="J512" t="s">
        <v>22</v>
      </c>
      <c r="K512" t="s">
        <v>39</v>
      </c>
      <c r="L512">
        <v>176.433333333333</v>
      </c>
      <c r="M512" t="s">
        <v>24</v>
      </c>
      <c r="N512" t="str">
        <f>_xlfn.XLOOKUP(A512,[1]!brca_metabric_clinical_data__2[Patient ID], [1]!brca_metabric_clinical_data__2[Tumor Size])</f>
        <v>NA</v>
      </c>
      <c r="O512" t="str">
        <f>_xlfn.XLOOKUP(A512,[1]!brca_metabric_clinical_data__2[Sample ID],[1]!brca_metabric_clinical_data__2[Tumor Stage])</f>
        <v>0</v>
      </c>
    </row>
    <row r="513" spans="1:15" x14ac:dyDescent="0.45">
      <c r="A513" t="s">
        <v>546</v>
      </c>
      <c r="B513">
        <v>79.41</v>
      </c>
      <c r="C513" t="s">
        <v>16</v>
      </c>
      <c r="D513" t="s">
        <v>17</v>
      </c>
      <c r="E513" t="s">
        <v>18</v>
      </c>
      <c r="F513" t="s">
        <v>19</v>
      </c>
      <c r="G513" t="s">
        <v>20</v>
      </c>
      <c r="H513" t="s">
        <v>20</v>
      </c>
      <c r="I513" t="s">
        <v>20</v>
      </c>
      <c r="J513" t="s">
        <v>29</v>
      </c>
      <c r="K513">
        <v>6</v>
      </c>
      <c r="L513">
        <v>14.4333333333333</v>
      </c>
      <c r="M513" t="s">
        <v>30</v>
      </c>
      <c r="N513" t="str">
        <f>_xlfn.XLOOKUP(A513,[1]!brca_metabric_clinical_data__2[Patient ID], [1]!brca_metabric_clinical_data__2[Tumor Size])</f>
        <v>35</v>
      </c>
      <c r="O513" t="str">
        <f>_xlfn.XLOOKUP(A513,[1]!brca_metabric_clinical_data__2[Sample ID],[1]!brca_metabric_clinical_data__2[Tumor Stage])</f>
        <v>2</v>
      </c>
    </row>
    <row r="514" spans="1:15" x14ac:dyDescent="0.45">
      <c r="A514" t="s">
        <v>547</v>
      </c>
      <c r="B514">
        <v>73.64</v>
      </c>
      <c r="C514" t="s">
        <v>16</v>
      </c>
      <c r="D514" t="s">
        <v>17</v>
      </c>
      <c r="E514" t="s">
        <v>18</v>
      </c>
      <c r="F514" t="s">
        <v>19</v>
      </c>
      <c r="G514" t="s">
        <v>20</v>
      </c>
      <c r="H514" t="s">
        <v>20</v>
      </c>
      <c r="I514" t="s">
        <v>20</v>
      </c>
      <c r="J514" t="s">
        <v>27</v>
      </c>
      <c r="K514">
        <v>7</v>
      </c>
      <c r="L514">
        <v>1.2333333333333301</v>
      </c>
      <c r="M514" t="s">
        <v>24</v>
      </c>
      <c r="N514" t="str">
        <f>_xlfn.XLOOKUP(A514,[1]!brca_metabric_clinical_data__2[Patient ID], [1]!brca_metabric_clinical_data__2[Tumor Size])</f>
        <v>30</v>
      </c>
      <c r="O514" t="str">
        <f>_xlfn.XLOOKUP(A514,[1]!brca_metabric_clinical_data__2[Sample ID],[1]!brca_metabric_clinical_data__2[Tumor Stage])</f>
        <v>2</v>
      </c>
    </row>
    <row r="515" spans="1:15" x14ac:dyDescent="0.45">
      <c r="A515" t="s">
        <v>548</v>
      </c>
      <c r="B515">
        <v>73.39</v>
      </c>
      <c r="C515" t="s">
        <v>16</v>
      </c>
      <c r="D515" t="s">
        <v>17</v>
      </c>
      <c r="E515" t="s">
        <v>18</v>
      </c>
      <c r="F515" t="s">
        <v>19</v>
      </c>
      <c r="G515" t="s">
        <v>20</v>
      </c>
      <c r="H515" t="s">
        <v>21</v>
      </c>
      <c r="I515" t="s">
        <v>20</v>
      </c>
      <c r="J515" t="s">
        <v>29</v>
      </c>
      <c r="K515">
        <v>7</v>
      </c>
      <c r="L515">
        <v>42.366666666666703</v>
      </c>
      <c r="M515" t="s">
        <v>30</v>
      </c>
      <c r="N515" t="str">
        <f>_xlfn.XLOOKUP(A515,[1]!brca_metabric_clinical_data__2[Patient ID], [1]!brca_metabric_clinical_data__2[Tumor Size])</f>
        <v>47</v>
      </c>
      <c r="O515" t="str">
        <f>_xlfn.XLOOKUP(A515,[1]!brca_metabric_clinical_data__2[Sample ID],[1]!brca_metabric_clinical_data__2[Tumor Stage])</f>
        <v>2</v>
      </c>
    </row>
    <row r="516" spans="1:15" x14ac:dyDescent="0.45">
      <c r="A516" t="s">
        <v>549</v>
      </c>
      <c r="B516">
        <v>56.47</v>
      </c>
      <c r="C516" t="s">
        <v>16</v>
      </c>
      <c r="D516" t="s">
        <v>17</v>
      </c>
      <c r="E516" t="s">
        <v>18</v>
      </c>
      <c r="F516" t="s">
        <v>19</v>
      </c>
      <c r="G516" t="s">
        <v>21</v>
      </c>
      <c r="H516" t="s">
        <v>21</v>
      </c>
      <c r="I516" t="s">
        <v>21</v>
      </c>
      <c r="J516" t="s">
        <v>29</v>
      </c>
      <c r="K516">
        <v>9</v>
      </c>
      <c r="L516">
        <v>93.6666666666667</v>
      </c>
      <c r="M516" t="s">
        <v>30</v>
      </c>
      <c r="N516" t="str">
        <f>_xlfn.XLOOKUP(A516,[1]!brca_metabric_clinical_data__2[Patient ID], [1]!brca_metabric_clinical_data__2[Tumor Size])</f>
        <v>23</v>
      </c>
      <c r="O516" t="str">
        <f>_xlfn.XLOOKUP(A516,[1]!brca_metabric_clinical_data__2[Sample ID],[1]!brca_metabric_clinical_data__2[Tumor Stage])</f>
        <v>2</v>
      </c>
    </row>
    <row r="517" spans="1:15" x14ac:dyDescent="0.45">
      <c r="A517" t="s">
        <v>550</v>
      </c>
      <c r="B517">
        <v>52.21</v>
      </c>
      <c r="C517" t="s">
        <v>16</v>
      </c>
      <c r="D517" t="s">
        <v>17</v>
      </c>
      <c r="F517" t="s">
        <v>19</v>
      </c>
      <c r="G517" t="s">
        <v>20</v>
      </c>
      <c r="H517" t="s">
        <v>21</v>
      </c>
      <c r="I517" t="s">
        <v>20</v>
      </c>
      <c r="J517" t="s">
        <v>22</v>
      </c>
      <c r="K517" t="s">
        <v>39</v>
      </c>
      <c r="L517">
        <v>69.933333333333294</v>
      </c>
      <c r="M517" t="s">
        <v>30</v>
      </c>
      <c r="N517" t="str">
        <f>_xlfn.XLOOKUP(A517,[1]!brca_metabric_clinical_data__2[Patient ID], [1]!brca_metabric_clinical_data__2[Tumor Size])</f>
        <v>NA</v>
      </c>
      <c r="O517" t="str">
        <f>_xlfn.XLOOKUP(A517,[1]!brca_metabric_clinical_data__2[Sample ID],[1]!brca_metabric_clinical_data__2[Tumor Stage])</f>
        <v>NA</v>
      </c>
    </row>
    <row r="518" spans="1:15" x14ac:dyDescent="0.45">
      <c r="A518" t="s">
        <v>551</v>
      </c>
      <c r="B518">
        <v>83.68</v>
      </c>
      <c r="C518" t="s">
        <v>16</v>
      </c>
      <c r="D518" t="s">
        <v>17</v>
      </c>
      <c r="E518" t="s">
        <v>18</v>
      </c>
      <c r="F518" t="s">
        <v>19</v>
      </c>
      <c r="G518" t="s">
        <v>20</v>
      </c>
      <c r="H518" t="s">
        <v>21</v>
      </c>
      <c r="I518" t="s">
        <v>20</v>
      </c>
      <c r="J518" t="s">
        <v>27</v>
      </c>
      <c r="K518">
        <v>3</v>
      </c>
      <c r="L518">
        <v>149.4</v>
      </c>
      <c r="M518" t="s">
        <v>24</v>
      </c>
      <c r="N518" t="str">
        <f>_xlfn.XLOOKUP(A518,[1]!brca_metabric_clinical_data__2[Patient ID], [1]!brca_metabric_clinical_data__2[Tumor Size])</f>
        <v>37</v>
      </c>
      <c r="O518" t="str">
        <f>_xlfn.XLOOKUP(A518,[1]!brca_metabric_clinical_data__2[Sample ID],[1]!brca_metabric_clinical_data__2[Tumor Stage])</f>
        <v>2</v>
      </c>
    </row>
    <row r="519" spans="1:15" x14ac:dyDescent="0.45">
      <c r="A519" t="s">
        <v>552</v>
      </c>
      <c r="B519">
        <v>57.41</v>
      </c>
      <c r="C519" t="s">
        <v>16</v>
      </c>
      <c r="D519" t="s">
        <v>17</v>
      </c>
      <c r="E519" t="s">
        <v>18</v>
      </c>
      <c r="F519" t="s">
        <v>19</v>
      </c>
      <c r="G519" t="s">
        <v>21</v>
      </c>
      <c r="H519" t="s">
        <v>21</v>
      </c>
      <c r="I519" t="s">
        <v>21</v>
      </c>
      <c r="J519" t="s">
        <v>22</v>
      </c>
      <c r="K519" t="s">
        <v>23</v>
      </c>
      <c r="L519">
        <v>175.63333333333301</v>
      </c>
      <c r="M519" t="s">
        <v>24</v>
      </c>
      <c r="N519" t="str">
        <f>_xlfn.XLOOKUP(A519,[1]!brca_metabric_clinical_data__2[Patient ID], [1]!brca_metabric_clinical_data__2[Tumor Size])</f>
        <v>28</v>
      </c>
      <c r="O519" t="str">
        <f>_xlfn.XLOOKUP(A519,[1]!brca_metabric_clinical_data__2[Sample ID],[1]!brca_metabric_clinical_data__2[Tumor Stage])</f>
        <v>2</v>
      </c>
    </row>
    <row r="520" spans="1:15" x14ac:dyDescent="0.45">
      <c r="A520" t="s">
        <v>553</v>
      </c>
      <c r="B520">
        <v>79.61</v>
      </c>
      <c r="C520" t="s">
        <v>16</v>
      </c>
      <c r="D520" t="s">
        <v>17</v>
      </c>
      <c r="E520" t="s">
        <v>18</v>
      </c>
      <c r="F520" t="s">
        <v>43</v>
      </c>
      <c r="G520" t="s">
        <v>20</v>
      </c>
      <c r="H520" t="s">
        <v>21</v>
      </c>
      <c r="I520" t="s">
        <v>21</v>
      </c>
      <c r="J520" t="s">
        <v>29</v>
      </c>
      <c r="K520">
        <v>5</v>
      </c>
      <c r="L520">
        <v>43.1</v>
      </c>
      <c r="M520" t="s">
        <v>30</v>
      </c>
      <c r="N520" t="str">
        <f>_xlfn.XLOOKUP(A520,[1]!brca_metabric_clinical_data__2[Patient ID], [1]!brca_metabric_clinical_data__2[Tumor Size])</f>
        <v>19</v>
      </c>
      <c r="O520" t="str">
        <f>_xlfn.XLOOKUP(A520,[1]!brca_metabric_clinical_data__2[Sample ID],[1]!brca_metabric_clinical_data__2[Tumor Stage])</f>
        <v>2</v>
      </c>
    </row>
    <row r="521" spans="1:15" x14ac:dyDescent="0.45">
      <c r="A521" t="s">
        <v>554</v>
      </c>
      <c r="B521">
        <v>41.32</v>
      </c>
      <c r="C521" t="s">
        <v>16</v>
      </c>
      <c r="D521" t="s">
        <v>26</v>
      </c>
      <c r="F521" t="s">
        <v>19</v>
      </c>
      <c r="G521" t="s">
        <v>20</v>
      </c>
      <c r="H521" t="s">
        <v>20</v>
      </c>
      <c r="I521" t="s">
        <v>20</v>
      </c>
      <c r="J521" t="s">
        <v>38</v>
      </c>
      <c r="K521" t="s">
        <v>23</v>
      </c>
      <c r="L521">
        <v>30.966666666666701</v>
      </c>
      <c r="M521" t="s">
        <v>30</v>
      </c>
      <c r="N521" t="str">
        <f>_xlfn.XLOOKUP(A521,[1]!brca_metabric_clinical_data__2[Patient ID], [1]!brca_metabric_clinical_data__2[Tumor Size])</f>
        <v>46</v>
      </c>
      <c r="O521" t="str">
        <f>_xlfn.XLOOKUP(A521,[1]!brca_metabric_clinical_data__2[Sample ID],[1]!brca_metabric_clinical_data__2[Tumor Stage])</f>
        <v>2</v>
      </c>
    </row>
    <row r="522" spans="1:15" x14ac:dyDescent="0.45">
      <c r="A522" t="s">
        <v>555</v>
      </c>
      <c r="B522">
        <v>50.62</v>
      </c>
      <c r="C522" t="s">
        <v>16</v>
      </c>
      <c r="D522" t="s">
        <v>17</v>
      </c>
      <c r="E522" t="s">
        <v>18</v>
      </c>
      <c r="F522" t="s">
        <v>19</v>
      </c>
      <c r="G522" t="s">
        <v>21</v>
      </c>
      <c r="H522" t="s">
        <v>21</v>
      </c>
      <c r="I522" t="s">
        <v>20</v>
      </c>
      <c r="J522" t="s">
        <v>27</v>
      </c>
      <c r="K522">
        <v>8</v>
      </c>
      <c r="L522">
        <v>175.8</v>
      </c>
      <c r="M522" t="s">
        <v>24</v>
      </c>
      <c r="N522" t="str">
        <f>_xlfn.XLOOKUP(A522,[1]!brca_metabric_clinical_data__2[Patient ID], [1]!brca_metabric_clinical_data__2[Tumor Size])</f>
        <v>25</v>
      </c>
      <c r="O522" t="str">
        <f>_xlfn.XLOOKUP(A522,[1]!brca_metabric_clinical_data__2[Sample ID],[1]!brca_metabric_clinical_data__2[Tumor Stage])</f>
        <v>2</v>
      </c>
    </row>
    <row r="523" spans="1:15" x14ac:dyDescent="0.45">
      <c r="A523" t="s">
        <v>556</v>
      </c>
      <c r="B523">
        <v>68.19</v>
      </c>
      <c r="C523" t="s">
        <v>16</v>
      </c>
      <c r="D523" t="s">
        <v>17</v>
      </c>
      <c r="E523" t="s">
        <v>37</v>
      </c>
      <c r="F523" t="s">
        <v>19</v>
      </c>
      <c r="G523" t="s">
        <v>21</v>
      </c>
      <c r="H523" t="s">
        <v>20</v>
      </c>
      <c r="I523" t="s">
        <v>21</v>
      </c>
      <c r="J523" t="s">
        <v>58</v>
      </c>
      <c r="K523">
        <v>10</v>
      </c>
      <c r="L523">
        <v>136.166666666667</v>
      </c>
      <c r="M523" t="s">
        <v>24</v>
      </c>
      <c r="N523" t="str">
        <f>_xlfn.XLOOKUP(A523,[1]!brca_metabric_clinical_data__2[Patient ID], [1]!brca_metabric_clinical_data__2[Tumor Size])</f>
        <v>33</v>
      </c>
      <c r="O523" t="str">
        <f>_xlfn.XLOOKUP(A523,[1]!brca_metabric_clinical_data__2[Sample ID],[1]!brca_metabric_clinical_data__2[Tumor Stage])</f>
        <v>2</v>
      </c>
    </row>
    <row r="524" spans="1:15" x14ac:dyDescent="0.45">
      <c r="A524" t="s">
        <v>557</v>
      </c>
      <c r="B524">
        <v>83.01</v>
      </c>
      <c r="C524" t="s">
        <v>16</v>
      </c>
      <c r="D524" t="s">
        <v>17</v>
      </c>
      <c r="E524" t="s">
        <v>18</v>
      </c>
      <c r="F524" t="s">
        <v>19</v>
      </c>
      <c r="G524" t="s">
        <v>20</v>
      </c>
      <c r="H524" t="s">
        <v>21</v>
      </c>
      <c r="I524" t="s">
        <v>20</v>
      </c>
      <c r="J524" t="s">
        <v>27</v>
      </c>
      <c r="K524">
        <v>3</v>
      </c>
      <c r="L524">
        <v>144.69999999999999</v>
      </c>
      <c r="M524" t="s">
        <v>30</v>
      </c>
      <c r="N524" t="str">
        <f>_xlfn.XLOOKUP(A524,[1]!brca_metabric_clinical_data__2[Patient ID], [1]!brca_metabric_clinical_data__2[Tumor Size])</f>
        <v>22</v>
      </c>
      <c r="O524" t="str">
        <f>_xlfn.XLOOKUP(A524,[1]!brca_metabric_clinical_data__2[Sample ID],[1]!brca_metabric_clinical_data__2[Tumor Stage])</f>
        <v>2</v>
      </c>
    </row>
    <row r="525" spans="1:15" x14ac:dyDescent="0.45">
      <c r="A525" t="s">
        <v>558</v>
      </c>
      <c r="B525">
        <v>70.599999999999994</v>
      </c>
      <c r="C525" t="s">
        <v>16</v>
      </c>
      <c r="D525" t="s">
        <v>17</v>
      </c>
      <c r="E525" t="s">
        <v>37</v>
      </c>
      <c r="F525" t="s">
        <v>19</v>
      </c>
      <c r="G525" t="s">
        <v>20</v>
      </c>
      <c r="H525" t="s">
        <v>21</v>
      </c>
      <c r="I525" t="s">
        <v>21</v>
      </c>
      <c r="J525" t="s">
        <v>22</v>
      </c>
      <c r="K525" t="s">
        <v>39</v>
      </c>
      <c r="L525">
        <v>63.866666666666703</v>
      </c>
      <c r="M525" t="s">
        <v>30</v>
      </c>
      <c r="N525" t="str">
        <f>_xlfn.XLOOKUP(A525,[1]!brca_metabric_clinical_data__2[Patient ID], [1]!brca_metabric_clinical_data__2[Tumor Size])</f>
        <v>28</v>
      </c>
      <c r="O525" t="str">
        <f>_xlfn.XLOOKUP(A525,[1]!brca_metabric_clinical_data__2[Sample ID],[1]!brca_metabric_clinical_data__2[Tumor Stage])</f>
        <v>2</v>
      </c>
    </row>
    <row r="526" spans="1:15" x14ac:dyDescent="0.45">
      <c r="A526" t="s">
        <v>559</v>
      </c>
      <c r="B526">
        <v>72.14</v>
      </c>
      <c r="C526" t="s">
        <v>16</v>
      </c>
      <c r="D526" t="s">
        <v>17</v>
      </c>
      <c r="F526" t="s">
        <v>43</v>
      </c>
      <c r="G526" t="s">
        <v>20</v>
      </c>
      <c r="H526" t="s">
        <v>20</v>
      </c>
      <c r="I526" t="s">
        <v>20</v>
      </c>
      <c r="J526" t="s">
        <v>22</v>
      </c>
      <c r="K526" t="s">
        <v>39</v>
      </c>
      <c r="L526">
        <v>119.966666666667</v>
      </c>
      <c r="M526" t="s">
        <v>30</v>
      </c>
      <c r="N526" t="str">
        <f>_xlfn.XLOOKUP(A526,[1]!brca_metabric_clinical_data__2[Patient ID], [1]!brca_metabric_clinical_data__2[Tumor Size])</f>
        <v>37</v>
      </c>
      <c r="O526" t="str">
        <f>_xlfn.XLOOKUP(A526,[1]!brca_metabric_clinical_data__2[Sample ID],[1]!brca_metabric_clinical_data__2[Tumor Stage])</f>
        <v>1</v>
      </c>
    </row>
    <row r="527" spans="1:15" x14ac:dyDescent="0.45">
      <c r="A527" t="s">
        <v>560</v>
      </c>
      <c r="B527">
        <v>57.96</v>
      </c>
      <c r="C527" t="s">
        <v>16</v>
      </c>
      <c r="D527" t="s">
        <v>17</v>
      </c>
      <c r="E527" t="s">
        <v>37</v>
      </c>
      <c r="F527" t="s">
        <v>43</v>
      </c>
      <c r="G527" t="s">
        <v>20</v>
      </c>
      <c r="H527" t="s">
        <v>20</v>
      </c>
      <c r="I527" t="s">
        <v>21</v>
      </c>
      <c r="J527" t="s">
        <v>27</v>
      </c>
      <c r="K527">
        <v>5</v>
      </c>
      <c r="L527">
        <v>59.7</v>
      </c>
      <c r="M527" t="s">
        <v>30</v>
      </c>
      <c r="N527" t="str">
        <f>_xlfn.XLOOKUP(A527,[1]!brca_metabric_clinical_data__2[Patient ID], [1]!brca_metabric_clinical_data__2[Tumor Size])</f>
        <v>20</v>
      </c>
      <c r="O527" t="str">
        <f>_xlfn.XLOOKUP(A527,[1]!brca_metabric_clinical_data__2[Sample ID],[1]!brca_metabric_clinical_data__2[Tumor Stage])</f>
        <v>1</v>
      </c>
    </row>
    <row r="528" spans="1:15" x14ac:dyDescent="0.45">
      <c r="A528" t="s">
        <v>561</v>
      </c>
      <c r="B528">
        <v>60.29</v>
      </c>
      <c r="C528" t="s">
        <v>16</v>
      </c>
      <c r="D528" t="s">
        <v>17</v>
      </c>
      <c r="E528" t="s">
        <v>37</v>
      </c>
      <c r="F528" t="s">
        <v>43</v>
      </c>
      <c r="G528" t="s">
        <v>20</v>
      </c>
      <c r="H528" t="s">
        <v>21</v>
      </c>
      <c r="I528" t="s">
        <v>20</v>
      </c>
      <c r="J528" t="s">
        <v>45</v>
      </c>
      <c r="K528">
        <v>5</v>
      </c>
      <c r="L528">
        <v>268.433333333333</v>
      </c>
      <c r="M528" t="s">
        <v>30</v>
      </c>
      <c r="N528" t="str">
        <f>_xlfn.XLOOKUP(A528,[1]!brca_metabric_clinical_data__2[Patient ID], [1]!brca_metabric_clinical_data__2[Tumor Size])</f>
        <v>15</v>
      </c>
      <c r="O528" t="str">
        <f>_xlfn.XLOOKUP(A528,[1]!brca_metabric_clinical_data__2[Sample ID],[1]!brca_metabric_clinical_data__2[Tumor Stage])</f>
        <v>1</v>
      </c>
    </row>
    <row r="529" spans="1:15" x14ac:dyDescent="0.45">
      <c r="A529" t="s">
        <v>562</v>
      </c>
      <c r="B529">
        <v>54.11</v>
      </c>
      <c r="C529" t="s">
        <v>16</v>
      </c>
      <c r="D529" t="s">
        <v>17</v>
      </c>
      <c r="E529" t="s">
        <v>18</v>
      </c>
      <c r="F529" t="s">
        <v>43</v>
      </c>
      <c r="G529" t="s">
        <v>20</v>
      </c>
      <c r="H529" t="s">
        <v>20</v>
      </c>
      <c r="I529" t="s">
        <v>20</v>
      </c>
      <c r="J529" t="s">
        <v>27</v>
      </c>
      <c r="K529">
        <v>3</v>
      </c>
      <c r="L529">
        <v>47.9</v>
      </c>
      <c r="M529" t="s">
        <v>30</v>
      </c>
      <c r="N529" t="str">
        <f>_xlfn.XLOOKUP(A529,[1]!brca_metabric_clinical_data__2[Patient ID], [1]!brca_metabric_clinical_data__2[Tumor Size])</f>
        <v>15</v>
      </c>
      <c r="O529" t="str">
        <f>_xlfn.XLOOKUP(A529,[1]!brca_metabric_clinical_data__2[Sample ID],[1]!brca_metabric_clinical_data__2[Tumor Stage])</f>
        <v>1</v>
      </c>
    </row>
    <row r="530" spans="1:15" x14ac:dyDescent="0.45">
      <c r="A530" t="s">
        <v>563</v>
      </c>
      <c r="B530">
        <v>62.59</v>
      </c>
      <c r="C530" t="s">
        <v>16</v>
      </c>
      <c r="D530" t="s">
        <v>17</v>
      </c>
      <c r="E530" t="s">
        <v>18</v>
      </c>
      <c r="F530" t="s">
        <v>19</v>
      </c>
      <c r="G530" t="s">
        <v>20</v>
      </c>
      <c r="H530" t="s">
        <v>21</v>
      </c>
      <c r="I530" t="s">
        <v>20</v>
      </c>
      <c r="J530" t="s">
        <v>22</v>
      </c>
      <c r="K530" t="s">
        <v>23</v>
      </c>
      <c r="L530">
        <v>220.9</v>
      </c>
      <c r="M530" t="s">
        <v>30</v>
      </c>
      <c r="N530" t="str">
        <f>_xlfn.XLOOKUP(A530,[1]!brca_metabric_clinical_data__2[Patient ID], [1]!brca_metabric_clinical_data__2[Tumor Size])</f>
        <v>20</v>
      </c>
      <c r="O530" t="str">
        <f>_xlfn.XLOOKUP(A530,[1]!brca_metabric_clinical_data__2[Sample ID],[1]!brca_metabric_clinical_data__2[Tumor Stage])</f>
        <v>2</v>
      </c>
    </row>
    <row r="531" spans="1:15" x14ac:dyDescent="0.45">
      <c r="A531" t="s">
        <v>564</v>
      </c>
      <c r="B531">
        <v>52.98</v>
      </c>
      <c r="C531" t="s">
        <v>16</v>
      </c>
      <c r="D531" t="s">
        <v>17</v>
      </c>
      <c r="E531" t="s">
        <v>18</v>
      </c>
      <c r="F531" t="s">
        <v>19</v>
      </c>
      <c r="G531" t="s">
        <v>20</v>
      </c>
      <c r="H531" t="s">
        <v>20</v>
      </c>
      <c r="I531" t="s">
        <v>21</v>
      </c>
      <c r="J531" t="s">
        <v>27</v>
      </c>
      <c r="K531">
        <v>8</v>
      </c>
      <c r="L531">
        <v>285.433333333333</v>
      </c>
      <c r="M531" t="s">
        <v>24</v>
      </c>
      <c r="N531" t="str">
        <f>_xlfn.XLOOKUP(A531,[1]!brca_metabric_clinical_data__2[Patient ID], [1]!brca_metabric_clinical_data__2[Tumor Size])</f>
        <v>10</v>
      </c>
      <c r="O531" t="str">
        <f>_xlfn.XLOOKUP(A531,[1]!brca_metabric_clinical_data__2[Sample ID],[1]!brca_metabric_clinical_data__2[Tumor Stage])</f>
        <v>1</v>
      </c>
    </row>
    <row r="532" spans="1:15" x14ac:dyDescent="0.45">
      <c r="A532" t="s">
        <v>565</v>
      </c>
      <c r="B532">
        <v>58.99</v>
      </c>
      <c r="C532" t="s">
        <v>16</v>
      </c>
      <c r="D532" t="s">
        <v>17</v>
      </c>
      <c r="E532" t="s">
        <v>18</v>
      </c>
      <c r="F532" t="s">
        <v>19</v>
      </c>
      <c r="G532" t="s">
        <v>20</v>
      </c>
      <c r="H532" t="s">
        <v>21</v>
      </c>
      <c r="I532" t="s">
        <v>20</v>
      </c>
      <c r="J532" t="s">
        <v>27</v>
      </c>
      <c r="K532">
        <v>8</v>
      </c>
      <c r="L532">
        <v>280.7</v>
      </c>
      <c r="M532" t="s">
        <v>24</v>
      </c>
      <c r="N532" t="str">
        <f>_xlfn.XLOOKUP(A532,[1]!brca_metabric_clinical_data__2[Patient ID], [1]!brca_metabric_clinical_data__2[Tumor Size])</f>
        <v>25</v>
      </c>
      <c r="O532" t="str">
        <f>_xlfn.XLOOKUP(A532,[1]!brca_metabric_clinical_data__2[Sample ID],[1]!brca_metabric_clinical_data__2[Tumor Stage])</f>
        <v>2</v>
      </c>
    </row>
    <row r="533" spans="1:15" x14ac:dyDescent="0.45">
      <c r="A533" t="s">
        <v>566</v>
      </c>
      <c r="B533">
        <v>59.63</v>
      </c>
      <c r="C533" t="s">
        <v>16</v>
      </c>
      <c r="D533" t="s">
        <v>17</v>
      </c>
      <c r="E533" t="s">
        <v>18</v>
      </c>
      <c r="F533" t="s">
        <v>19</v>
      </c>
      <c r="G533" t="s">
        <v>20</v>
      </c>
      <c r="H533" t="s">
        <v>21</v>
      </c>
      <c r="I533" t="s">
        <v>20</v>
      </c>
      <c r="J533" t="s">
        <v>29</v>
      </c>
      <c r="K533">
        <v>1</v>
      </c>
      <c r="L533">
        <v>163.4</v>
      </c>
      <c r="M533" t="s">
        <v>24</v>
      </c>
      <c r="N533" t="str">
        <f>_xlfn.XLOOKUP(A533,[1]!brca_metabric_clinical_data__2[Patient ID], [1]!brca_metabric_clinical_data__2[Tumor Size])</f>
        <v>20</v>
      </c>
      <c r="O533" t="str">
        <f>_xlfn.XLOOKUP(A533,[1]!brca_metabric_clinical_data__2[Sample ID],[1]!brca_metabric_clinical_data__2[Tumor Stage])</f>
        <v>1</v>
      </c>
    </row>
    <row r="534" spans="1:15" x14ac:dyDescent="0.45">
      <c r="A534" t="s">
        <v>567</v>
      </c>
      <c r="B534">
        <v>43.72</v>
      </c>
      <c r="C534" t="s">
        <v>16</v>
      </c>
      <c r="D534" t="s">
        <v>26</v>
      </c>
      <c r="E534" t="s">
        <v>37</v>
      </c>
      <c r="F534" t="s">
        <v>19</v>
      </c>
      <c r="G534" t="s">
        <v>21</v>
      </c>
      <c r="H534" t="s">
        <v>20</v>
      </c>
      <c r="I534" t="s">
        <v>20</v>
      </c>
      <c r="J534" t="s">
        <v>27</v>
      </c>
      <c r="K534">
        <v>7</v>
      </c>
      <c r="L534">
        <v>64.933333333333294</v>
      </c>
      <c r="M534" t="s">
        <v>30</v>
      </c>
      <c r="N534" t="str">
        <f>_xlfn.XLOOKUP(A534,[1]!brca_metabric_clinical_data__2[Patient ID], [1]!brca_metabric_clinical_data__2[Tumor Size])</f>
        <v>15</v>
      </c>
      <c r="O534" t="str">
        <f>_xlfn.XLOOKUP(A534,[1]!brca_metabric_clinical_data__2[Sample ID],[1]!brca_metabric_clinical_data__2[Tumor Stage])</f>
        <v>3</v>
      </c>
    </row>
    <row r="535" spans="1:15" x14ac:dyDescent="0.45">
      <c r="A535" t="s">
        <v>568</v>
      </c>
      <c r="B535">
        <v>65.069999999999993</v>
      </c>
      <c r="C535" t="s">
        <v>16</v>
      </c>
      <c r="D535" t="s">
        <v>17</v>
      </c>
      <c r="E535" t="s">
        <v>18</v>
      </c>
      <c r="F535" t="s">
        <v>19</v>
      </c>
      <c r="G535" t="s">
        <v>20</v>
      </c>
      <c r="H535" t="s">
        <v>20</v>
      </c>
      <c r="I535" t="s">
        <v>21</v>
      </c>
      <c r="J535" t="s">
        <v>22</v>
      </c>
      <c r="K535" t="s">
        <v>23</v>
      </c>
      <c r="L535">
        <v>219.166666666667</v>
      </c>
      <c r="M535" t="s">
        <v>30</v>
      </c>
      <c r="N535" t="str">
        <f>_xlfn.XLOOKUP(A535,[1]!brca_metabric_clinical_data__2[Patient ID], [1]!brca_metabric_clinical_data__2[Tumor Size])</f>
        <v>18</v>
      </c>
      <c r="O535" t="str">
        <f>_xlfn.XLOOKUP(A535,[1]!brca_metabric_clinical_data__2[Sample ID],[1]!brca_metabric_clinical_data__2[Tumor Stage])</f>
        <v>1</v>
      </c>
    </row>
    <row r="536" spans="1:15" x14ac:dyDescent="0.45">
      <c r="A536" t="s">
        <v>569</v>
      </c>
      <c r="B536">
        <v>63.3</v>
      </c>
      <c r="C536" t="s">
        <v>16</v>
      </c>
      <c r="D536" t="s">
        <v>17</v>
      </c>
      <c r="E536" t="s">
        <v>18</v>
      </c>
      <c r="F536" t="s">
        <v>19</v>
      </c>
      <c r="G536" t="s">
        <v>20</v>
      </c>
      <c r="H536" t="s">
        <v>21</v>
      </c>
      <c r="I536" t="s">
        <v>21</v>
      </c>
      <c r="J536" t="s">
        <v>29</v>
      </c>
      <c r="K536" t="s">
        <v>23</v>
      </c>
      <c r="L536">
        <v>89.1</v>
      </c>
      <c r="M536" t="s">
        <v>30</v>
      </c>
      <c r="N536" t="str">
        <f>_xlfn.XLOOKUP(A536,[1]!brca_metabric_clinical_data__2[Patient ID], [1]!brca_metabric_clinical_data__2[Tumor Size])</f>
        <v>18</v>
      </c>
      <c r="O536" t="str">
        <f>_xlfn.XLOOKUP(A536,[1]!brca_metabric_clinical_data__2[Sample ID],[1]!brca_metabric_clinical_data__2[Tumor Stage])</f>
        <v>1</v>
      </c>
    </row>
    <row r="537" spans="1:15" x14ac:dyDescent="0.45">
      <c r="A537" t="s">
        <v>570</v>
      </c>
      <c r="B537">
        <v>66.22</v>
      </c>
      <c r="C537" t="s">
        <v>16</v>
      </c>
      <c r="D537" t="s">
        <v>17</v>
      </c>
      <c r="E537" t="s">
        <v>18</v>
      </c>
      <c r="F537" t="s">
        <v>43</v>
      </c>
      <c r="G537" t="s">
        <v>20</v>
      </c>
      <c r="H537" t="s">
        <v>20</v>
      </c>
      <c r="I537" t="s">
        <v>21</v>
      </c>
      <c r="J537" t="s">
        <v>29</v>
      </c>
      <c r="K537">
        <v>1</v>
      </c>
      <c r="L537">
        <v>89.1</v>
      </c>
      <c r="M537" t="s">
        <v>30</v>
      </c>
      <c r="N537" t="str">
        <f>_xlfn.XLOOKUP(A537,[1]!brca_metabric_clinical_data__2[Patient ID], [1]!brca_metabric_clinical_data__2[Tumor Size])</f>
        <v>16</v>
      </c>
      <c r="O537" t="str">
        <f>_xlfn.XLOOKUP(A537,[1]!brca_metabric_clinical_data__2[Sample ID],[1]!brca_metabric_clinical_data__2[Tumor Stage])</f>
        <v>1</v>
      </c>
    </row>
    <row r="538" spans="1:15" x14ac:dyDescent="0.45">
      <c r="A538" t="s">
        <v>571</v>
      </c>
      <c r="B538">
        <v>53.53</v>
      </c>
      <c r="C538" t="s">
        <v>16</v>
      </c>
      <c r="D538" t="s">
        <v>17</v>
      </c>
      <c r="E538" t="s">
        <v>18</v>
      </c>
      <c r="F538" t="s">
        <v>19</v>
      </c>
      <c r="G538" t="s">
        <v>20</v>
      </c>
      <c r="H538" t="s">
        <v>21</v>
      </c>
      <c r="I538" t="s">
        <v>21</v>
      </c>
      <c r="J538" t="s">
        <v>27</v>
      </c>
      <c r="K538">
        <v>3</v>
      </c>
      <c r="L538">
        <v>128.53333333333299</v>
      </c>
      <c r="M538" t="s">
        <v>24</v>
      </c>
      <c r="N538" t="str">
        <f>_xlfn.XLOOKUP(A538,[1]!brca_metabric_clinical_data__2[Patient ID], [1]!brca_metabric_clinical_data__2[Tumor Size])</f>
        <v>14</v>
      </c>
      <c r="O538" t="str">
        <f>_xlfn.XLOOKUP(A538,[1]!brca_metabric_clinical_data__2[Sample ID],[1]!brca_metabric_clinical_data__2[Tumor Stage])</f>
        <v>2</v>
      </c>
    </row>
    <row r="539" spans="1:15" x14ac:dyDescent="0.45">
      <c r="A539" t="s">
        <v>572</v>
      </c>
      <c r="B539">
        <v>62.54</v>
      </c>
      <c r="C539" t="s">
        <v>16</v>
      </c>
      <c r="D539" t="s">
        <v>17</v>
      </c>
      <c r="E539" t="s">
        <v>18</v>
      </c>
      <c r="F539" t="s">
        <v>43</v>
      </c>
      <c r="G539" t="s">
        <v>20</v>
      </c>
      <c r="H539" t="s">
        <v>21</v>
      </c>
      <c r="I539" t="s">
        <v>21</v>
      </c>
      <c r="J539" t="s">
        <v>29</v>
      </c>
      <c r="K539">
        <v>5</v>
      </c>
      <c r="L539">
        <v>193.7</v>
      </c>
      <c r="M539" t="s">
        <v>24</v>
      </c>
      <c r="N539" t="str">
        <f>_xlfn.XLOOKUP(A539,[1]!brca_metabric_clinical_data__2[Patient ID], [1]!brca_metabric_clinical_data__2[Tumor Size])</f>
        <v>16</v>
      </c>
      <c r="O539" t="str">
        <f>_xlfn.XLOOKUP(A539,[1]!brca_metabric_clinical_data__2[Sample ID],[1]!brca_metabric_clinical_data__2[Tumor Stage])</f>
        <v>1</v>
      </c>
    </row>
    <row r="540" spans="1:15" x14ac:dyDescent="0.45">
      <c r="A540" t="s">
        <v>573</v>
      </c>
      <c r="B540">
        <v>61.22</v>
      </c>
      <c r="C540" t="s">
        <v>16</v>
      </c>
      <c r="D540" t="s">
        <v>17</v>
      </c>
      <c r="E540" t="s">
        <v>18</v>
      </c>
      <c r="F540" t="s">
        <v>19</v>
      </c>
      <c r="G540" t="s">
        <v>20</v>
      </c>
      <c r="H540" t="s">
        <v>21</v>
      </c>
      <c r="I540" t="s">
        <v>21</v>
      </c>
      <c r="J540" t="s">
        <v>29</v>
      </c>
      <c r="K540">
        <v>3</v>
      </c>
      <c r="L540">
        <v>279.10000000000002</v>
      </c>
      <c r="M540" t="s">
        <v>24</v>
      </c>
      <c r="N540" t="str">
        <f>_xlfn.XLOOKUP(A540,[1]!brca_metabric_clinical_data__2[Patient ID], [1]!brca_metabric_clinical_data__2[Tumor Size])</f>
        <v>15</v>
      </c>
      <c r="O540" t="str">
        <f>_xlfn.XLOOKUP(A540,[1]!brca_metabric_clinical_data__2[Sample ID],[1]!brca_metabric_clinical_data__2[Tumor Stage])</f>
        <v>2</v>
      </c>
    </row>
    <row r="541" spans="1:15" x14ac:dyDescent="0.45">
      <c r="A541" t="s">
        <v>574</v>
      </c>
      <c r="B541">
        <v>36.520000000000003</v>
      </c>
      <c r="C541" t="s">
        <v>16</v>
      </c>
      <c r="D541" t="s">
        <v>26</v>
      </c>
      <c r="E541" t="s">
        <v>37</v>
      </c>
      <c r="F541" t="s">
        <v>43</v>
      </c>
      <c r="G541" t="s">
        <v>21</v>
      </c>
      <c r="H541" t="s">
        <v>20</v>
      </c>
      <c r="I541" t="s">
        <v>21</v>
      </c>
      <c r="J541" t="s">
        <v>45</v>
      </c>
      <c r="K541">
        <v>5</v>
      </c>
      <c r="L541">
        <v>19.100000000000001</v>
      </c>
      <c r="M541" t="s">
        <v>30</v>
      </c>
      <c r="N541" t="str">
        <f>_xlfn.XLOOKUP(A541,[1]!brca_metabric_clinical_data__2[Patient ID], [1]!brca_metabric_clinical_data__2[Tumor Size])</f>
        <v>15</v>
      </c>
      <c r="O541" t="str">
        <f>_xlfn.XLOOKUP(A541,[1]!brca_metabric_clinical_data__2[Sample ID],[1]!brca_metabric_clinical_data__2[Tumor Stage])</f>
        <v>2</v>
      </c>
    </row>
    <row r="542" spans="1:15" x14ac:dyDescent="0.45">
      <c r="A542" t="s">
        <v>575</v>
      </c>
      <c r="B542">
        <v>70.69</v>
      </c>
      <c r="C542" t="s">
        <v>16</v>
      </c>
      <c r="D542" t="s">
        <v>17</v>
      </c>
      <c r="E542" t="s">
        <v>18</v>
      </c>
      <c r="F542" t="s">
        <v>43</v>
      </c>
      <c r="G542" t="s">
        <v>20</v>
      </c>
      <c r="H542" t="s">
        <v>21</v>
      </c>
      <c r="I542" t="s">
        <v>21</v>
      </c>
      <c r="J542" t="s">
        <v>29</v>
      </c>
      <c r="K542">
        <v>2</v>
      </c>
      <c r="L542">
        <v>274.03333333333302</v>
      </c>
      <c r="M542" t="s">
        <v>24</v>
      </c>
      <c r="N542" t="str">
        <f>_xlfn.XLOOKUP(A542,[1]!brca_metabric_clinical_data__2[Patient ID], [1]!brca_metabric_clinical_data__2[Tumor Size])</f>
        <v>10</v>
      </c>
      <c r="O542" t="str">
        <f>_xlfn.XLOOKUP(A542,[1]!brca_metabric_clinical_data__2[Sample ID],[1]!brca_metabric_clinical_data__2[Tumor Stage])</f>
        <v>1</v>
      </c>
    </row>
    <row r="543" spans="1:15" x14ac:dyDescent="0.45">
      <c r="A543" t="s">
        <v>576</v>
      </c>
      <c r="B543">
        <v>30.67</v>
      </c>
      <c r="C543" t="s">
        <v>16</v>
      </c>
      <c r="D543" t="s">
        <v>26</v>
      </c>
      <c r="E543" t="s">
        <v>37</v>
      </c>
      <c r="F543" t="s">
        <v>35</v>
      </c>
      <c r="G543" t="s">
        <v>21</v>
      </c>
      <c r="H543" t="s">
        <v>20</v>
      </c>
      <c r="I543" t="s">
        <v>21</v>
      </c>
      <c r="J543" t="s">
        <v>29</v>
      </c>
      <c r="K543">
        <v>1</v>
      </c>
      <c r="L543">
        <v>45.1666666666667</v>
      </c>
      <c r="M543" t="s">
        <v>30</v>
      </c>
      <c r="N543" t="str">
        <f>_xlfn.XLOOKUP(A543,[1]!brca_metabric_clinical_data__2[Patient ID], [1]!brca_metabric_clinical_data__2[Tumor Size])</f>
        <v>35</v>
      </c>
      <c r="O543" t="str">
        <f>_xlfn.XLOOKUP(A543,[1]!brca_metabric_clinical_data__2[Sample ID],[1]!brca_metabric_clinical_data__2[Tumor Stage])</f>
        <v>2</v>
      </c>
    </row>
    <row r="544" spans="1:15" x14ac:dyDescent="0.45">
      <c r="A544" t="s">
        <v>577</v>
      </c>
      <c r="B544">
        <v>34.200000000000003</v>
      </c>
      <c r="C544" t="s">
        <v>16</v>
      </c>
      <c r="D544" t="s">
        <v>26</v>
      </c>
      <c r="F544" t="s">
        <v>19</v>
      </c>
      <c r="G544" t="s">
        <v>20</v>
      </c>
      <c r="H544" t="s">
        <v>20</v>
      </c>
      <c r="I544" t="s">
        <v>21</v>
      </c>
      <c r="J544" t="s">
        <v>22</v>
      </c>
      <c r="K544" t="s">
        <v>39</v>
      </c>
      <c r="L544">
        <v>52.966666666666697</v>
      </c>
      <c r="M544" t="s">
        <v>30</v>
      </c>
      <c r="N544" t="str">
        <f>_xlfn.XLOOKUP(A544,[1]!brca_metabric_clinical_data__2[Patient ID], [1]!brca_metabric_clinical_data__2[Tumor Size])</f>
        <v>3</v>
      </c>
      <c r="O544" t="str">
        <f>_xlfn.XLOOKUP(A544,[1]!brca_metabric_clinical_data__2[Sample ID],[1]!brca_metabric_clinical_data__2[Tumor Stage])</f>
        <v>1</v>
      </c>
    </row>
    <row r="545" spans="1:15" x14ac:dyDescent="0.45">
      <c r="A545" t="s">
        <v>578</v>
      </c>
      <c r="B545">
        <v>69.45</v>
      </c>
      <c r="C545" t="s">
        <v>16</v>
      </c>
      <c r="D545" t="s">
        <v>17</v>
      </c>
      <c r="E545" t="s">
        <v>18</v>
      </c>
      <c r="F545" t="s">
        <v>19</v>
      </c>
      <c r="G545" t="s">
        <v>20</v>
      </c>
      <c r="H545" t="s">
        <v>21</v>
      </c>
      <c r="I545" t="s">
        <v>21</v>
      </c>
      <c r="J545" t="s">
        <v>58</v>
      </c>
      <c r="K545" t="s">
        <v>23</v>
      </c>
      <c r="L545">
        <v>44.766666666666701</v>
      </c>
      <c r="M545" t="s">
        <v>30</v>
      </c>
      <c r="N545" t="str">
        <f>_xlfn.XLOOKUP(A545,[1]!brca_metabric_clinical_data__2[Patient ID], [1]!brca_metabric_clinical_data__2[Tumor Size])</f>
        <v>27</v>
      </c>
      <c r="O545" t="str">
        <f>_xlfn.XLOOKUP(A545,[1]!brca_metabric_clinical_data__2[Sample ID],[1]!brca_metabric_clinical_data__2[Tumor Stage])</f>
        <v>3</v>
      </c>
    </row>
    <row r="546" spans="1:15" x14ac:dyDescent="0.45">
      <c r="A546" t="s">
        <v>579</v>
      </c>
      <c r="B546">
        <v>62.56</v>
      </c>
      <c r="C546" t="s">
        <v>16</v>
      </c>
      <c r="D546" t="s">
        <v>17</v>
      </c>
      <c r="E546" t="s">
        <v>18</v>
      </c>
      <c r="F546" t="s">
        <v>19</v>
      </c>
      <c r="G546" t="s">
        <v>20</v>
      </c>
      <c r="H546" t="s">
        <v>21</v>
      </c>
      <c r="I546" t="s">
        <v>20</v>
      </c>
      <c r="J546" t="s">
        <v>27</v>
      </c>
      <c r="K546">
        <v>6</v>
      </c>
      <c r="L546">
        <v>73.7</v>
      </c>
      <c r="M546" t="s">
        <v>30</v>
      </c>
      <c r="N546" t="str">
        <f>_xlfn.XLOOKUP(A546,[1]!brca_metabric_clinical_data__2[Patient ID], [1]!brca_metabric_clinical_data__2[Tumor Size])</f>
        <v>24</v>
      </c>
      <c r="O546" t="str">
        <f>_xlfn.XLOOKUP(A546,[1]!brca_metabric_clinical_data__2[Sample ID],[1]!brca_metabric_clinical_data__2[Tumor Stage])</f>
        <v>1</v>
      </c>
    </row>
    <row r="547" spans="1:15" x14ac:dyDescent="0.45">
      <c r="A547" t="s">
        <v>580</v>
      </c>
      <c r="B547">
        <v>68.760000000000005</v>
      </c>
      <c r="C547" t="s">
        <v>16</v>
      </c>
      <c r="D547" t="s">
        <v>17</v>
      </c>
      <c r="E547" t="s">
        <v>18</v>
      </c>
      <c r="F547" t="s">
        <v>19</v>
      </c>
      <c r="G547" t="s">
        <v>20</v>
      </c>
      <c r="H547" t="s">
        <v>21</v>
      </c>
      <c r="I547" t="s">
        <v>21</v>
      </c>
      <c r="J547" t="s">
        <v>29</v>
      </c>
      <c r="K547">
        <v>1</v>
      </c>
      <c r="L547">
        <v>177.26666666666699</v>
      </c>
      <c r="M547" t="s">
        <v>24</v>
      </c>
      <c r="N547" t="str">
        <f>_xlfn.XLOOKUP(A547,[1]!brca_metabric_clinical_data__2[Patient ID], [1]!brca_metabric_clinical_data__2[Tumor Size])</f>
        <v>17</v>
      </c>
      <c r="O547" t="str">
        <f>_xlfn.XLOOKUP(A547,[1]!brca_metabric_clinical_data__2[Sample ID],[1]!brca_metabric_clinical_data__2[Tumor Stage])</f>
        <v>2</v>
      </c>
    </row>
    <row r="548" spans="1:15" x14ac:dyDescent="0.45">
      <c r="A548" t="s">
        <v>581</v>
      </c>
      <c r="B548">
        <v>61.78</v>
      </c>
      <c r="C548" t="s">
        <v>16</v>
      </c>
      <c r="D548" t="s">
        <v>17</v>
      </c>
      <c r="E548" t="s">
        <v>18</v>
      </c>
      <c r="F548" t="s">
        <v>19</v>
      </c>
      <c r="G548" t="s">
        <v>20</v>
      </c>
      <c r="H548" t="s">
        <v>20</v>
      </c>
      <c r="I548" t="s">
        <v>21</v>
      </c>
      <c r="J548" t="s">
        <v>29</v>
      </c>
      <c r="K548">
        <v>3</v>
      </c>
      <c r="L548">
        <v>163.73333333333301</v>
      </c>
      <c r="M548" t="s">
        <v>24</v>
      </c>
      <c r="N548" t="str">
        <f>_xlfn.XLOOKUP(A548,[1]!brca_metabric_clinical_data__2[Patient ID], [1]!brca_metabric_clinical_data__2[Tumor Size])</f>
        <v>15</v>
      </c>
      <c r="O548" t="str">
        <f>_xlfn.XLOOKUP(A548,[1]!brca_metabric_clinical_data__2[Sample ID],[1]!brca_metabric_clinical_data__2[Tumor Stage])</f>
        <v>1</v>
      </c>
    </row>
    <row r="549" spans="1:15" x14ac:dyDescent="0.45">
      <c r="A549" t="s">
        <v>582</v>
      </c>
      <c r="B549">
        <v>66.36</v>
      </c>
      <c r="C549" t="s">
        <v>16</v>
      </c>
      <c r="D549" t="s">
        <v>17</v>
      </c>
      <c r="E549" t="s">
        <v>18</v>
      </c>
      <c r="F549" t="s">
        <v>19</v>
      </c>
      <c r="G549" t="s">
        <v>20</v>
      </c>
      <c r="H549" t="s">
        <v>21</v>
      </c>
      <c r="I549" t="s">
        <v>20</v>
      </c>
      <c r="J549" t="s">
        <v>29</v>
      </c>
      <c r="K549">
        <v>7</v>
      </c>
      <c r="L549">
        <v>133.23333333333301</v>
      </c>
      <c r="M549" t="s">
        <v>30</v>
      </c>
      <c r="N549" t="str">
        <f>_xlfn.XLOOKUP(A549,[1]!brca_metabric_clinical_data__2[Patient ID], [1]!brca_metabric_clinical_data__2[Tumor Size])</f>
        <v>15</v>
      </c>
      <c r="O549" t="str">
        <f>_xlfn.XLOOKUP(A549,[1]!brca_metabric_clinical_data__2[Sample ID],[1]!brca_metabric_clinical_data__2[Tumor Stage])</f>
        <v>1</v>
      </c>
    </row>
    <row r="550" spans="1:15" x14ac:dyDescent="0.45">
      <c r="A550" t="s">
        <v>583</v>
      </c>
      <c r="B550">
        <v>48.07</v>
      </c>
      <c r="C550" t="s">
        <v>16</v>
      </c>
      <c r="D550" t="s">
        <v>26</v>
      </c>
      <c r="E550" t="s">
        <v>18</v>
      </c>
      <c r="F550" t="s">
        <v>19</v>
      </c>
      <c r="G550" t="s">
        <v>20</v>
      </c>
      <c r="H550" t="s">
        <v>20</v>
      </c>
      <c r="I550" t="s">
        <v>20</v>
      </c>
      <c r="J550" t="s">
        <v>27</v>
      </c>
      <c r="K550">
        <v>7</v>
      </c>
      <c r="L550">
        <v>201.46666666666701</v>
      </c>
      <c r="M550" t="s">
        <v>24</v>
      </c>
      <c r="N550" t="str">
        <f>_xlfn.XLOOKUP(A550,[1]!brca_metabric_clinical_data__2[Patient ID], [1]!brca_metabric_clinical_data__2[Tumor Size])</f>
        <v>15</v>
      </c>
      <c r="O550" t="str">
        <f>_xlfn.XLOOKUP(A550,[1]!brca_metabric_clinical_data__2[Sample ID],[1]!brca_metabric_clinical_data__2[Tumor Stage])</f>
        <v>1</v>
      </c>
    </row>
    <row r="551" spans="1:15" x14ac:dyDescent="0.45">
      <c r="A551" t="s">
        <v>584</v>
      </c>
      <c r="B551">
        <v>54.59</v>
      </c>
      <c r="C551" t="s">
        <v>16</v>
      </c>
      <c r="D551" t="s">
        <v>17</v>
      </c>
      <c r="E551" t="s">
        <v>18</v>
      </c>
      <c r="F551" t="s">
        <v>19</v>
      </c>
      <c r="G551" t="s">
        <v>20</v>
      </c>
      <c r="H551" t="s">
        <v>21</v>
      </c>
      <c r="I551" t="s">
        <v>21</v>
      </c>
      <c r="J551" t="s">
        <v>27</v>
      </c>
      <c r="K551">
        <v>7</v>
      </c>
      <c r="L551">
        <v>234.433333333333</v>
      </c>
      <c r="M551" t="s">
        <v>30</v>
      </c>
      <c r="N551" t="str">
        <f>_xlfn.XLOOKUP(A551,[1]!brca_metabric_clinical_data__2[Patient ID], [1]!brca_metabric_clinical_data__2[Tumor Size])</f>
        <v>11</v>
      </c>
      <c r="O551" t="str">
        <f>_xlfn.XLOOKUP(A551,[1]!brca_metabric_clinical_data__2[Sample ID],[1]!brca_metabric_clinical_data__2[Tumor Stage])</f>
        <v>2</v>
      </c>
    </row>
    <row r="552" spans="1:15" x14ac:dyDescent="0.45">
      <c r="A552" t="s">
        <v>585</v>
      </c>
      <c r="B552">
        <v>47.94</v>
      </c>
      <c r="C552" t="s">
        <v>16</v>
      </c>
      <c r="D552" t="s">
        <v>26</v>
      </c>
      <c r="E552" t="s">
        <v>37</v>
      </c>
      <c r="F552" t="s">
        <v>19</v>
      </c>
      <c r="G552" t="s">
        <v>21</v>
      </c>
      <c r="H552" t="s">
        <v>20</v>
      </c>
      <c r="I552" t="s">
        <v>20</v>
      </c>
      <c r="J552" t="s">
        <v>58</v>
      </c>
      <c r="K552">
        <v>10</v>
      </c>
      <c r="L552">
        <v>278.26666666666699</v>
      </c>
      <c r="M552" t="s">
        <v>24</v>
      </c>
      <c r="N552" t="str">
        <f>_xlfn.XLOOKUP(A552,[1]!brca_metabric_clinical_data__2[Patient ID], [1]!brca_metabric_clinical_data__2[Tumor Size])</f>
        <v>20</v>
      </c>
      <c r="O552" t="str">
        <f>_xlfn.XLOOKUP(A552,[1]!brca_metabric_clinical_data__2[Sample ID],[1]!brca_metabric_clinical_data__2[Tumor Stage])</f>
        <v>2</v>
      </c>
    </row>
    <row r="553" spans="1:15" x14ac:dyDescent="0.45">
      <c r="A553" t="s">
        <v>586</v>
      </c>
      <c r="B553">
        <v>44.82</v>
      </c>
      <c r="C553" t="s">
        <v>16</v>
      </c>
      <c r="D553" t="s">
        <v>26</v>
      </c>
      <c r="E553" t="s">
        <v>37</v>
      </c>
      <c r="F553" t="s">
        <v>35</v>
      </c>
      <c r="G553" t="s">
        <v>20</v>
      </c>
      <c r="H553" t="s">
        <v>20</v>
      </c>
      <c r="I553" t="s">
        <v>21</v>
      </c>
      <c r="J553" t="s">
        <v>27</v>
      </c>
      <c r="K553">
        <v>7</v>
      </c>
      <c r="L553">
        <v>251.63333333333301</v>
      </c>
      <c r="M553" t="s">
        <v>24</v>
      </c>
      <c r="N553" t="str">
        <f>_xlfn.XLOOKUP(A553,[1]!brca_metabric_clinical_data__2[Patient ID], [1]!brca_metabric_clinical_data__2[Tumor Size])</f>
        <v>9</v>
      </c>
      <c r="O553" t="str">
        <f>_xlfn.XLOOKUP(A553,[1]!brca_metabric_clinical_data__2[Sample ID],[1]!brca_metabric_clinical_data__2[Tumor Stage])</f>
        <v>1</v>
      </c>
    </row>
    <row r="554" spans="1:15" x14ac:dyDescent="0.45">
      <c r="A554" t="s">
        <v>587</v>
      </c>
      <c r="B554">
        <v>60.59</v>
      </c>
      <c r="C554" t="s">
        <v>16</v>
      </c>
      <c r="D554" t="s">
        <v>17</v>
      </c>
      <c r="E554" t="s">
        <v>37</v>
      </c>
      <c r="F554" t="s">
        <v>19</v>
      </c>
      <c r="G554" t="s">
        <v>20</v>
      </c>
      <c r="H554" t="s">
        <v>20</v>
      </c>
      <c r="I554" t="s">
        <v>20</v>
      </c>
      <c r="J554" t="s">
        <v>22</v>
      </c>
      <c r="K554" t="s">
        <v>39</v>
      </c>
      <c r="L554">
        <v>108.066666666667</v>
      </c>
      <c r="M554" t="s">
        <v>30</v>
      </c>
      <c r="N554" t="str">
        <f>_xlfn.XLOOKUP(A554,[1]!brca_metabric_clinical_data__2[Patient ID], [1]!brca_metabric_clinical_data__2[Tumor Size])</f>
        <v>8</v>
      </c>
      <c r="O554" t="str">
        <f>_xlfn.XLOOKUP(A554,[1]!brca_metabric_clinical_data__2[Sample ID],[1]!brca_metabric_clinical_data__2[Tumor Stage])</f>
        <v>1</v>
      </c>
    </row>
    <row r="555" spans="1:15" x14ac:dyDescent="0.45">
      <c r="A555" t="s">
        <v>588</v>
      </c>
      <c r="B555">
        <v>44.88</v>
      </c>
      <c r="C555" t="s">
        <v>16</v>
      </c>
      <c r="D555" t="s">
        <v>26</v>
      </c>
      <c r="E555" t="s">
        <v>18</v>
      </c>
      <c r="F555" t="s">
        <v>19</v>
      </c>
      <c r="G555" t="s">
        <v>20</v>
      </c>
      <c r="H555" t="s">
        <v>21</v>
      </c>
      <c r="I555" t="s">
        <v>21</v>
      </c>
      <c r="J555" t="s">
        <v>27</v>
      </c>
      <c r="K555" t="s">
        <v>23</v>
      </c>
      <c r="L555">
        <v>236.933333333333</v>
      </c>
      <c r="M555" t="s">
        <v>24</v>
      </c>
      <c r="N555" t="str">
        <f>_xlfn.XLOOKUP(A555,[1]!brca_metabric_clinical_data__2[Patient ID], [1]!brca_metabric_clinical_data__2[Tumor Size])</f>
        <v>15</v>
      </c>
      <c r="O555" t="str">
        <f>_xlfn.XLOOKUP(A555,[1]!brca_metabric_clinical_data__2[Sample ID],[1]!brca_metabric_clinical_data__2[Tumor Stage])</f>
        <v>2</v>
      </c>
    </row>
    <row r="556" spans="1:15" x14ac:dyDescent="0.45">
      <c r="A556" t="s">
        <v>589</v>
      </c>
      <c r="B556">
        <v>28.62</v>
      </c>
      <c r="C556" t="s">
        <v>16</v>
      </c>
      <c r="D556" t="s">
        <v>26</v>
      </c>
      <c r="E556" t="s">
        <v>37</v>
      </c>
      <c r="F556" t="s">
        <v>19</v>
      </c>
      <c r="G556" t="s">
        <v>21</v>
      </c>
      <c r="H556" t="s">
        <v>20</v>
      </c>
      <c r="I556" t="s">
        <v>21</v>
      </c>
      <c r="J556" t="s">
        <v>29</v>
      </c>
      <c r="K556">
        <v>9</v>
      </c>
      <c r="L556">
        <v>51.4</v>
      </c>
      <c r="M556" t="s">
        <v>30</v>
      </c>
      <c r="N556" t="str">
        <f>_xlfn.XLOOKUP(A556,[1]!brca_metabric_clinical_data__2[Patient ID], [1]!brca_metabric_clinical_data__2[Tumor Size])</f>
        <v>40</v>
      </c>
      <c r="O556" t="str">
        <f>_xlfn.XLOOKUP(A556,[1]!brca_metabric_clinical_data__2[Sample ID],[1]!brca_metabric_clinical_data__2[Tumor Stage])</f>
        <v>3</v>
      </c>
    </row>
    <row r="557" spans="1:15" x14ac:dyDescent="0.45">
      <c r="A557" t="s">
        <v>590</v>
      </c>
      <c r="B557">
        <v>61.99</v>
      </c>
      <c r="C557" t="s">
        <v>16</v>
      </c>
      <c r="D557" t="s">
        <v>17</v>
      </c>
      <c r="E557" t="s">
        <v>18</v>
      </c>
      <c r="F557" t="s">
        <v>19</v>
      </c>
      <c r="G557" t="s">
        <v>20</v>
      </c>
      <c r="H557" t="s">
        <v>21</v>
      </c>
      <c r="I557" t="s">
        <v>21</v>
      </c>
      <c r="J557" t="s">
        <v>29</v>
      </c>
      <c r="K557">
        <v>1</v>
      </c>
      <c r="L557">
        <v>133.73333333333301</v>
      </c>
      <c r="M557" t="s">
        <v>24</v>
      </c>
      <c r="N557" t="str">
        <f>_xlfn.XLOOKUP(A557,[1]!brca_metabric_clinical_data__2[Patient ID], [1]!brca_metabric_clinical_data__2[Tumor Size])</f>
        <v>35</v>
      </c>
      <c r="O557" t="str">
        <f>_xlfn.XLOOKUP(A557,[1]!brca_metabric_clinical_data__2[Sample ID],[1]!brca_metabric_clinical_data__2[Tumor Stage])</f>
        <v>3</v>
      </c>
    </row>
    <row r="558" spans="1:15" x14ac:dyDescent="0.45">
      <c r="A558" t="s">
        <v>591</v>
      </c>
      <c r="B558">
        <v>49.94</v>
      </c>
      <c r="C558" t="s">
        <v>16</v>
      </c>
      <c r="D558" t="s">
        <v>26</v>
      </c>
      <c r="E558" t="s">
        <v>37</v>
      </c>
      <c r="F558" t="s">
        <v>43</v>
      </c>
      <c r="G558" t="s">
        <v>21</v>
      </c>
      <c r="H558" t="s">
        <v>20</v>
      </c>
      <c r="I558" t="s">
        <v>21</v>
      </c>
      <c r="J558" t="s">
        <v>29</v>
      </c>
      <c r="K558">
        <v>6</v>
      </c>
      <c r="L558">
        <v>274.5</v>
      </c>
      <c r="M558" t="s">
        <v>24</v>
      </c>
      <c r="N558" t="str">
        <f>_xlfn.XLOOKUP(A558,[1]!brca_metabric_clinical_data__2[Patient ID], [1]!brca_metabric_clinical_data__2[Tumor Size])</f>
        <v>12</v>
      </c>
      <c r="O558" t="str">
        <f>_xlfn.XLOOKUP(A558,[1]!brca_metabric_clinical_data__2[Sample ID],[1]!brca_metabric_clinical_data__2[Tumor Stage])</f>
        <v>2</v>
      </c>
    </row>
    <row r="559" spans="1:15" x14ac:dyDescent="0.45">
      <c r="A559" t="s">
        <v>592</v>
      </c>
      <c r="B559">
        <v>48.25</v>
      </c>
      <c r="C559" t="s">
        <v>16</v>
      </c>
      <c r="D559" t="s">
        <v>26</v>
      </c>
      <c r="E559" t="s">
        <v>37</v>
      </c>
      <c r="F559" t="s">
        <v>43</v>
      </c>
      <c r="G559" t="s">
        <v>21</v>
      </c>
      <c r="H559" t="s">
        <v>20</v>
      </c>
      <c r="I559" t="s">
        <v>21</v>
      </c>
      <c r="J559" t="s">
        <v>45</v>
      </c>
      <c r="K559">
        <v>5</v>
      </c>
      <c r="L559">
        <v>24.9</v>
      </c>
      <c r="M559" t="s">
        <v>30</v>
      </c>
      <c r="N559" t="str">
        <f>_xlfn.XLOOKUP(A559,[1]!brca_metabric_clinical_data__2[Patient ID], [1]!brca_metabric_clinical_data__2[Tumor Size])</f>
        <v>15</v>
      </c>
      <c r="O559" t="str">
        <f>_xlfn.XLOOKUP(A559,[1]!brca_metabric_clinical_data__2[Sample ID],[1]!brca_metabric_clinical_data__2[Tumor Stage])</f>
        <v>2</v>
      </c>
    </row>
    <row r="560" spans="1:15" x14ac:dyDescent="0.45">
      <c r="A560" t="s">
        <v>593</v>
      </c>
      <c r="B560">
        <v>45.57</v>
      </c>
      <c r="C560" t="s">
        <v>16</v>
      </c>
      <c r="D560" t="s">
        <v>26</v>
      </c>
      <c r="E560" t="s">
        <v>18</v>
      </c>
      <c r="F560" t="s">
        <v>19</v>
      </c>
      <c r="G560" t="s">
        <v>20</v>
      </c>
      <c r="H560" t="s">
        <v>21</v>
      </c>
      <c r="I560" t="s">
        <v>21</v>
      </c>
      <c r="J560" t="s">
        <v>38</v>
      </c>
      <c r="K560" t="s">
        <v>23</v>
      </c>
      <c r="L560">
        <v>275.63333333333298</v>
      </c>
      <c r="M560" t="s">
        <v>24</v>
      </c>
      <c r="N560" t="str">
        <f>_xlfn.XLOOKUP(A560,[1]!brca_metabric_clinical_data__2[Patient ID], [1]!brca_metabric_clinical_data__2[Tumor Size])</f>
        <v>30</v>
      </c>
      <c r="O560" t="str">
        <f>_xlfn.XLOOKUP(A560,[1]!brca_metabric_clinical_data__2[Sample ID],[1]!brca_metabric_clinical_data__2[Tumor Stage])</f>
        <v>1</v>
      </c>
    </row>
    <row r="561" spans="1:15" x14ac:dyDescent="0.45">
      <c r="A561" t="s">
        <v>594</v>
      </c>
      <c r="B561">
        <v>46.85</v>
      </c>
      <c r="C561" t="s">
        <v>16</v>
      </c>
      <c r="D561" t="s">
        <v>26</v>
      </c>
      <c r="E561" t="s">
        <v>18</v>
      </c>
      <c r="F561" t="s">
        <v>19</v>
      </c>
      <c r="G561" t="s">
        <v>20</v>
      </c>
      <c r="H561" t="s">
        <v>21</v>
      </c>
      <c r="I561" t="s">
        <v>21</v>
      </c>
      <c r="J561" t="s">
        <v>27</v>
      </c>
      <c r="K561">
        <v>8</v>
      </c>
      <c r="L561">
        <v>168.96666666666701</v>
      </c>
      <c r="M561" t="s">
        <v>30</v>
      </c>
      <c r="N561" t="str">
        <f>_xlfn.XLOOKUP(A561,[1]!brca_metabric_clinical_data__2[Patient ID], [1]!brca_metabric_clinical_data__2[Tumor Size])</f>
        <v>30</v>
      </c>
      <c r="O561" t="str">
        <f>_xlfn.XLOOKUP(A561,[1]!brca_metabric_clinical_data__2[Sample ID],[1]!brca_metabric_clinical_data__2[Tumor Stage])</f>
        <v>2</v>
      </c>
    </row>
    <row r="562" spans="1:15" x14ac:dyDescent="0.45">
      <c r="A562" t="s">
        <v>595</v>
      </c>
      <c r="B562">
        <v>68.23</v>
      </c>
      <c r="C562" t="s">
        <v>16</v>
      </c>
      <c r="D562" t="s">
        <v>17</v>
      </c>
      <c r="E562" t="s">
        <v>18</v>
      </c>
      <c r="F562" t="s">
        <v>19</v>
      </c>
      <c r="G562" t="s">
        <v>20</v>
      </c>
      <c r="H562" t="s">
        <v>20</v>
      </c>
      <c r="I562" t="s">
        <v>20</v>
      </c>
      <c r="J562" t="s">
        <v>27</v>
      </c>
      <c r="K562">
        <v>8</v>
      </c>
      <c r="L562">
        <v>234.333333333333</v>
      </c>
      <c r="M562" t="s">
        <v>30</v>
      </c>
      <c r="N562" t="str">
        <f>_xlfn.XLOOKUP(A562,[1]!brca_metabric_clinical_data__2[Patient ID], [1]!brca_metabric_clinical_data__2[Tumor Size])</f>
        <v>19</v>
      </c>
      <c r="O562" t="str">
        <f>_xlfn.XLOOKUP(A562,[1]!brca_metabric_clinical_data__2[Sample ID],[1]!brca_metabric_clinical_data__2[Tumor Stage])</f>
        <v>1</v>
      </c>
    </row>
    <row r="563" spans="1:15" x14ac:dyDescent="0.45">
      <c r="A563" t="s">
        <v>596</v>
      </c>
      <c r="B563">
        <v>60.13</v>
      </c>
      <c r="C563" t="s">
        <v>16</v>
      </c>
      <c r="D563" t="s">
        <v>17</v>
      </c>
      <c r="E563" t="s">
        <v>18</v>
      </c>
      <c r="F563" t="s">
        <v>19</v>
      </c>
      <c r="G563" t="s">
        <v>20</v>
      </c>
      <c r="H563" t="s">
        <v>20</v>
      </c>
      <c r="I563" t="s">
        <v>20</v>
      </c>
      <c r="J563" t="s">
        <v>27</v>
      </c>
      <c r="K563">
        <v>3</v>
      </c>
      <c r="L563">
        <v>97.766666666666694</v>
      </c>
      <c r="M563" t="s">
        <v>30</v>
      </c>
      <c r="N563" t="str">
        <f>_xlfn.XLOOKUP(A563,[1]!brca_metabric_clinical_data__2[Patient ID], [1]!brca_metabric_clinical_data__2[Tumor Size])</f>
        <v>13</v>
      </c>
      <c r="O563" t="str">
        <f>_xlfn.XLOOKUP(A563,[1]!brca_metabric_clinical_data__2[Sample ID],[1]!brca_metabric_clinical_data__2[Tumor Stage])</f>
        <v>1</v>
      </c>
    </row>
    <row r="564" spans="1:15" x14ac:dyDescent="0.45">
      <c r="A564" t="s">
        <v>597</v>
      </c>
      <c r="B564">
        <v>47.48</v>
      </c>
      <c r="C564" t="s">
        <v>16</v>
      </c>
      <c r="D564" t="s">
        <v>26</v>
      </c>
      <c r="E564" t="s">
        <v>18</v>
      </c>
      <c r="F564" t="s">
        <v>43</v>
      </c>
      <c r="G564" t="s">
        <v>20</v>
      </c>
      <c r="H564" t="s">
        <v>20</v>
      </c>
      <c r="I564" t="s">
        <v>20</v>
      </c>
      <c r="J564" t="s">
        <v>27</v>
      </c>
      <c r="K564">
        <v>8</v>
      </c>
      <c r="L564">
        <v>145.433333333333</v>
      </c>
      <c r="M564" t="s">
        <v>30</v>
      </c>
      <c r="N564" t="str">
        <f>_xlfn.XLOOKUP(A564,[1]!brca_metabric_clinical_data__2[Patient ID], [1]!brca_metabric_clinical_data__2[Tumor Size])</f>
        <v>30</v>
      </c>
      <c r="O564" t="str">
        <f>_xlfn.XLOOKUP(A564,[1]!brca_metabric_clinical_data__2[Sample ID],[1]!brca_metabric_clinical_data__2[Tumor Stage])</f>
        <v>1</v>
      </c>
    </row>
    <row r="565" spans="1:15" x14ac:dyDescent="0.45">
      <c r="A565" t="s">
        <v>598</v>
      </c>
      <c r="B565">
        <v>51.36</v>
      </c>
      <c r="C565" t="s">
        <v>16</v>
      </c>
      <c r="D565" t="s">
        <v>17</v>
      </c>
      <c r="E565" t="s">
        <v>18</v>
      </c>
      <c r="F565" t="s">
        <v>19</v>
      </c>
      <c r="G565" t="s">
        <v>20</v>
      </c>
      <c r="H565" t="s">
        <v>21</v>
      </c>
      <c r="I565" t="s">
        <v>20</v>
      </c>
      <c r="J565" t="s">
        <v>27</v>
      </c>
      <c r="K565">
        <v>7</v>
      </c>
      <c r="L565">
        <v>81.933333333333294</v>
      </c>
      <c r="M565" t="s">
        <v>30</v>
      </c>
      <c r="N565" t="str">
        <f>_xlfn.XLOOKUP(A565,[1]!brca_metabric_clinical_data__2[Patient ID], [1]!brca_metabric_clinical_data__2[Tumor Size])</f>
        <v>35</v>
      </c>
      <c r="O565" t="str">
        <f>_xlfn.XLOOKUP(A565,[1]!brca_metabric_clinical_data__2[Sample ID],[1]!brca_metabric_clinical_data__2[Tumor Stage])</f>
        <v>1</v>
      </c>
    </row>
    <row r="566" spans="1:15" x14ac:dyDescent="0.45">
      <c r="A566" t="s">
        <v>599</v>
      </c>
      <c r="B566">
        <v>30.95</v>
      </c>
      <c r="C566" t="s">
        <v>16</v>
      </c>
      <c r="D566" t="s">
        <v>26</v>
      </c>
      <c r="E566" t="s">
        <v>37</v>
      </c>
      <c r="F566" t="s">
        <v>43</v>
      </c>
      <c r="G566" t="s">
        <v>21</v>
      </c>
      <c r="H566" t="s">
        <v>20</v>
      </c>
      <c r="I566" t="s">
        <v>21</v>
      </c>
      <c r="J566" t="s">
        <v>58</v>
      </c>
      <c r="K566">
        <v>10</v>
      </c>
      <c r="L566">
        <v>274.39999999999998</v>
      </c>
      <c r="M566" t="s">
        <v>24</v>
      </c>
      <c r="N566" t="str">
        <f>_xlfn.XLOOKUP(A566,[1]!brca_metabric_clinical_data__2[Patient ID], [1]!brca_metabric_clinical_data__2[Tumor Size])</f>
        <v>37</v>
      </c>
      <c r="O566" t="str">
        <f>_xlfn.XLOOKUP(A566,[1]!brca_metabric_clinical_data__2[Sample ID],[1]!brca_metabric_clinical_data__2[Tumor Stage])</f>
        <v>2</v>
      </c>
    </row>
    <row r="567" spans="1:15" x14ac:dyDescent="0.45">
      <c r="A567" t="s">
        <v>600</v>
      </c>
      <c r="B567">
        <v>66.11</v>
      </c>
      <c r="C567" t="s">
        <v>16</v>
      </c>
      <c r="D567" t="s">
        <v>17</v>
      </c>
      <c r="E567" t="s">
        <v>37</v>
      </c>
      <c r="F567" t="s">
        <v>19</v>
      </c>
      <c r="G567" t="s">
        <v>20</v>
      </c>
      <c r="H567" t="s">
        <v>21</v>
      </c>
      <c r="I567" t="s">
        <v>20</v>
      </c>
      <c r="J567" t="s">
        <v>38</v>
      </c>
      <c r="K567">
        <v>3</v>
      </c>
      <c r="L567">
        <v>203.53333333333299</v>
      </c>
      <c r="M567" t="s">
        <v>30</v>
      </c>
      <c r="N567" t="str">
        <f>_xlfn.XLOOKUP(A567,[1]!brca_metabric_clinical_data__2[Patient ID], [1]!brca_metabric_clinical_data__2[Tumor Size])</f>
        <v>35</v>
      </c>
      <c r="O567" t="str">
        <f>_xlfn.XLOOKUP(A567,[1]!brca_metabric_clinical_data__2[Sample ID],[1]!brca_metabric_clinical_data__2[Tumor Stage])</f>
        <v>1</v>
      </c>
    </row>
    <row r="568" spans="1:15" x14ac:dyDescent="0.45">
      <c r="A568" t="s">
        <v>601</v>
      </c>
      <c r="B568">
        <v>38.159999999999997</v>
      </c>
      <c r="C568" t="s">
        <v>16</v>
      </c>
      <c r="D568" t="s">
        <v>26</v>
      </c>
      <c r="E568" t="s">
        <v>37</v>
      </c>
      <c r="F568" t="s">
        <v>43</v>
      </c>
      <c r="G568" t="s">
        <v>21</v>
      </c>
      <c r="H568" t="s">
        <v>20</v>
      </c>
      <c r="I568" t="s">
        <v>20</v>
      </c>
      <c r="J568" t="s">
        <v>22</v>
      </c>
      <c r="K568" t="s">
        <v>39</v>
      </c>
      <c r="L568">
        <v>35</v>
      </c>
      <c r="M568" t="s">
        <v>30</v>
      </c>
      <c r="N568" t="str">
        <f>_xlfn.XLOOKUP(A568,[1]!brca_metabric_clinical_data__2[Patient ID], [1]!brca_metabric_clinical_data__2[Tumor Size])</f>
        <v>45</v>
      </c>
      <c r="O568" t="str">
        <f>_xlfn.XLOOKUP(A568,[1]!brca_metabric_clinical_data__2[Sample ID],[1]!brca_metabric_clinical_data__2[Tumor Stage])</f>
        <v>3</v>
      </c>
    </row>
    <row r="569" spans="1:15" x14ac:dyDescent="0.45">
      <c r="A569" t="s">
        <v>602</v>
      </c>
      <c r="B569">
        <v>63.1</v>
      </c>
      <c r="C569" t="s">
        <v>16</v>
      </c>
      <c r="D569" t="s">
        <v>17</v>
      </c>
      <c r="E569" t="s">
        <v>18</v>
      </c>
      <c r="F569" t="s">
        <v>19</v>
      </c>
      <c r="G569" t="s">
        <v>20</v>
      </c>
      <c r="H569" t="s">
        <v>21</v>
      </c>
      <c r="I569" t="s">
        <v>21</v>
      </c>
      <c r="J569" t="s">
        <v>29</v>
      </c>
      <c r="K569">
        <v>7</v>
      </c>
      <c r="L569">
        <v>118.033333333333</v>
      </c>
      <c r="M569" t="s">
        <v>30</v>
      </c>
      <c r="N569" t="str">
        <f>_xlfn.XLOOKUP(A569,[1]!brca_metabric_clinical_data__2[Patient ID], [1]!brca_metabric_clinical_data__2[Tumor Size])</f>
        <v>15</v>
      </c>
      <c r="O569" t="str">
        <f>_xlfn.XLOOKUP(A569,[1]!brca_metabric_clinical_data__2[Sample ID],[1]!brca_metabric_clinical_data__2[Tumor Stage])</f>
        <v>2</v>
      </c>
    </row>
    <row r="570" spans="1:15" x14ac:dyDescent="0.45">
      <c r="A570" t="s">
        <v>603</v>
      </c>
      <c r="B570">
        <v>70.319999999999993</v>
      </c>
      <c r="C570" t="s">
        <v>16</v>
      </c>
      <c r="D570" t="s">
        <v>17</v>
      </c>
      <c r="E570" t="s">
        <v>18</v>
      </c>
      <c r="F570" t="s">
        <v>19</v>
      </c>
      <c r="G570" t="s">
        <v>20</v>
      </c>
      <c r="H570" t="s">
        <v>21</v>
      </c>
      <c r="I570" t="s">
        <v>20</v>
      </c>
      <c r="J570" t="s">
        <v>29</v>
      </c>
      <c r="K570" t="s">
        <v>23</v>
      </c>
      <c r="L570">
        <v>275.60000000000002</v>
      </c>
      <c r="M570" t="s">
        <v>24</v>
      </c>
      <c r="N570" t="str">
        <f>_xlfn.XLOOKUP(A570,[1]!brca_metabric_clinical_data__2[Patient ID], [1]!brca_metabric_clinical_data__2[Tumor Size])</f>
        <v>26</v>
      </c>
      <c r="O570" t="str">
        <f>_xlfn.XLOOKUP(A570,[1]!brca_metabric_clinical_data__2[Sample ID],[1]!brca_metabric_clinical_data__2[Tumor Stage])</f>
        <v>1</v>
      </c>
    </row>
    <row r="571" spans="1:15" x14ac:dyDescent="0.45">
      <c r="A571" t="s">
        <v>604</v>
      </c>
      <c r="B571">
        <v>57.48</v>
      </c>
      <c r="C571" t="s">
        <v>16</v>
      </c>
      <c r="D571" t="s">
        <v>17</v>
      </c>
      <c r="E571" t="s">
        <v>18</v>
      </c>
      <c r="F571" t="s">
        <v>19</v>
      </c>
      <c r="G571" t="s">
        <v>20</v>
      </c>
      <c r="H571" t="s">
        <v>21</v>
      </c>
      <c r="I571" t="s">
        <v>21</v>
      </c>
      <c r="J571" t="s">
        <v>22</v>
      </c>
      <c r="K571" t="s">
        <v>23</v>
      </c>
      <c r="L571">
        <v>270.13333333333298</v>
      </c>
      <c r="M571" t="s">
        <v>30</v>
      </c>
      <c r="N571" t="str">
        <f>_xlfn.XLOOKUP(A571,[1]!brca_metabric_clinical_data__2[Patient ID], [1]!brca_metabric_clinical_data__2[Tumor Size])</f>
        <v>15</v>
      </c>
      <c r="O571" t="str">
        <f>_xlfn.XLOOKUP(A571,[1]!brca_metabric_clinical_data__2[Sample ID],[1]!brca_metabric_clinical_data__2[Tumor Stage])</f>
        <v>2</v>
      </c>
    </row>
    <row r="572" spans="1:15" x14ac:dyDescent="0.45">
      <c r="A572" t="s">
        <v>605</v>
      </c>
      <c r="B572">
        <v>65.790000000000006</v>
      </c>
      <c r="C572" t="s">
        <v>16</v>
      </c>
      <c r="D572" t="s">
        <v>17</v>
      </c>
      <c r="E572" t="s">
        <v>18</v>
      </c>
      <c r="F572" t="s">
        <v>43</v>
      </c>
      <c r="G572" t="s">
        <v>20</v>
      </c>
      <c r="H572" t="s">
        <v>21</v>
      </c>
      <c r="I572" t="s">
        <v>21</v>
      </c>
      <c r="J572" t="s">
        <v>22</v>
      </c>
      <c r="K572">
        <v>3</v>
      </c>
      <c r="L572">
        <v>227.86666666666699</v>
      </c>
      <c r="M572" t="s">
        <v>30</v>
      </c>
      <c r="N572" t="str">
        <f>_xlfn.XLOOKUP(A572,[1]!brca_metabric_clinical_data__2[Patient ID], [1]!brca_metabric_clinical_data__2[Tumor Size])</f>
        <v>17</v>
      </c>
      <c r="O572" t="str">
        <f>_xlfn.XLOOKUP(A572,[1]!brca_metabric_clinical_data__2[Sample ID],[1]!brca_metabric_clinical_data__2[Tumor Stage])</f>
        <v>1</v>
      </c>
    </row>
    <row r="573" spans="1:15" x14ac:dyDescent="0.45">
      <c r="A573" t="s">
        <v>606</v>
      </c>
      <c r="B573">
        <v>53.11</v>
      </c>
      <c r="C573" t="s">
        <v>16</v>
      </c>
      <c r="D573" t="s">
        <v>17</v>
      </c>
      <c r="E573" t="s">
        <v>18</v>
      </c>
      <c r="F573" t="s">
        <v>19</v>
      </c>
      <c r="G573" t="s">
        <v>20</v>
      </c>
      <c r="H573" t="s">
        <v>21</v>
      </c>
      <c r="I573" t="s">
        <v>21</v>
      </c>
      <c r="J573" t="s">
        <v>29</v>
      </c>
      <c r="K573">
        <v>2</v>
      </c>
      <c r="L573">
        <v>271.33333333333297</v>
      </c>
      <c r="M573" t="s">
        <v>24</v>
      </c>
      <c r="N573" t="str">
        <f>_xlfn.XLOOKUP(A573,[1]!brca_metabric_clinical_data__2[Patient ID], [1]!brca_metabric_clinical_data__2[Tumor Size])</f>
        <v>21</v>
      </c>
      <c r="O573" t="str">
        <f>_xlfn.XLOOKUP(A573,[1]!brca_metabric_clinical_data__2[Sample ID],[1]!brca_metabric_clinical_data__2[Tumor Stage])</f>
        <v>2</v>
      </c>
    </row>
    <row r="574" spans="1:15" x14ac:dyDescent="0.45">
      <c r="A574" t="s">
        <v>607</v>
      </c>
      <c r="B574">
        <v>59.9</v>
      </c>
      <c r="C574" t="s">
        <v>16</v>
      </c>
      <c r="D574" t="s">
        <v>17</v>
      </c>
      <c r="E574" t="s">
        <v>18</v>
      </c>
      <c r="F574" t="s">
        <v>19</v>
      </c>
      <c r="G574" t="s">
        <v>20</v>
      </c>
      <c r="H574" t="s">
        <v>20</v>
      </c>
      <c r="I574" t="s">
        <v>21</v>
      </c>
      <c r="J574" t="s">
        <v>29</v>
      </c>
      <c r="K574">
        <v>7</v>
      </c>
      <c r="L574">
        <v>160</v>
      </c>
      <c r="M574" t="s">
        <v>24</v>
      </c>
      <c r="N574" t="str">
        <f>_xlfn.XLOOKUP(A574,[1]!brca_metabric_clinical_data__2[Patient ID], [1]!brca_metabric_clinical_data__2[Tumor Size])</f>
        <v>15</v>
      </c>
      <c r="O574" t="str">
        <f>_xlfn.XLOOKUP(A574,[1]!brca_metabric_clinical_data__2[Sample ID],[1]!brca_metabric_clinical_data__2[Tumor Stage])</f>
        <v>1</v>
      </c>
    </row>
    <row r="575" spans="1:15" x14ac:dyDescent="0.45">
      <c r="A575" t="s">
        <v>608</v>
      </c>
      <c r="B575">
        <v>60.32</v>
      </c>
      <c r="C575" t="s">
        <v>16</v>
      </c>
      <c r="D575" t="s">
        <v>17</v>
      </c>
      <c r="E575" t="s">
        <v>18</v>
      </c>
      <c r="F575" t="s">
        <v>19</v>
      </c>
      <c r="G575" t="s">
        <v>20</v>
      </c>
      <c r="H575" t="s">
        <v>21</v>
      </c>
      <c r="I575" t="s">
        <v>20</v>
      </c>
      <c r="J575" t="s">
        <v>27</v>
      </c>
      <c r="K575">
        <v>8</v>
      </c>
      <c r="L575">
        <v>274.36666666666702</v>
      </c>
      <c r="M575" t="s">
        <v>24</v>
      </c>
      <c r="N575" t="str">
        <f>_xlfn.XLOOKUP(A575,[1]!brca_metabric_clinical_data__2[Patient ID], [1]!brca_metabric_clinical_data__2[Tumor Size])</f>
        <v>45</v>
      </c>
      <c r="O575" t="str">
        <f>_xlfn.XLOOKUP(A575,[1]!brca_metabric_clinical_data__2[Sample ID],[1]!brca_metabric_clinical_data__2[Tumor Stage])</f>
        <v>3</v>
      </c>
    </row>
    <row r="576" spans="1:15" x14ac:dyDescent="0.45">
      <c r="A576" t="s">
        <v>609</v>
      </c>
      <c r="B576">
        <v>56.79</v>
      </c>
      <c r="C576" t="s">
        <v>16</v>
      </c>
      <c r="D576" t="s">
        <v>17</v>
      </c>
      <c r="E576" t="s">
        <v>18</v>
      </c>
      <c r="F576" t="s">
        <v>35</v>
      </c>
      <c r="G576" t="s">
        <v>20</v>
      </c>
      <c r="H576" t="s">
        <v>21</v>
      </c>
      <c r="I576" t="s">
        <v>21</v>
      </c>
      <c r="J576" t="s">
        <v>58</v>
      </c>
      <c r="K576">
        <v>10</v>
      </c>
      <c r="L576">
        <v>44.8333333333333</v>
      </c>
      <c r="M576" t="s">
        <v>30</v>
      </c>
      <c r="N576" t="str">
        <f>_xlfn.XLOOKUP(A576,[1]!brca_metabric_clinical_data__2[Patient ID], [1]!brca_metabric_clinical_data__2[Tumor Size])</f>
        <v>16</v>
      </c>
      <c r="O576" t="str">
        <f>_xlfn.XLOOKUP(A576,[1]!brca_metabric_clinical_data__2[Sample ID],[1]!brca_metabric_clinical_data__2[Tumor Stage])</f>
        <v>1</v>
      </c>
    </row>
    <row r="577" spans="1:15" x14ac:dyDescent="0.45">
      <c r="A577" t="s">
        <v>610</v>
      </c>
      <c r="B577">
        <v>54.4</v>
      </c>
      <c r="C577" t="s">
        <v>16</v>
      </c>
      <c r="D577" t="s">
        <v>17</v>
      </c>
      <c r="E577" t="s">
        <v>18</v>
      </c>
      <c r="F577" t="s">
        <v>35</v>
      </c>
      <c r="G577" t="s">
        <v>20</v>
      </c>
      <c r="H577" t="s">
        <v>21</v>
      </c>
      <c r="I577" t="s">
        <v>21</v>
      </c>
      <c r="J577" t="s">
        <v>29</v>
      </c>
      <c r="K577">
        <v>6</v>
      </c>
      <c r="L577">
        <v>150.73333333333301</v>
      </c>
      <c r="M577" t="s">
        <v>30</v>
      </c>
      <c r="N577" t="str">
        <f>_xlfn.XLOOKUP(A577,[1]!brca_metabric_clinical_data__2[Patient ID], [1]!brca_metabric_clinical_data__2[Tumor Size])</f>
        <v>17</v>
      </c>
      <c r="O577" t="str">
        <f>_xlfn.XLOOKUP(A577,[1]!brca_metabric_clinical_data__2[Sample ID],[1]!brca_metabric_clinical_data__2[Tumor Stage])</f>
        <v>1</v>
      </c>
    </row>
    <row r="578" spans="1:15" x14ac:dyDescent="0.45">
      <c r="A578" t="s">
        <v>611</v>
      </c>
      <c r="B578">
        <v>66.06</v>
      </c>
      <c r="C578" t="s">
        <v>16</v>
      </c>
      <c r="D578" t="s">
        <v>17</v>
      </c>
      <c r="E578" t="s">
        <v>18</v>
      </c>
      <c r="F578" t="s">
        <v>35</v>
      </c>
      <c r="G578" t="s">
        <v>20</v>
      </c>
      <c r="H578" t="s">
        <v>21</v>
      </c>
      <c r="I578" t="s">
        <v>20</v>
      </c>
      <c r="J578" t="s">
        <v>29</v>
      </c>
      <c r="K578">
        <v>7</v>
      </c>
      <c r="L578">
        <v>131.666666666667</v>
      </c>
      <c r="M578" t="s">
        <v>30</v>
      </c>
      <c r="N578" t="str">
        <f>_xlfn.XLOOKUP(A578,[1]!brca_metabric_clinical_data__2[Patient ID], [1]!brca_metabric_clinical_data__2[Tumor Size])</f>
        <v>35</v>
      </c>
      <c r="O578" t="str">
        <f>_xlfn.XLOOKUP(A578,[1]!brca_metabric_clinical_data__2[Sample ID],[1]!brca_metabric_clinical_data__2[Tumor Stage])</f>
        <v>3</v>
      </c>
    </row>
    <row r="579" spans="1:15" x14ac:dyDescent="0.45">
      <c r="A579" t="s">
        <v>612</v>
      </c>
      <c r="B579">
        <v>62.76</v>
      </c>
      <c r="C579" t="s">
        <v>16</v>
      </c>
      <c r="D579" t="s">
        <v>17</v>
      </c>
      <c r="E579" t="s">
        <v>18</v>
      </c>
      <c r="F579" t="s">
        <v>19</v>
      </c>
      <c r="G579" t="s">
        <v>20</v>
      </c>
      <c r="H579" t="s">
        <v>21</v>
      </c>
      <c r="I579" t="s">
        <v>20</v>
      </c>
      <c r="J579" t="s">
        <v>613</v>
      </c>
      <c r="K579">
        <v>3</v>
      </c>
      <c r="L579">
        <v>181.23333333333301</v>
      </c>
      <c r="M579" t="s">
        <v>30</v>
      </c>
      <c r="N579" t="str">
        <f>_xlfn.XLOOKUP(A579,[1]!brca_metabric_clinical_data__2[Patient ID], [1]!brca_metabric_clinical_data__2[Tumor Size])</f>
        <v>17</v>
      </c>
      <c r="O579" t="str">
        <f>_xlfn.XLOOKUP(A579,[1]!brca_metabric_clinical_data__2[Sample ID],[1]!brca_metabric_clinical_data__2[Tumor Stage])</f>
        <v>2</v>
      </c>
    </row>
    <row r="580" spans="1:15" x14ac:dyDescent="0.45">
      <c r="A580" t="s">
        <v>614</v>
      </c>
      <c r="B580">
        <v>36.799999999999997</v>
      </c>
      <c r="C580" t="s">
        <v>16</v>
      </c>
      <c r="D580" t="s">
        <v>26</v>
      </c>
      <c r="E580" t="s">
        <v>18</v>
      </c>
      <c r="F580" t="s">
        <v>19</v>
      </c>
      <c r="G580" t="s">
        <v>20</v>
      </c>
      <c r="H580" t="s">
        <v>20</v>
      </c>
      <c r="I580" t="s">
        <v>21</v>
      </c>
      <c r="J580" t="s">
        <v>27</v>
      </c>
      <c r="K580">
        <v>10</v>
      </c>
      <c r="L580">
        <v>275.23333333333301</v>
      </c>
      <c r="M580" t="s">
        <v>24</v>
      </c>
      <c r="N580" t="str">
        <f>_xlfn.XLOOKUP(A580,[1]!brca_metabric_clinical_data__2[Patient ID], [1]!brca_metabric_clinical_data__2[Tumor Size])</f>
        <v>20</v>
      </c>
      <c r="O580" t="str">
        <f>_xlfn.XLOOKUP(A580,[1]!brca_metabric_clinical_data__2[Sample ID],[1]!brca_metabric_clinical_data__2[Tumor Stage])</f>
        <v>1</v>
      </c>
    </row>
    <row r="581" spans="1:15" x14ac:dyDescent="0.45">
      <c r="A581" t="s">
        <v>615</v>
      </c>
      <c r="B581">
        <v>64.319999999999993</v>
      </c>
      <c r="C581" t="s">
        <v>16</v>
      </c>
      <c r="D581" t="s">
        <v>17</v>
      </c>
      <c r="E581" t="s">
        <v>18</v>
      </c>
      <c r="F581" t="s">
        <v>43</v>
      </c>
      <c r="G581" t="s">
        <v>20</v>
      </c>
      <c r="H581" t="s">
        <v>21</v>
      </c>
      <c r="I581" t="s">
        <v>20</v>
      </c>
      <c r="J581" t="s">
        <v>29</v>
      </c>
      <c r="K581">
        <v>1</v>
      </c>
      <c r="L581">
        <v>40.433333333333302</v>
      </c>
      <c r="M581" t="s">
        <v>30</v>
      </c>
      <c r="N581" t="str">
        <f>_xlfn.XLOOKUP(A581,[1]!brca_metabric_clinical_data__2[Patient ID], [1]!brca_metabric_clinical_data__2[Tumor Size])</f>
        <v>30</v>
      </c>
      <c r="O581" t="str">
        <f>_xlfn.XLOOKUP(A581,[1]!brca_metabric_clinical_data__2[Sample ID],[1]!brca_metabric_clinical_data__2[Tumor Stage])</f>
        <v>2</v>
      </c>
    </row>
    <row r="582" spans="1:15" x14ac:dyDescent="0.45">
      <c r="A582" t="s">
        <v>616</v>
      </c>
      <c r="B582">
        <v>62.36</v>
      </c>
      <c r="C582" t="s">
        <v>16</v>
      </c>
      <c r="D582" t="s">
        <v>17</v>
      </c>
      <c r="E582" t="s">
        <v>18</v>
      </c>
      <c r="F582" t="s">
        <v>43</v>
      </c>
      <c r="G582" t="s">
        <v>20</v>
      </c>
      <c r="H582" t="s">
        <v>21</v>
      </c>
      <c r="I582" t="s">
        <v>21</v>
      </c>
      <c r="J582" t="s">
        <v>27</v>
      </c>
      <c r="K582">
        <v>5</v>
      </c>
      <c r="L582">
        <v>68.266666666666694</v>
      </c>
      <c r="M582" t="s">
        <v>30</v>
      </c>
      <c r="N582" t="str">
        <f>_xlfn.XLOOKUP(A582,[1]!brca_metabric_clinical_data__2[Patient ID], [1]!brca_metabric_clinical_data__2[Tumor Size])</f>
        <v>28</v>
      </c>
      <c r="O582" t="str">
        <f>_xlfn.XLOOKUP(A582,[1]!brca_metabric_clinical_data__2[Sample ID],[1]!brca_metabric_clinical_data__2[Tumor Stage])</f>
        <v>2</v>
      </c>
    </row>
    <row r="583" spans="1:15" x14ac:dyDescent="0.45">
      <c r="A583" t="s">
        <v>617</v>
      </c>
      <c r="B583">
        <v>47.03</v>
      </c>
      <c r="C583" t="s">
        <v>16</v>
      </c>
      <c r="D583" t="s">
        <v>26</v>
      </c>
      <c r="E583" t="s">
        <v>18</v>
      </c>
      <c r="F583" t="s">
        <v>19</v>
      </c>
      <c r="G583" t="s">
        <v>20</v>
      </c>
      <c r="H583" t="s">
        <v>20</v>
      </c>
      <c r="I583" t="s">
        <v>20</v>
      </c>
      <c r="J583" t="s">
        <v>27</v>
      </c>
      <c r="K583">
        <v>8</v>
      </c>
      <c r="L583">
        <v>116.933333333333</v>
      </c>
      <c r="M583" t="s">
        <v>24</v>
      </c>
      <c r="N583" t="str">
        <f>_xlfn.XLOOKUP(A583,[1]!brca_metabric_clinical_data__2[Patient ID], [1]!brca_metabric_clinical_data__2[Tumor Size])</f>
        <v>25</v>
      </c>
      <c r="O583" t="str">
        <f>_xlfn.XLOOKUP(A583,[1]!brca_metabric_clinical_data__2[Sample ID],[1]!brca_metabric_clinical_data__2[Tumor Stage])</f>
        <v>1</v>
      </c>
    </row>
    <row r="584" spans="1:15" x14ac:dyDescent="0.45">
      <c r="A584" t="s">
        <v>618</v>
      </c>
      <c r="B584">
        <v>40.79</v>
      </c>
      <c r="C584" t="s">
        <v>16</v>
      </c>
      <c r="D584" t="s">
        <v>26</v>
      </c>
      <c r="E584" t="s">
        <v>18</v>
      </c>
      <c r="F584" t="s">
        <v>19</v>
      </c>
      <c r="G584" t="s">
        <v>20</v>
      </c>
      <c r="H584" t="s">
        <v>20</v>
      </c>
      <c r="I584" t="s">
        <v>21</v>
      </c>
      <c r="J584" t="s">
        <v>27</v>
      </c>
      <c r="K584">
        <v>3</v>
      </c>
      <c r="L584">
        <v>271.933333333333</v>
      </c>
      <c r="M584" t="s">
        <v>24</v>
      </c>
      <c r="N584" t="str">
        <f>_xlfn.XLOOKUP(A584,[1]!brca_metabric_clinical_data__2[Patient ID], [1]!brca_metabric_clinical_data__2[Tumor Size])</f>
        <v>17</v>
      </c>
      <c r="O584" t="str">
        <f>_xlfn.XLOOKUP(A584,[1]!brca_metabric_clinical_data__2[Sample ID],[1]!brca_metabric_clinical_data__2[Tumor Stage])</f>
        <v>1</v>
      </c>
    </row>
    <row r="585" spans="1:15" x14ac:dyDescent="0.45">
      <c r="A585" t="s">
        <v>619</v>
      </c>
      <c r="B585">
        <v>50.38</v>
      </c>
      <c r="C585" t="s">
        <v>16</v>
      </c>
      <c r="D585" t="s">
        <v>17</v>
      </c>
      <c r="E585" t="s">
        <v>18</v>
      </c>
      <c r="F585" t="s">
        <v>43</v>
      </c>
      <c r="G585" t="s">
        <v>20</v>
      </c>
      <c r="H585" t="s">
        <v>21</v>
      </c>
      <c r="I585" t="s">
        <v>20</v>
      </c>
      <c r="J585" t="s">
        <v>45</v>
      </c>
      <c r="K585">
        <v>9</v>
      </c>
      <c r="L585">
        <v>110.76666666666701</v>
      </c>
      <c r="M585" t="s">
        <v>30</v>
      </c>
      <c r="N585" t="str">
        <f>_xlfn.XLOOKUP(A585,[1]!brca_metabric_clinical_data__2[Patient ID], [1]!brca_metabric_clinical_data__2[Tumor Size])</f>
        <v>35</v>
      </c>
      <c r="O585" t="str">
        <f>_xlfn.XLOOKUP(A585,[1]!brca_metabric_clinical_data__2[Sample ID],[1]!brca_metabric_clinical_data__2[Tumor Stage])</f>
        <v>2</v>
      </c>
    </row>
    <row r="586" spans="1:15" x14ac:dyDescent="0.45">
      <c r="A586" t="s">
        <v>620</v>
      </c>
      <c r="B586">
        <v>67.62</v>
      </c>
      <c r="C586" t="s">
        <v>16</v>
      </c>
      <c r="D586" t="s">
        <v>17</v>
      </c>
      <c r="E586" t="s">
        <v>18</v>
      </c>
      <c r="F586" t="s">
        <v>19</v>
      </c>
      <c r="G586" t="s">
        <v>20</v>
      </c>
      <c r="H586" t="s">
        <v>21</v>
      </c>
      <c r="I586" t="s">
        <v>20</v>
      </c>
      <c r="J586" t="s">
        <v>29</v>
      </c>
      <c r="K586">
        <v>8</v>
      </c>
      <c r="L586">
        <v>267.23333333333301</v>
      </c>
      <c r="M586" t="s">
        <v>24</v>
      </c>
      <c r="N586" t="str">
        <f>_xlfn.XLOOKUP(A586,[1]!brca_metabric_clinical_data__2[Patient ID], [1]!brca_metabric_clinical_data__2[Tumor Size])</f>
        <v>25</v>
      </c>
      <c r="O586" t="str">
        <f>_xlfn.XLOOKUP(A586,[1]!brca_metabric_clinical_data__2[Sample ID],[1]!brca_metabric_clinical_data__2[Tumor Stage])</f>
        <v>1</v>
      </c>
    </row>
    <row r="587" spans="1:15" x14ac:dyDescent="0.45">
      <c r="A587" t="s">
        <v>621</v>
      </c>
      <c r="B587">
        <v>42.07</v>
      </c>
      <c r="C587" t="s">
        <v>16</v>
      </c>
      <c r="D587" t="s">
        <v>26</v>
      </c>
      <c r="E587" t="s">
        <v>18</v>
      </c>
      <c r="F587" t="s">
        <v>19</v>
      </c>
      <c r="G587" t="s">
        <v>20</v>
      </c>
      <c r="H587" t="s">
        <v>20</v>
      </c>
      <c r="I587" t="s">
        <v>21</v>
      </c>
      <c r="J587" t="s">
        <v>22</v>
      </c>
      <c r="K587">
        <v>1</v>
      </c>
      <c r="L587">
        <v>272.10000000000002</v>
      </c>
      <c r="M587" t="s">
        <v>24</v>
      </c>
      <c r="N587" t="str">
        <f>_xlfn.XLOOKUP(A587,[1]!brca_metabric_clinical_data__2[Patient ID], [1]!brca_metabric_clinical_data__2[Tumor Size])</f>
        <v>12</v>
      </c>
      <c r="O587" t="str">
        <f>_xlfn.XLOOKUP(A587,[1]!brca_metabric_clinical_data__2[Sample ID],[1]!brca_metabric_clinical_data__2[Tumor Stage])</f>
        <v>1</v>
      </c>
    </row>
    <row r="588" spans="1:15" x14ac:dyDescent="0.45">
      <c r="A588" t="s">
        <v>622</v>
      </c>
      <c r="B588">
        <v>57.94</v>
      </c>
      <c r="C588" t="s">
        <v>16</v>
      </c>
      <c r="D588" t="s">
        <v>17</v>
      </c>
      <c r="E588" t="s">
        <v>18</v>
      </c>
      <c r="F588" t="s">
        <v>19</v>
      </c>
      <c r="G588" t="s">
        <v>20</v>
      </c>
      <c r="H588" t="s">
        <v>21</v>
      </c>
      <c r="I588" t="s">
        <v>21</v>
      </c>
      <c r="J588" t="s">
        <v>22</v>
      </c>
      <c r="K588">
        <v>2</v>
      </c>
      <c r="L588">
        <v>87.7</v>
      </c>
      <c r="M588" t="s">
        <v>30</v>
      </c>
      <c r="N588" t="str">
        <f>_xlfn.XLOOKUP(A588,[1]!brca_metabric_clinical_data__2[Patient ID], [1]!brca_metabric_clinical_data__2[Tumor Size])</f>
        <v>20</v>
      </c>
      <c r="O588" t="str">
        <f>_xlfn.XLOOKUP(A588,[1]!brca_metabric_clinical_data__2[Sample ID],[1]!brca_metabric_clinical_data__2[Tumor Stage])</f>
        <v>2</v>
      </c>
    </row>
    <row r="589" spans="1:15" x14ac:dyDescent="0.45">
      <c r="A589" t="s">
        <v>623</v>
      </c>
      <c r="B589">
        <v>50.07</v>
      </c>
      <c r="C589" t="s">
        <v>16</v>
      </c>
      <c r="D589" t="s">
        <v>17</v>
      </c>
      <c r="E589" t="s">
        <v>18</v>
      </c>
      <c r="F589" t="s">
        <v>19</v>
      </c>
      <c r="G589" t="s">
        <v>20</v>
      </c>
      <c r="H589" t="s">
        <v>20</v>
      </c>
      <c r="I589" t="s">
        <v>20</v>
      </c>
      <c r="J589" t="s">
        <v>27</v>
      </c>
      <c r="K589">
        <v>6</v>
      </c>
      <c r="L589">
        <v>252.96666666666701</v>
      </c>
      <c r="M589" t="s">
        <v>24</v>
      </c>
      <c r="N589" t="str">
        <f>_xlfn.XLOOKUP(A589,[1]!brca_metabric_clinical_data__2[Patient ID], [1]!brca_metabric_clinical_data__2[Tumor Size])</f>
        <v>15</v>
      </c>
      <c r="O589" t="str">
        <f>_xlfn.XLOOKUP(A589,[1]!brca_metabric_clinical_data__2[Sample ID],[1]!brca_metabric_clinical_data__2[Tumor Stage])</f>
        <v>1</v>
      </c>
    </row>
    <row r="590" spans="1:15" x14ac:dyDescent="0.45">
      <c r="A590" t="s">
        <v>624</v>
      </c>
      <c r="B590">
        <v>70.349999999999994</v>
      </c>
      <c r="C590" t="s">
        <v>16</v>
      </c>
      <c r="D590" t="s">
        <v>17</v>
      </c>
      <c r="E590" t="s">
        <v>18</v>
      </c>
      <c r="F590" t="s">
        <v>19</v>
      </c>
      <c r="G590" t="s">
        <v>20</v>
      </c>
      <c r="H590" t="s">
        <v>21</v>
      </c>
      <c r="I590" t="s">
        <v>21</v>
      </c>
      <c r="J590" t="s">
        <v>27</v>
      </c>
      <c r="K590">
        <v>2</v>
      </c>
      <c r="L590">
        <v>271.26666666666699</v>
      </c>
      <c r="M590" t="s">
        <v>24</v>
      </c>
      <c r="N590" t="str">
        <f>_xlfn.XLOOKUP(A590,[1]!brca_metabric_clinical_data__2[Patient ID], [1]!brca_metabric_clinical_data__2[Tumor Size])</f>
        <v>13</v>
      </c>
      <c r="O590" t="str">
        <f>_xlfn.XLOOKUP(A590,[1]!brca_metabric_clinical_data__2[Sample ID],[1]!brca_metabric_clinical_data__2[Tumor Stage])</f>
        <v>2</v>
      </c>
    </row>
    <row r="591" spans="1:15" x14ac:dyDescent="0.45">
      <c r="A591" t="s">
        <v>625</v>
      </c>
      <c r="B591">
        <v>63.01</v>
      </c>
      <c r="C591" t="s">
        <v>16</v>
      </c>
      <c r="D591" t="s">
        <v>17</v>
      </c>
      <c r="E591" t="s">
        <v>18</v>
      </c>
      <c r="F591" t="s">
        <v>19</v>
      </c>
      <c r="G591" t="s">
        <v>20</v>
      </c>
      <c r="H591" t="s">
        <v>20</v>
      </c>
      <c r="I591" t="s">
        <v>21</v>
      </c>
      <c r="J591" t="s">
        <v>29</v>
      </c>
      <c r="K591">
        <v>8</v>
      </c>
      <c r="L591">
        <v>85.866666666666703</v>
      </c>
      <c r="M591" t="s">
        <v>30</v>
      </c>
      <c r="N591" t="str">
        <f>_xlfn.XLOOKUP(A591,[1]!brca_metabric_clinical_data__2[Patient ID], [1]!brca_metabric_clinical_data__2[Tumor Size])</f>
        <v>18</v>
      </c>
      <c r="O591" t="str">
        <f>_xlfn.XLOOKUP(A591,[1]!brca_metabric_clinical_data__2[Sample ID],[1]!brca_metabric_clinical_data__2[Tumor Stage])</f>
        <v>1</v>
      </c>
    </row>
    <row r="592" spans="1:15" x14ac:dyDescent="0.45">
      <c r="A592" t="s">
        <v>626</v>
      </c>
      <c r="B592">
        <v>65.25</v>
      </c>
      <c r="C592" t="s">
        <v>16</v>
      </c>
      <c r="D592" t="s">
        <v>17</v>
      </c>
      <c r="E592" t="s">
        <v>18</v>
      </c>
      <c r="F592" t="s">
        <v>43</v>
      </c>
      <c r="G592" t="s">
        <v>20</v>
      </c>
      <c r="H592" t="s">
        <v>20</v>
      </c>
      <c r="I592" t="s">
        <v>21</v>
      </c>
      <c r="J592" t="s">
        <v>29</v>
      </c>
      <c r="K592">
        <v>3</v>
      </c>
      <c r="L592">
        <v>231.03333333333299</v>
      </c>
      <c r="M592" t="s">
        <v>30</v>
      </c>
      <c r="N592" t="str">
        <f>_xlfn.XLOOKUP(A592,[1]!brca_metabric_clinical_data__2[Patient ID], [1]!brca_metabric_clinical_data__2[Tumor Size])</f>
        <v>13</v>
      </c>
      <c r="O592" t="str">
        <f>_xlfn.XLOOKUP(A592,[1]!brca_metabric_clinical_data__2[Sample ID],[1]!brca_metabric_clinical_data__2[Tumor Stage])</f>
        <v>1</v>
      </c>
    </row>
    <row r="593" spans="1:15" x14ac:dyDescent="0.45">
      <c r="A593" t="s">
        <v>627</v>
      </c>
      <c r="B593">
        <v>64.25</v>
      </c>
      <c r="C593" t="s">
        <v>16</v>
      </c>
      <c r="D593" t="s">
        <v>17</v>
      </c>
      <c r="E593" t="s">
        <v>18</v>
      </c>
      <c r="F593" t="s">
        <v>19</v>
      </c>
      <c r="G593" t="s">
        <v>20</v>
      </c>
      <c r="H593" t="s">
        <v>20</v>
      </c>
      <c r="I593" t="s">
        <v>21</v>
      </c>
      <c r="J593" t="s">
        <v>38</v>
      </c>
      <c r="K593">
        <v>3</v>
      </c>
      <c r="L593">
        <v>257.566666666667</v>
      </c>
      <c r="M593" t="s">
        <v>24</v>
      </c>
      <c r="N593" t="str">
        <f>_xlfn.XLOOKUP(A593,[1]!brca_metabric_clinical_data__2[Patient ID], [1]!brca_metabric_clinical_data__2[Tumor Size])</f>
        <v>22</v>
      </c>
      <c r="O593" t="str">
        <f>_xlfn.XLOOKUP(A593,[1]!brca_metabric_clinical_data__2[Sample ID],[1]!brca_metabric_clinical_data__2[Tumor Stage])</f>
        <v>1</v>
      </c>
    </row>
    <row r="594" spans="1:15" x14ac:dyDescent="0.45">
      <c r="A594" t="s">
        <v>628</v>
      </c>
      <c r="B594">
        <v>61.95</v>
      </c>
      <c r="C594" t="s">
        <v>16</v>
      </c>
      <c r="D594" t="s">
        <v>17</v>
      </c>
      <c r="E594" t="s">
        <v>18</v>
      </c>
      <c r="F594" t="s">
        <v>19</v>
      </c>
      <c r="G594" t="s">
        <v>20</v>
      </c>
      <c r="H594" t="s">
        <v>20</v>
      </c>
      <c r="I594" t="s">
        <v>20</v>
      </c>
      <c r="J594" t="s">
        <v>27</v>
      </c>
      <c r="K594">
        <v>7</v>
      </c>
      <c r="L594">
        <v>270.566666666667</v>
      </c>
      <c r="M594" t="s">
        <v>24</v>
      </c>
      <c r="N594" t="str">
        <f>_xlfn.XLOOKUP(A594,[1]!brca_metabric_clinical_data__2[Patient ID], [1]!brca_metabric_clinical_data__2[Tumor Size])</f>
        <v>19</v>
      </c>
      <c r="O594" t="str">
        <f>_xlfn.XLOOKUP(A594,[1]!brca_metabric_clinical_data__2[Sample ID],[1]!brca_metabric_clinical_data__2[Tumor Stage])</f>
        <v>1</v>
      </c>
    </row>
    <row r="595" spans="1:15" x14ac:dyDescent="0.45">
      <c r="A595" t="s">
        <v>629</v>
      </c>
      <c r="B595">
        <v>40.06</v>
      </c>
      <c r="C595" t="s">
        <v>16</v>
      </c>
      <c r="D595" t="s">
        <v>26</v>
      </c>
      <c r="E595" t="s">
        <v>18</v>
      </c>
      <c r="F595" t="s">
        <v>19</v>
      </c>
      <c r="G595" t="s">
        <v>20</v>
      </c>
      <c r="H595" t="s">
        <v>21</v>
      </c>
      <c r="I595" t="s">
        <v>21</v>
      </c>
      <c r="J595" t="s">
        <v>27</v>
      </c>
      <c r="K595">
        <v>3</v>
      </c>
      <c r="L595">
        <v>254.63333333333301</v>
      </c>
      <c r="M595" t="s">
        <v>24</v>
      </c>
      <c r="N595" t="str">
        <f>_xlfn.XLOOKUP(A595,[1]!brca_metabric_clinical_data__2[Patient ID], [1]!brca_metabric_clinical_data__2[Tumor Size])</f>
        <v>18</v>
      </c>
      <c r="O595" t="str">
        <f>_xlfn.XLOOKUP(A595,[1]!brca_metabric_clinical_data__2[Sample ID],[1]!brca_metabric_clinical_data__2[Tumor Stage])</f>
        <v>1</v>
      </c>
    </row>
    <row r="596" spans="1:15" x14ac:dyDescent="0.45">
      <c r="A596" t="s">
        <v>630</v>
      </c>
      <c r="B596">
        <v>57.39</v>
      </c>
      <c r="C596" t="s">
        <v>16</v>
      </c>
      <c r="D596" t="s">
        <v>17</v>
      </c>
      <c r="E596" t="s">
        <v>37</v>
      </c>
      <c r="F596" t="s">
        <v>19</v>
      </c>
      <c r="G596" t="s">
        <v>20</v>
      </c>
      <c r="H596" t="s">
        <v>20</v>
      </c>
      <c r="I596" t="s">
        <v>21</v>
      </c>
      <c r="J596" t="s">
        <v>22</v>
      </c>
      <c r="K596" t="s">
        <v>39</v>
      </c>
      <c r="L596">
        <v>136.066666666667</v>
      </c>
      <c r="M596" t="s">
        <v>30</v>
      </c>
      <c r="N596" t="str">
        <f>_xlfn.XLOOKUP(A596,[1]!brca_metabric_clinical_data__2[Patient ID], [1]!brca_metabric_clinical_data__2[Tumor Size])</f>
        <v>16</v>
      </c>
      <c r="O596" t="str">
        <f>_xlfn.XLOOKUP(A596,[1]!brca_metabric_clinical_data__2[Sample ID],[1]!brca_metabric_clinical_data__2[Tumor Stage])</f>
        <v>1</v>
      </c>
    </row>
    <row r="597" spans="1:15" x14ac:dyDescent="0.45">
      <c r="A597" t="s">
        <v>631</v>
      </c>
      <c r="B597">
        <v>35.97</v>
      </c>
      <c r="C597" t="s">
        <v>16</v>
      </c>
      <c r="D597" t="s">
        <v>26</v>
      </c>
      <c r="E597" t="s">
        <v>18</v>
      </c>
      <c r="F597" t="s">
        <v>43</v>
      </c>
      <c r="G597" t="s">
        <v>20</v>
      </c>
      <c r="H597" t="s">
        <v>21</v>
      </c>
      <c r="I597" t="s">
        <v>21</v>
      </c>
      <c r="J597" t="s">
        <v>22</v>
      </c>
      <c r="K597" t="s">
        <v>23</v>
      </c>
      <c r="L597">
        <v>269.89999999999998</v>
      </c>
      <c r="M597" t="s">
        <v>24</v>
      </c>
      <c r="N597" t="str">
        <f>_xlfn.XLOOKUP(A597,[1]!brca_metabric_clinical_data__2[Patient ID], [1]!brca_metabric_clinical_data__2[Tumor Size])</f>
        <v>11</v>
      </c>
      <c r="O597" t="str">
        <f>_xlfn.XLOOKUP(A597,[1]!brca_metabric_clinical_data__2[Sample ID],[1]!brca_metabric_clinical_data__2[Tumor Stage])</f>
        <v>1</v>
      </c>
    </row>
    <row r="598" spans="1:15" x14ac:dyDescent="0.45">
      <c r="A598" t="s">
        <v>632</v>
      </c>
      <c r="B598">
        <v>36.5</v>
      </c>
      <c r="C598" t="s">
        <v>16</v>
      </c>
      <c r="D598" t="s">
        <v>26</v>
      </c>
      <c r="E598" t="s">
        <v>37</v>
      </c>
      <c r="F598" t="s">
        <v>19</v>
      </c>
      <c r="G598" t="s">
        <v>21</v>
      </c>
      <c r="H598" t="s">
        <v>20</v>
      </c>
      <c r="I598" t="s">
        <v>21</v>
      </c>
      <c r="J598" t="s">
        <v>58</v>
      </c>
      <c r="K598">
        <v>10</v>
      </c>
      <c r="L598">
        <v>235.666666666667</v>
      </c>
      <c r="M598" t="s">
        <v>24</v>
      </c>
      <c r="N598" t="str">
        <f>_xlfn.XLOOKUP(A598,[1]!brca_metabric_clinical_data__2[Patient ID], [1]!brca_metabric_clinical_data__2[Tumor Size])</f>
        <v>11</v>
      </c>
      <c r="O598" t="str">
        <f>_xlfn.XLOOKUP(A598,[1]!brca_metabric_clinical_data__2[Sample ID],[1]!brca_metabric_clinical_data__2[Tumor Stage])</f>
        <v>2</v>
      </c>
    </row>
    <row r="599" spans="1:15" x14ac:dyDescent="0.45">
      <c r="A599" t="s">
        <v>633</v>
      </c>
      <c r="B599">
        <v>42.9</v>
      </c>
      <c r="C599" t="s">
        <v>16</v>
      </c>
      <c r="D599" t="s">
        <v>26</v>
      </c>
      <c r="E599" t="s">
        <v>37</v>
      </c>
      <c r="F599" t="s">
        <v>19</v>
      </c>
      <c r="G599" t="s">
        <v>21</v>
      </c>
      <c r="H599" t="s">
        <v>20</v>
      </c>
      <c r="I599" t="s">
        <v>21</v>
      </c>
      <c r="J599" t="s">
        <v>22</v>
      </c>
      <c r="K599">
        <v>10</v>
      </c>
      <c r="L599">
        <v>259.76666666666699</v>
      </c>
      <c r="M599" t="s">
        <v>24</v>
      </c>
      <c r="N599" t="str">
        <f>_xlfn.XLOOKUP(A599,[1]!brca_metabric_clinical_data__2[Patient ID], [1]!brca_metabric_clinical_data__2[Tumor Size])</f>
        <v>23</v>
      </c>
      <c r="O599" t="str">
        <f>_xlfn.XLOOKUP(A599,[1]!brca_metabric_clinical_data__2[Sample ID],[1]!brca_metabric_clinical_data__2[Tumor Stage])</f>
        <v>2</v>
      </c>
    </row>
    <row r="600" spans="1:15" x14ac:dyDescent="0.45">
      <c r="A600" t="s">
        <v>634</v>
      </c>
      <c r="B600">
        <v>56.85</v>
      </c>
      <c r="C600" t="s">
        <v>16</v>
      </c>
      <c r="D600" t="s">
        <v>17</v>
      </c>
      <c r="E600" t="s">
        <v>18</v>
      </c>
      <c r="F600" t="s">
        <v>19</v>
      </c>
      <c r="G600" t="s">
        <v>20</v>
      </c>
      <c r="H600" t="s">
        <v>20</v>
      </c>
      <c r="I600" t="s">
        <v>21</v>
      </c>
      <c r="J600" t="s">
        <v>45</v>
      </c>
      <c r="K600">
        <v>3</v>
      </c>
      <c r="L600">
        <v>153.833333333333</v>
      </c>
      <c r="M600" t="s">
        <v>30</v>
      </c>
      <c r="N600" t="str">
        <f>_xlfn.XLOOKUP(A600,[1]!brca_metabric_clinical_data__2[Patient ID], [1]!brca_metabric_clinical_data__2[Tumor Size])</f>
        <v>9</v>
      </c>
      <c r="O600" t="str">
        <f>_xlfn.XLOOKUP(A600,[1]!brca_metabric_clinical_data__2[Sample ID],[1]!brca_metabric_clinical_data__2[Tumor Stage])</f>
        <v>1</v>
      </c>
    </row>
    <row r="601" spans="1:15" x14ac:dyDescent="0.45">
      <c r="A601" t="s">
        <v>635</v>
      </c>
      <c r="B601">
        <v>59.84</v>
      </c>
      <c r="C601" t="s">
        <v>16</v>
      </c>
      <c r="D601" t="s">
        <v>17</v>
      </c>
      <c r="E601" t="s">
        <v>18</v>
      </c>
      <c r="F601" t="s">
        <v>19</v>
      </c>
      <c r="G601" t="s">
        <v>20</v>
      </c>
      <c r="H601" t="s">
        <v>21</v>
      </c>
      <c r="I601" t="s">
        <v>20</v>
      </c>
      <c r="J601" t="s">
        <v>27</v>
      </c>
      <c r="K601">
        <v>3</v>
      </c>
      <c r="L601">
        <v>55.033333333333303</v>
      </c>
      <c r="M601" t="s">
        <v>30</v>
      </c>
      <c r="N601" t="str">
        <f>_xlfn.XLOOKUP(A601,[1]!brca_metabric_clinical_data__2[Patient ID], [1]!brca_metabric_clinical_data__2[Tumor Size])</f>
        <v>20</v>
      </c>
      <c r="O601" t="str">
        <f>_xlfn.XLOOKUP(A601,[1]!brca_metabric_clinical_data__2[Sample ID],[1]!brca_metabric_clinical_data__2[Tumor Stage])</f>
        <v>1</v>
      </c>
    </row>
    <row r="602" spans="1:15" x14ac:dyDescent="0.45">
      <c r="A602" t="s">
        <v>636</v>
      </c>
      <c r="B602">
        <v>67.12</v>
      </c>
      <c r="C602" t="s">
        <v>16</v>
      </c>
      <c r="D602" t="s">
        <v>17</v>
      </c>
      <c r="E602" t="s">
        <v>18</v>
      </c>
      <c r="F602" t="s">
        <v>35</v>
      </c>
      <c r="G602" t="s">
        <v>20</v>
      </c>
      <c r="H602" t="s">
        <v>21</v>
      </c>
      <c r="I602" t="s">
        <v>20</v>
      </c>
      <c r="J602" t="s">
        <v>27</v>
      </c>
      <c r="K602">
        <v>8</v>
      </c>
      <c r="L602">
        <v>270.3</v>
      </c>
      <c r="M602" t="s">
        <v>24</v>
      </c>
      <c r="N602" t="str">
        <f>_xlfn.XLOOKUP(A602,[1]!brca_metabric_clinical_data__2[Patient ID], [1]!brca_metabric_clinical_data__2[Tumor Size])</f>
        <v>27</v>
      </c>
      <c r="O602" t="str">
        <f>_xlfn.XLOOKUP(A602,[1]!brca_metabric_clinical_data__2[Sample ID],[1]!brca_metabric_clinical_data__2[Tumor Stage])</f>
        <v>1</v>
      </c>
    </row>
    <row r="603" spans="1:15" x14ac:dyDescent="0.45">
      <c r="A603" t="s">
        <v>637</v>
      </c>
      <c r="B603">
        <v>60.48</v>
      </c>
      <c r="C603" t="s">
        <v>16</v>
      </c>
      <c r="D603" t="s">
        <v>17</v>
      </c>
      <c r="E603" t="s">
        <v>18</v>
      </c>
      <c r="F603" t="s">
        <v>19</v>
      </c>
      <c r="G603" t="s">
        <v>20</v>
      </c>
      <c r="H603" t="s">
        <v>20</v>
      </c>
      <c r="I603" t="s">
        <v>20</v>
      </c>
      <c r="J603" t="s">
        <v>27</v>
      </c>
      <c r="K603">
        <v>3</v>
      </c>
      <c r="L603">
        <v>269</v>
      </c>
      <c r="M603" t="s">
        <v>24</v>
      </c>
      <c r="N603" t="str">
        <f>_xlfn.XLOOKUP(A603,[1]!brca_metabric_clinical_data__2[Patient ID], [1]!brca_metabric_clinical_data__2[Tumor Size])</f>
        <v>14</v>
      </c>
      <c r="O603" t="str">
        <f>_xlfn.XLOOKUP(A603,[1]!brca_metabric_clinical_data__2[Sample ID],[1]!brca_metabric_clinical_data__2[Tumor Stage])</f>
        <v>1</v>
      </c>
    </row>
    <row r="604" spans="1:15" x14ac:dyDescent="0.45">
      <c r="A604" t="s">
        <v>638</v>
      </c>
      <c r="B604">
        <v>58.48</v>
      </c>
      <c r="C604" t="s">
        <v>16</v>
      </c>
      <c r="D604" t="s">
        <v>17</v>
      </c>
      <c r="E604" t="s">
        <v>37</v>
      </c>
      <c r="F604" t="s">
        <v>19</v>
      </c>
      <c r="G604" t="s">
        <v>21</v>
      </c>
      <c r="H604" t="s">
        <v>20</v>
      </c>
      <c r="I604" t="s">
        <v>21</v>
      </c>
      <c r="J604" t="s">
        <v>58</v>
      </c>
      <c r="K604">
        <v>9</v>
      </c>
      <c r="L604">
        <v>19.733333333333299</v>
      </c>
      <c r="M604" t="s">
        <v>30</v>
      </c>
      <c r="N604" t="str">
        <f>_xlfn.XLOOKUP(A604,[1]!brca_metabric_clinical_data__2[Patient ID], [1]!brca_metabric_clinical_data__2[Tumor Size])</f>
        <v>27</v>
      </c>
      <c r="O604" t="str">
        <f>_xlfn.XLOOKUP(A604,[1]!brca_metabric_clinical_data__2[Sample ID],[1]!brca_metabric_clinical_data__2[Tumor Stage])</f>
        <v>2</v>
      </c>
    </row>
    <row r="605" spans="1:15" x14ac:dyDescent="0.45">
      <c r="A605" t="s">
        <v>639</v>
      </c>
      <c r="B605">
        <v>61.08</v>
      </c>
      <c r="C605" t="s">
        <v>16</v>
      </c>
      <c r="D605" t="s">
        <v>17</v>
      </c>
      <c r="E605" t="s">
        <v>18</v>
      </c>
      <c r="F605" t="s">
        <v>19</v>
      </c>
      <c r="G605" t="s">
        <v>20</v>
      </c>
      <c r="H605" t="s">
        <v>20</v>
      </c>
      <c r="I605" t="s">
        <v>21</v>
      </c>
      <c r="J605" t="s">
        <v>27</v>
      </c>
      <c r="K605">
        <v>2</v>
      </c>
      <c r="L605">
        <v>231.53333333333299</v>
      </c>
      <c r="M605" t="s">
        <v>30</v>
      </c>
      <c r="N605" t="str">
        <f>_xlfn.XLOOKUP(A605,[1]!brca_metabric_clinical_data__2[Patient ID], [1]!brca_metabric_clinical_data__2[Tumor Size])</f>
        <v>13</v>
      </c>
      <c r="O605" t="str">
        <f>_xlfn.XLOOKUP(A605,[1]!brca_metabric_clinical_data__2[Sample ID],[1]!brca_metabric_clinical_data__2[Tumor Stage])</f>
        <v>1</v>
      </c>
    </row>
    <row r="606" spans="1:15" x14ac:dyDescent="0.45">
      <c r="A606" t="s">
        <v>640</v>
      </c>
      <c r="B606">
        <v>60.76</v>
      </c>
      <c r="C606" t="s">
        <v>16</v>
      </c>
      <c r="D606" t="s">
        <v>17</v>
      </c>
      <c r="E606" t="s">
        <v>18</v>
      </c>
      <c r="F606" t="s">
        <v>43</v>
      </c>
      <c r="G606" t="s">
        <v>20</v>
      </c>
      <c r="H606" t="s">
        <v>21</v>
      </c>
      <c r="I606" t="s">
        <v>20</v>
      </c>
      <c r="J606" t="s">
        <v>29</v>
      </c>
      <c r="K606">
        <v>9</v>
      </c>
      <c r="L606">
        <v>146.73333333333301</v>
      </c>
      <c r="M606" t="s">
        <v>24</v>
      </c>
      <c r="N606" t="str">
        <f>_xlfn.XLOOKUP(A606,[1]!brca_metabric_clinical_data__2[Patient ID], [1]!brca_metabric_clinical_data__2[Tumor Size])</f>
        <v>19</v>
      </c>
      <c r="O606" t="str">
        <f>_xlfn.XLOOKUP(A606,[1]!brca_metabric_clinical_data__2[Sample ID],[1]!brca_metabric_clinical_data__2[Tumor Stage])</f>
        <v>1</v>
      </c>
    </row>
    <row r="607" spans="1:15" x14ac:dyDescent="0.45">
      <c r="A607" t="s">
        <v>641</v>
      </c>
      <c r="B607">
        <v>55.8</v>
      </c>
      <c r="C607" t="s">
        <v>16</v>
      </c>
      <c r="D607" t="s">
        <v>17</v>
      </c>
      <c r="E607" t="s">
        <v>18</v>
      </c>
      <c r="F607" t="s">
        <v>19</v>
      </c>
      <c r="G607" t="s">
        <v>20</v>
      </c>
      <c r="H607" t="s">
        <v>20</v>
      </c>
      <c r="I607" t="s">
        <v>20</v>
      </c>
      <c r="J607" t="s">
        <v>22</v>
      </c>
      <c r="K607" t="s">
        <v>23</v>
      </c>
      <c r="L607">
        <v>264.76666666666699</v>
      </c>
      <c r="M607" t="s">
        <v>24</v>
      </c>
      <c r="N607" t="str">
        <f>_xlfn.XLOOKUP(A607,[1]!brca_metabric_clinical_data__2[Patient ID], [1]!brca_metabric_clinical_data__2[Tumor Size])</f>
        <v>14</v>
      </c>
      <c r="O607" t="str">
        <f>_xlfn.XLOOKUP(A607,[1]!brca_metabric_clinical_data__2[Sample ID],[1]!brca_metabric_clinical_data__2[Tumor Stage])</f>
        <v>1</v>
      </c>
    </row>
    <row r="608" spans="1:15" x14ac:dyDescent="0.45">
      <c r="A608" t="s">
        <v>642</v>
      </c>
      <c r="B608">
        <v>58.85</v>
      </c>
      <c r="C608" t="s">
        <v>16</v>
      </c>
      <c r="D608" t="s">
        <v>17</v>
      </c>
      <c r="E608" t="s">
        <v>37</v>
      </c>
      <c r="F608" t="s">
        <v>19</v>
      </c>
      <c r="G608" t="s">
        <v>20</v>
      </c>
      <c r="H608" t="s">
        <v>20</v>
      </c>
      <c r="I608" t="s">
        <v>20</v>
      </c>
      <c r="J608" t="s">
        <v>58</v>
      </c>
      <c r="K608" t="s">
        <v>39</v>
      </c>
      <c r="L608">
        <v>149.69999999999999</v>
      </c>
      <c r="M608" t="s">
        <v>30</v>
      </c>
      <c r="N608" t="str">
        <f>_xlfn.XLOOKUP(A608,[1]!brca_metabric_clinical_data__2[Patient ID], [1]!brca_metabric_clinical_data__2[Tumor Size])</f>
        <v>5</v>
      </c>
      <c r="O608" t="str">
        <f>_xlfn.XLOOKUP(A608,[1]!brca_metabric_clinical_data__2[Sample ID],[1]!brca_metabric_clinical_data__2[Tumor Stage])</f>
        <v>1</v>
      </c>
    </row>
    <row r="609" spans="1:15" x14ac:dyDescent="0.45">
      <c r="A609" t="s">
        <v>643</v>
      </c>
      <c r="B609">
        <v>65.040000000000006</v>
      </c>
      <c r="C609" t="s">
        <v>16</v>
      </c>
      <c r="D609" t="s">
        <v>17</v>
      </c>
      <c r="E609" t="s">
        <v>18</v>
      </c>
      <c r="F609" t="s">
        <v>43</v>
      </c>
      <c r="G609" t="s">
        <v>20</v>
      </c>
      <c r="H609" t="s">
        <v>21</v>
      </c>
      <c r="I609" t="s">
        <v>21</v>
      </c>
      <c r="J609" t="s">
        <v>45</v>
      </c>
      <c r="K609">
        <v>5</v>
      </c>
      <c r="L609">
        <v>39.533333333333303</v>
      </c>
      <c r="M609" t="s">
        <v>30</v>
      </c>
      <c r="N609" t="str">
        <f>_xlfn.XLOOKUP(A609,[1]!brca_metabric_clinical_data__2[Patient ID], [1]!brca_metabric_clinical_data__2[Tumor Size])</f>
        <v>35</v>
      </c>
      <c r="O609" t="str">
        <f>_xlfn.XLOOKUP(A609,[1]!brca_metabric_clinical_data__2[Sample ID],[1]!brca_metabric_clinical_data__2[Tumor Stage])</f>
        <v>3</v>
      </c>
    </row>
    <row r="610" spans="1:15" x14ac:dyDescent="0.45">
      <c r="A610" t="s">
        <v>644</v>
      </c>
      <c r="B610">
        <v>60.11</v>
      </c>
      <c r="C610" t="s">
        <v>16</v>
      </c>
      <c r="D610" t="s">
        <v>17</v>
      </c>
      <c r="E610" t="s">
        <v>18</v>
      </c>
      <c r="F610" t="s">
        <v>19</v>
      </c>
      <c r="G610" t="s">
        <v>20</v>
      </c>
      <c r="H610" t="s">
        <v>21</v>
      </c>
      <c r="I610" t="s">
        <v>20</v>
      </c>
      <c r="J610" t="s">
        <v>27</v>
      </c>
      <c r="K610">
        <v>3</v>
      </c>
      <c r="L610">
        <v>227.73333333333301</v>
      </c>
      <c r="M610" t="s">
        <v>30</v>
      </c>
      <c r="N610" t="str">
        <f>_xlfn.XLOOKUP(A610,[1]!brca_metabric_clinical_data__2[Patient ID], [1]!brca_metabric_clinical_data__2[Tumor Size])</f>
        <v>15</v>
      </c>
      <c r="O610" t="str">
        <f>_xlfn.XLOOKUP(A610,[1]!brca_metabric_clinical_data__2[Sample ID],[1]!brca_metabric_clinical_data__2[Tumor Stage])</f>
        <v>2</v>
      </c>
    </row>
    <row r="611" spans="1:15" x14ac:dyDescent="0.45">
      <c r="A611" t="s">
        <v>645</v>
      </c>
      <c r="B611">
        <v>60.65</v>
      </c>
      <c r="C611" t="s">
        <v>16</v>
      </c>
      <c r="D611" t="s">
        <v>17</v>
      </c>
      <c r="E611" t="s">
        <v>37</v>
      </c>
      <c r="F611" t="s">
        <v>19</v>
      </c>
      <c r="G611" t="s">
        <v>20</v>
      </c>
      <c r="H611" t="s">
        <v>21</v>
      </c>
      <c r="I611" t="s">
        <v>21</v>
      </c>
      <c r="J611" t="s">
        <v>58</v>
      </c>
      <c r="K611">
        <v>9</v>
      </c>
      <c r="L611">
        <v>43.2</v>
      </c>
      <c r="M611" t="s">
        <v>30</v>
      </c>
      <c r="N611" t="str">
        <f>_xlfn.XLOOKUP(A611,[1]!brca_metabric_clinical_data__2[Patient ID], [1]!brca_metabric_clinical_data__2[Tumor Size])</f>
        <v>26</v>
      </c>
      <c r="O611" t="str">
        <f>_xlfn.XLOOKUP(A611,[1]!brca_metabric_clinical_data__2[Sample ID],[1]!brca_metabric_clinical_data__2[Tumor Stage])</f>
        <v>1</v>
      </c>
    </row>
    <row r="612" spans="1:15" x14ac:dyDescent="0.45">
      <c r="A612" t="s">
        <v>646</v>
      </c>
      <c r="B612">
        <v>31.48</v>
      </c>
      <c r="C612" t="s">
        <v>16</v>
      </c>
      <c r="D612" t="s">
        <v>26</v>
      </c>
      <c r="E612" t="s">
        <v>37</v>
      </c>
      <c r="F612" t="s">
        <v>19</v>
      </c>
      <c r="G612" t="s">
        <v>21</v>
      </c>
      <c r="H612" t="s">
        <v>20</v>
      </c>
      <c r="I612" t="s">
        <v>21</v>
      </c>
      <c r="J612" t="s">
        <v>22</v>
      </c>
      <c r="K612">
        <v>10</v>
      </c>
      <c r="L612">
        <v>9.43333333333333</v>
      </c>
      <c r="M612" t="s">
        <v>30</v>
      </c>
      <c r="N612" t="str">
        <f>_xlfn.XLOOKUP(A612,[1]!brca_metabric_clinical_data__2[Patient ID], [1]!brca_metabric_clinical_data__2[Tumor Size])</f>
        <v>31</v>
      </c>
      <c r="O612" t="str">
        <f>_xlfn.XLOOKUP(A612,[1]!brca_metabric_clinical_data__2[Sample ID],[1]!brca_metabric_clinical_data__2[Tumor Stage])</f>
        <v>3</v>
      </c>
    </row>
    <row r="613" spans="1:15" x14ac:dyDescent="0.45">
      <c r="A613" t="s">
        <v>647</v>
      </c>
      <c r="B613">
        <v>58.69</v>
      </c>
      <c r="C613" t="s">
        <v>16</v>
      </c>
      <c r="D613" t="s">
        <v>17</v>
      </c>
      <c r="E613" t="s">
        <v>18</v>
      </c>
      <c r="F613" t="s">
        <v>19</v>
      </c>
      <c r="G613" t="s">
        <v>20</v>
      </c>
      <c r="H613" t="s">
        <v>21</v>
      </c>
      <c r="I613" t="s">
        <v>21</v>
      </c>
      <c r="J613" t="s">
        <v>27</v>
      </c>
      <c r="K613" t="s">
        <v>23</v>
      </c>
      <c r="L613">
        <v>159</v>
      </c>
      <c r="M613" t="s">
        <v>30</v>
      </c>
      <c r="N613" t="str">
        <f>_xlfn.XLOOKUP(A613,[1]!brca_metabric_clinical_data__2[Patient ID], [1]!brca_metabric_clinical_data__2[Tumor Size])</f>
        <v>16</v>
      </c>
      <c r="O613" t="str">
        <f>_xlfn.XLOOKUP(A613,[1]!brca_metabric_clinical_data__2[Sample ID],[1]!brca_metabric_clinical_data__2[Tumor Stage])</f>
        <v>1</v>
      </c>
    </row>
    <row r="614" spans="1:15" x14ac:dyDescent="0.45">
      <c r="A614" t="s">
        <v>648</v>
      </c>
      <c r="B614">
        <v>36.25</v>
      </c>
      <c r="C614" t="s">
        <v>16</v>
      </c>
      <c r="D614" t="s">
        <v>26</v>
      </c>
      <c r="E614" t="s">
        <v>18</v>
      </c>
      <c r="F614" t="s">
        <v>19</v>
      </c>
      <c r="G614" t="s">
        <v>20</v>
      </c>
      <c r="H614" t="s">
        <v>20</v>
      </c>
      <c r="I614" t="s">
        <v>21</v>
      </c>
      <c r="J614" t="s">
        <v>29</v>
      </c>
      <c r="K614">
        <v>6</v>
      </c>
      <c r="L614">
        <v>269.63333333333298</v>
      </c>
      <c r="M614" t="s">
        <v>24</v>
      </c>
      <c r="N614" t="str">
        <f>_xlfn.XLOOKUP(A614,[1]!brca_metabric_clinical_data__2[Patient ID], [1]!brca_metabric_clinical_data__2[Tumor Size])</f>
        <v>23</v>
      </c>
      <c r="O614" t="str">
        <f>_xlfn.XLOOKUP(A614,[1]!brca_metabric_clinical_data__2[Sample ID],[1]!brca_metabric_clinical_data__2[Tumor Stage])</f>
        <v>1</v>
      </c>
    </row>
    <row r="615" spans="1:15" x14ac:dyDescent="0.45">
      <c r="A615" t="s">
        <v>649</v>
      </c>
      <c r="B615">
        <v>61.53</v>
      </c>
      <c r="C615" t="s">
        <v>16</v>
      </c>
      <c r="D615" t="s">
        <v>17</v>
      </c>
      <c r="E615" t="s">
        <v>18</v>
      </c>
      <c r="F615" t="s">
        <v>19</v>
      </c>
      <c r="G615" t="s">
        <v>20</v>
      </c>
      <c r="H615" t="s">
        <v>21</v>
      </c>
      <c r="I615" t="s">
        <v>20</v>
      </c>
      <c r="J615" t="s">
        <v>27</v>
      </c>
      <c r="K615">
        <v>7</v>
      </c>
      <c r="L615">
        <v>270.433333333333</v>
      </c>
      <c r="M615" t="s">
        <v>24</v>
      </c>
      <c r="N615" t="str">
        <f>_xlfn.XLOOKUP(A615,[1]!brca_metabric_clinical_data__2[Patient ID], [1]!brca_metabric_clinical_data__2[Tumor Size])</f>
        <v>22</v>
      </c>
      <c r="O615" t="str">
        <f>_xlfn.XLOOKUP(A615,[1]!brca_metabric_clinical_data__2[Sample ID],[1]!brca_metabric_clinical_data__2[Tumor Stage])</f>
        <v>1</v>
      </c>
    </row>
    <row r="616" spans="1:15" x14ac:dyDescent="0.45">
      <c r="A616" t="s">
        <v>650</v>
      </c>
      <c r="B616">
        <v>45.3</v>
      </c>
      <c r="C616" t="s">
        <v>16</v>
      </c>
      <c r="D616" t="s">
        <v>26</v>
      </c>
      <c r="E616" t="s">
        <v>37</v>
      </c>
      <c r="F616" t="s">
        <v>19</v>
      </c>
      <c r="G616" t="s">
        <v>21</v>
      </c>
      <c r="H616" t="s">
        <v>20</v>
      </c>
      <c r="I616" t="s">
        <v>21</v>
      </c>
      <c r="J616" t="s">
        <v>22</v>
      </c>
      <c r="K616">
        <v>10</v>
      </c>
      <c r="L616">
        <v>250.666666666667</v>
      </c>
      <c r="M616" t="s">
        <v>24</v>
      </c>
      <c r="N616" t="str">
        <f>_xlfn.XLOOKUP(A616,[1]!brca_metabric_clinical_data__2[Patient ID], [1]!brca_metabric_clinical_data__2[Tumor Size])</f>
        <v>22</v>
      </c>
      <c r="O616" t="str">
        <f>_xlfn.XLOOKUP(A616,[1]!brca_metabric_clinical_data__2[Sample ID],[1]!brca_metabric_clinical_data__2[Tumor Stage])</f>
        <v>2</v>
      </c>
    </row>
    <row r="617" spans="1:15" x14ac:dyDescent="0.45">
      <c r="A617" t="s">
        <v>651</v>
      </c>
      <c r="B617">
        <v>63.94</v>
      </c>
      <c r="C617" t="s">
        <v>16</v>
      </c>
      <c r="D617" t="s">
        <v>17</v>
      </c>
      <c r="E617" t="s">
        <v>18</v>
      </c>
      <c r="F617" t="s">
        <v>19</v>
      </c>
      <c r="G617" t="s">
        <v>20</v>
      </c>
      <c r="H617" t="s">
        <v>21</v>
      </c>
      <c r="I617" t="s">
        <v>20</v>
      </c>
      <c r="J617" t="s">
        <v>29</v>
      </c>
      <c r="K617">
        <v>1</v>
      </c>
      <c r="L617">
        <v>141.566666666667</v>
      </c>
      <c r="M617" t="s">
        <v>30</v>
      </c>
      <c r="N617" t="str">
        <f>_xlfn.XLOOKUP(A617,[1]!brca_metabric_clinical_data__2[Patient ID], [1]!brca_metabric_clinical_data__2[Tumor Size])</f>
        <v>26</v>
      </c>
      <c r="O617" t="str">
        <f>_xlfn.XLOOKUP(A617,[1]!brca_metabric_clinical_data__2[Sample ID],[1]!brca_metabric_clinical_data__2[Tumor Stage])</f>
        <v>1</v>
      </c>
    </row>
    <row r="618" spans="1:15" x14ac:dyDescent="0.45">
      <c r="A618" t="s">
        <v>652</v>
      </c>
      <c r="B618">
        <v>59.58</v>
      </c>
      <c r="C618" t="s">
        <v>16</v>
      </c>
      <c r="D618" t="s">
        <v>17</v>
      </c>
      <c r="E618" t="s">
        <v>18</v>
      </c>
      <c r="F618" t="s">
        <v>19</v>
      </c>
      <c r="G618" t="s">
        <v>20</v>
      </c>
      <c r="H618" t="s">
        <v>21</v>
      </c>
      <c r="I618" t="s">
        <v>20</v>
      </c>
      <c r="J618" t="s">
        <v>27</v>
      </c>
      <c r="K618" t="s">
        <v>23</v>
      </c>
      <c r="L618">
        <v>258.33333333333297</v>
      </c>
      <c r="M618" t="s">
        <v>24</v>
      </c>
      <c r="N618" t="str">
        <f>_xlfn.XLOOKUP(A618,[1]!brca_metabric_clinical_data__2[Patient ID], [1]!brca_metabric_clinical_data__2[Tumor Size])</f>
        <v>20</v>
      </c>
      <c r="O618" t="str">
        <f>_xlfn.XLOOKUP(A618,[1]!brca_metabric_clinical_data__2[Sample ID],[1]!brca_metabric_clinical_data__2[Tumor Stage])</f>
        <v>2</v>
      </c>
    </row>
    <row r="619" spans="1:15" x14ac:dyDescent="0.45">
      <c r="A619" t="s">
        <v>653</v>
      </c>
      <c r="B619">
        <v>47.1</v>
      </c>
      <c r="C619" t="s">
        <v>16</v>
      </c>
      <c r="D619" t="s">
        <v>26</v>
      </c>
      <c r="E619" t="s">
        <v>18</v>
      </c>
      <c r="F619" t="s">
        <v>19</v>
      </c>
      <c r="G619" t="s">
        <v>20</v>
      </c>
      <c r="H619" t="s">
        <v>21</v>
      </c>
      <c r="I619" t="s">
        <v>20</v>
      </c>
      <c r="J619" t="s">
        <v>27</v>
      </c>
      <c r="K619" t="s">
        <v>23</v>
      </c>
      <c r="L619">
        <v>269.33333333333297</v>
      </c>
      <c r="M619" t="s">
        <v>24</v>
      </c>
      <c r="N619" t="str">
        <f>_xlfn.XLOOKUP(A619,[1]!brca_metabric_clinical_data__2[Patient ID], [1]!brca_metabric_clinical_data__2[Tumor Size])</f>
        <v>20</v>
      </c>
      <c r="O619" t="str">
        <f>_xlfn.XLOOKUP(A619,[1]!brca_metabric_clinical_data__2[Sample ID],[1]!brca_metabric_clinical_data__2[Tumor Stage])</f>
        <v>2</v>
      </c>
    </row>
    <row r="620" spans="1:15" x14ac:dyDescent="0.45">
      <c r="A620" t="s">
        <v>654</v>
      </c>
      <c r="B620">
        <v>66.84</v>
      </c>
      <c r="C620" t="s">
        <v>16</v>
      </c>
      <c r="D620" t="s">
        <v>17</v>
      </c>
      <c r="E620" t="s">
        <v>37</v>
      </c>
      <c r="F620" t="s">
        <v>43</v>
      </c>
      <c r="G620" t="s">
        <v>20</v>
      </c>
      <c r="H620" t="s">
        <v>21</v>
      </c>
      <c r="I620" t="s">
        <v>20</v>
      </c>
      <c r="J620" t="s">
        <v>22</v>
      </c>
      <c r="K620">
        <v>5</v>
      </c>
      <c r="L620">
        <v>196.566666666667</v>
      </c>
      <c r="M620" t="s">
        <v>30</v>
      </c>
      <c r="N620" t="str">
        <f>_xlfn.XLOOKUP(A620,[1]!brca_metabric_clinical_data__2[Patient ID], [1]!brca_metabric_clinical_data__2[Tumor Size])</f>
        <v>15</v>
      </c>
      <c r="O620" t="str">
        <f>_xlfn.XLOOKUP(A620,[1]!brca_metabric_clinical_data__2[Sample ID],[1]!brca_metabric_clinical_data__2[Tumor Stage])</f>
        <v>1</v>
      </c>
    </row>
    <row r="621" spans="1:15" x14ac:dyDescent="0.45">
      <c r="A621" t="s">
        <v>655</v>
      </c>
      <c r="B621">
        <v>68.180000000000007</v>
      </c>
      <c r="C621" t="s">
        <v>16</v>
      </c>
      <c r="D621" t="s">
        <v>17</v>
      </c>
      <c r="E621" t="s">
        <v>18</v>
      </c>
      <c r="F621" t="s">
        <v>19</v>
      </c>
      <c r="G621" t="s">
        <v>20</v>
      </c>
      <c r="H621" t="s">
        <v>20</v>
      </c>
      <c r="I621" t="s">
        <v>20</v>
      </c>
      <c r="J621" t="s">
        <v>22</v>
      </c>
      <c r="K621" t="s">
        <v>23</v>
      </c>
      <c r="L621">
        <v>237.36666666666699</v>
      </c>
      <c r="M621" t="s">
        <v>30</v>
      </c>
      <c r="N621" t="str">
        <f>_xlfn.XLOOKUP(A621,[1]!brca_metabric_clinical_data__2[Patient ID], [1]!brca_metabric_clinical_data__2[Tumor Size])</f>
        <v>13</v>
      </c>
      <c r="O621" t="str">
        <f>_xlfn.XLOOKUP(A621,[1]!brca_metabric_clinical_data__2[Sample ID],[1]!brca_metabric_clinical_data__2[Tumor Stage])</f>
        <v>1</v>
      </c>
    </row>
    <row r="622" spans="1:15" x14ac:dyDescent="0.45">
      <c r="A622" t="s">
        <v>656</v>
      </c>
      <c r="B622">
        <v>59.29</v>
      </c>
      <c r="C622" t="s">
        <v>16</v>
      </c>
      <c r="D622" t="s">
        <v>17</v>
      </c>
      <c r="E622" t="s">
        <v>18</v>
      </c>
      <c r="F622" t="s">
        <v>19</v>
      </c>
      <c r="G622" t="s">
        <v>20</v>
      </c>
      <c r="H622" t="s">
        <v>21</v>
      </c>
      <c r="I622" t="s">
        <v>20</v>
      </c>
      <c r="J622" t="s">
        <v>38</v>
      </c>
      <c r="K622" t="s">
        <v>23</v>
      </c>
      <c r="L622">
        <v>20.6666666666667</v>
      </c>
      <c r="M622" t="s">
        <v>30</v>
      </c>
      <c r="N622" t="str">
        <f>_xlfn.XLOOKUP(A622,[1]!brca_metabric_clinical_data__2[Patient ID], [1]!brca_metabric_clinical_data__2[Tumor Size])</f>
        <v>25</v>
      </c>
      <c r="O622" t="str">
        <f>_xlfn.XLOOKUP(A622,[1]!brca_metabric_clinical_data__2[Sample ID],[1]!brca_metabric_clinical_data__2[Tumor Stage])</f>
        <v>3</v>
      </c>
    </row>
    <row r="623" spans="1:15" x14ac:dyDescent="0.45">
      <c r="A623" t="s">
        <v>657</v>
      </c>
      <c r="B623">
        <v>49.83</v>
      </c>
      <c r="C623" t="s">
        <v>16</v>
      </c>
      <c r="D623" t="s">
        <v>26</v>
      </c>
      <c r="E623" t="s">
        <v>18</v>
      </c>
      <c r="F623" t="s">
        <v>19</v>
      </c>
      <c r="G623" t="s">
        <v>20</v>
      </c>
      <c r="H623" t="s">
        <v>21</v>
      </c>
      <c r="I623" t="s">
        <v>21</v>
      </c>
      <c r="J623" t="s">
        <v>29</v>
      </c>
      <c r="K623">
        <v>8</v>
      </c>
      <c r="L623">
        <v>218.3</v>
      </c>
      <c r="M623" t="s">
        <v>30</v>
      </c>
      <c r="N623" t="str">
        <f>_xlfn.XLOOKUP(A623,[1]!brca_metabric_clinical_data__2[Patient ID], [1]!brca_metabric_clinical_data__2[Tumor Size])</f>
        <v>25</v>
      </c>
      <c r="O623" t="str">
        <f>_xlfn.XLOOKUP(A623,[1]!brca_metabric_clinical_data__2[Sample ID],[1]!brca_metabric_clinical_data__2[Tumor Stage])</f>
        <v>1</v>
      </c>
    </row>
    <row r="624" spans="1:15" x14ac:dyDescent="0.45">
      <c r="A624" t="s">
        <v>658</v>
      </c>
      <c r="B624">
        <v>34.83</v>
      </c>
      <c r="C624" t="s">
        <v>16</v>
      </c>
      <c r="D624" t="s">
        <v>26</v>
      </c>
      <c r="E624" t="s">
        <v>37</v>
      </c>
      <c r="F624" t="s">
        <v>19</v>
      </c>
      <c r="G624" t="s">
        <v>21</v>
      </c>
      <c r="H624" t="s">
        <v>20</v>
      </c>
      <c r="I624" t="s">
        <v>21</v>
      </c>
      <c r="J624" t="s">
        <v>22</v>
      </c>
      <c r="K624">
        <v>10</v>
      </c>
      <c r="L624">
        <v>125.6</v>
      </c>
      <c r="M624" t="s">
        <v>30</v>
      </c>
      <c r="N624" t="str">
        <f>_xlfn.XLOOKUP(A624,[1]!brca_metabric_clinical_data__2[Patient ID], [1]!brca_metabric_clinical_data__2[Tumor Size])</f>
        <v>25</v>
      </c>
      <c r="O624" t="str">
        <f>_xlfn.XLOOKUP(A624,[1]!brca_metabric_clinical_data__2[Sample ID],[1]!brca_metabric_clinical_data__2[Tumor Stage])</f>
        <v>2</v>
      </c>
    </row>
    <row r="625" spans="1:15" x14ac:dyDescent="0.45">
      <c r="A625" t="s">
        <v>659</v>
      </c>
      <c r="B625">
        <v>59.6</v>
      </c>
      <c r="C625" t="s">
        <v>16</v>
      </c>
      <c r="D625" t="s">
        <v>17</v>
      </c>
      <c r="E625" t="s">
        <v>37</v>
      </c>
      <c r="F625" t="s">
        <v>19</v>
      </c>
      <c r="G625" t="s">
        <v>21</v>
      </c>
      <c r="H625" t="s">
        <v>20</v>
      </c>
      <c r="I625" t="s">
        <v>21</v>
      </c>
      <c r="J625" t="s">
        <v>58</v>
      </c>
      <c r="K625">
        <v>10</v>
      </c>
      <c r="L625">
        <v>267.39999999999998</v>
      </c>
      <c r="M625" t="s">
        <v>24</v>
      </c>
      <c r="N625" t="str">
        <f>_xlfn.XLOOKUP(A625,[1]!brca_metabric_clinical_data__2[Patient ID], [1]!brca_metabric_clinical_data__2[Tumor Size])</f>
        <v>20</v>
      </c>
      <c r="O625" t="str">
        <f>_xlfn.XLOOKUP(A625,[1]!brca_metabric_clinical_data__2[Sample ID],[1]!brca_metabric_clinical_data__2[Tumor Stage])</f>
        <v>3</v>
      </c>
    </row>
    <row r="626" spans="1:15" x14ac:dyDescent="0.45">
      <c r="A626" t="s">
        <v>660</v>
      </c>
      <c r="B626">
        <v>48.93</v>
      </c>
      <c r="C626" t="s">
        <v>16</v>
      </c>
      <c r="D626" t="s">
        <v>26</v>
      </c>
      <c r="E626" t="s">
        <v>18</v>
      </c>
      <c r="F626" t="s">
        <v>19</v>
      </c>
      <c r="G626" t="s">
        <v>20</v>
      </c>
      <c r="H626" t="s">
        <v>20</v>
      </c>
      <c r="I626" t="s">
        <v>21</v>
      </c>
      <c r="J626" t="s">
        <v>27</v>
      </c>
      <c r="K626">
        <v>3</v>
      </c>
      <c r="L626">
        <v>266.933333333333</v>
      </c>
      <c r="M626" t="s">
        <v>24</v>
      </c>
      <c r="N626" t="str">
        <f>_xlfn.XLOOKUP(A626,[1]!brca_metabric_clinical_data__2[Patient ID], [1]!brca_metabric_clinical_data__2[Tumor Size])</f>
        <v>16</v>
      </c>
      <c r="O626" t="str">
        <f>_xlfn.XLOOKUP(A626,[1]!brca_metabric_clinical_data__2[Sample ID],[1]!brca_metabric_clinical_data__2[Tumor Stage])</f>
        <v>1</v>
      </c>
    </row>
    <row r="627" spans="1:15" x14ac:dyDescent="0.45">
      <c r="A627" t="s">
        <v>661</v>
      </c>
      <c r="B627">
        <v>33.9</v>
      </c>
      <c r="C627" t="s">
        <v>16</v>
      </c>
      <c r="D627" t="s">
        <v>26</v>
      </c>
      <c r="E627" t="s">
        <v>37</v>
      </c>
      <c r="F627" t="s">
        <v>19</v>
      </c>
      <c r="G627" t="s">
        <v>21</v>
      </c>
      <c r="H627" t="s">
        <v>20</v>
      </c>
      <c r="I627" t="s">
        <v>21</v>
      </c>
      <c r="J627" t="s">
        <v>58</v>
      </c>
      <c r="K627">
        <v>10</v>
      </c>
      <c r="L627">
        <v>31.933333333333302</v>
      </c>
      <c r="M627" t="s">
        <v>30</v>
      </c>
      <c r="N627" t="str">
        <f>_xlfn.XLOOKUP(A627,[1]!brca_metabric_clinical_data__2[Patient ID], [1]!brca_metabric_clinical_data__2[Tumor Size])</f>
        <v>30</v>
      </c>
      <c r="O627" t="str">
        <f>_xlfn.XLOOKUP(A627,[1]!brca_metabric_clinical_data__2[Sample ID],[1]!brca_metabric_clinical_data__2[Tumor Stage])</f>
        <v>2</v>
      </c>
    </row>
    <row r="628" spans="1:15" x14ac:dyDescent="0.45">
      <c r="A628" t="s">
        <v>662</v>
      </c>
      <c r="B628">
        <v>59.13</v>
      </c>
      <c r="C628" t="s">
        <v>16</v>
      </c>
      <c r="D628" t="s">
        <v>17</v>
      </c>
      <c r="E628" t="s">
        <v>18</v>
      </c>
      <c r="F628" t="s">
        <v>19</v>
      </c>
      <c r="G628" t="s">
        <v>20</v>
      </c>
      <c r="H628" t="s">
        <v>20</v>
      </c>
      <c r="I628" t="s">
        <v>20</v>
      </c>
      <c r="J628" t="s">
        <v>29</v>
      </c>
      <c r="K628">
        <v>8</v>
      </c>
      <c r="L628">
        <v>240.03333333333299</v>
      </c>
      <c r="M628" t="s">
        <v>30</v>
      </c>
      <c r="N628" t="str">
        <f>_xlfn.XLOOKUP(A628,[1]!brca_metabric_clinical_data__2[Patient ID], [1]!brca_metabric_clinical_data__2[Tumor Size])</f>
        <v>20</v>
      </c>
      <c r="O628" t="str">
        <f>_xlfn.XLOOKUP(A628,[1]!brca_metabric_clinical_data__2[Sample ID],[1]!brca_metabric_clinical_data__2[Tumor Stage])</f>
        <v>1</v>
      </c>
    </row>
    <row r="629" spans="1:15" x14ac:dyDescent="0.45">
      <c r="A629" t="s">
        <v>663</v>
      </c>
      <c r="B629">
        <v>45.74</v>
      </c>
      <c r="C629" t="s">
        <v>16</v>
      </c>
      <c r="D629" t="s">
        <v>26</v>
      </c>
      <c r="E629" t="s">
        <v>37</v>
      </c>
      <c r="F629" t="s">
        <v>43</v>
      </c>
      <c r="G629" t="s">
        <v>21</v>
      </c>
      <c r="H629" t="s">
        <v>20</v>
      </c>
      <c r="I629" t="s">
        <v>21</v>
      </c>
      <c r="J629" t="s">
        <v>45</v>
      </c>
      <c r="K629">
        <v>1</v>
      </c>
      <c r="L629">
        <v>14.4</v>
      </c>
      <c r="M629" t="s">
        <v>30</v>
      </c>
      <c r="N629" t="str">
        <f>_xlfn.XLOOKUP(A629,[1]!brca_metabric_clinical_data__2[Patient ID], [1]!brca_metabric_clinical_data__2[Tumor Size])</f>
        <v>25</v>
      </c>
      <c r="O629" t="str">
        <f>_xlfn.XLOOKUP(A629,[1]!brca_metabric_clinical_data__2[Sample ID],[1]!brca_metabric_clinical_data__2[Tumor Stage])</f>
        <v>3</v>
      </c>
    </row>
    <row r="630" spans="1:15" x14ac:dyDescent="0.45">
      <c r="A630" t="s">
        <v>664</v>
      </c>
      <c r="B630">
        <v>37.01</v>
      </c>
      <c r="C630" t="s">
        <v>16</v>
      </c>
      <c r="D630" t="s">
        <v>26</v>
      </c>
      <c r="E630" t="s">
        <v>37</v>
      </c>
      <c r="F630" t="s">
        <v>43</v>
      </c>
      <c r="G630" t="s">
        <v>21</v>
      </c>
      <c r="H630" t="s">
        <v>20</v>
      </c>
      <c r="I630" t="s">
        <v>21</v>
      </c>
      <c r="J630" t="s">
        <v>45</v>
      </c>
      <c r="K630">
        <v>5</v>
      </c>
      <c r="L630">
        <v>14.1</v>
      </c>
      <c r="M630" t="s">
        <v>30</v>
      </c>
      <c r="N630" t="str">
        <f>_xlfn.XLOOKUP(A630,[1]!brca_metabric_clinical_data__2[Patient ID], [1]!brca_metabric_clinical_data__2[Tumor Size])</f>
        <v>37</v>
      </c>
      <c r="O630" t="str">
        <f>_xlfn.XLOOKUP(A630,[1]!brca_metabric_clinical_data__2[Sample ID],[1]!brca_metabric_clinical_data__2[Tumor Stage])</f>
        <v>3</v>
      </c>
    </row>
    <row r="631" spans="1:15" x14ac:dyDescent="0.45">
      <c r="A631" t="s">
        <v>665</v>
      </c>
      <c r="B631">
        <v>58.14</v>
      </c>
      <c r="C631" t="s">
        <v>16</v>
      </c>
      <c r="D631" t="s">
        <v>17</v>
      </c>
      <c r="E631" t="s">
        <v>18</v>
      </c>
      <c r="F631" t="s">
        <v>35</v>
      </c>
      <c r="G631" t="s">
        <v>20</v>
      </c>
      <c r="H631" t="s">
        <v>20</v>
      </c>
      <c r="I631" t="s">
        <v>20</v>
      </c>
      <c r="J631" t="s">
        <v>27</v>
      </c>
      <c r="K631">
        <v>1</v>
      </c>
      <c r="L631">
        <v>263.7</v>
      </c>
      <c r="M631" t="s">
        <v>30</v>
      </c>
      <c r="N631" t="str">
        <f>_xlfn.XLOOKUP(A631,[1]!brca_metabric_clinical_data__2[Patient ID], [1]!brca_metabric_clinical_data__2[Tumor Size])</f>
        <v>13</v>
      </c>
      <c r="O631" t="str">
        <f>_xlfn.XLOOKUP(A631,[1]!brca_metabric_clinical_data__2[Sample ID],[1]!brca_metabric_clinical_data__2[Tumor Stage])</f>
        <v>1</v>
      </c>
    </row>
    <row r="632" spans="1:15" x14ac:dyDescent="0.45">
      <c r="A632" t="s">
        <v>666</v>
      </c>
      <c r="B632">
        <v>53.31</v>
      </c>
      <c r="C632" t="s">
        <v>16</v>
      </c>
      <c r="D632" t="s">
        <v>17</v>
      </c>
      <c r="E632" t="s">
        <v>37</v>
      </c>
      <c r="F632" t="s">
        <v>19</v>
      </c>
      <c r="G632" t="s">
        <v>21</v>
      </c>
      <c r="H632" t="s">
        <v>20</v>
      </c>
      <c r="I632" t="s">
        <v>21</v>
      </c>
      <c r="J632" t="s">
        <v>45</v>
      </c>
      <c r="K632" t="s">
        <v>39</v>
      </c>
      <c r="L632">
        <v>262.86666666666702</v>
      </c>
      <c r="M632" t="s">
        <v>30</v>
      </c>
      <c r="N632" t="str">
        <f>_xlfn.XLOOKUP(A632,[1]!brca_metabric_clinical_data__2[Patient ID], [1]!brca_metabric_clinical_data__2[Tumor Size])</f>
        <v>20</v>
      </c>
      <c r="O632" t="str">
        <f>_xlfn.XLOOKUP(A632,[1]!brca_metabric_clinical_data__2[Sample ID],[1]!brca_metabric_clinical_data__2[Tumor Stage])</f>
        <v>2</v>
      </c>
    </row>
    <row r="633" spans="1:15" x14ac:dyDescent="0.45">
      <c r="A633" t="s">
        <v>667</v>
      </c>
      <c r="B633">
        <v>46.9</v>
      </c>
      <c r="C633" t="s">
        <v>16</v>
      </c>
      <c r="D633" t="s">
        <v>26</v>
      </c>
      <c r="E633" t="s">
        <v>18</v>
      </c>
      <c r="F633" t="s">
        <v>19</v>
      </c>
      <c r="G633" t="s">
        <v>20</v>
      </c>
      <c r="H633" t="s">
        <v>20</v>
      </c>
      <c r="I633" t="s">
        <v>20</v>
      </c>
      <c r="J633" t="s">
        <v>29</v>
      </c>
      <c r="K633">
        <v>8</v>
      </c>
      <c r="L633">
        <v>228.1</v>
      </c>
      <c r="M633" t="s">
        <v>30</v>
      </c>
      <c r="N633" t="str">
        <f>_xlfn.XLOOKUP(A633,[1]!brca_metabric_clinical_data__2[Patient ID], [1]!brca_metabric_clinical_data__2[Tumor Size])</f>
        <v>17</v>
      </c>
      <c r="O633" t="str">
        <f>_xlfn.XLOOKUP(A633,[1]!brca_metabric_clinical_data__2[Sample ID],[1]!brca_metabric_clinical_data__2[Tumor Stage])</f>
        <v>1</v>
      </c>
    </row>
    <row r="634" spans="1:15" x14ac:dyDescent="0.45">
      <c r="A634" t="s">
        <v>668</v>
      </c>
      <c r="B634">
        <v>63.1</v>
      </c>
      <c r="C634" t="s">
        <v>16</v>
      </c>
      <c r="D634" t="s">
        <v>17</v>
      </c>
      <c r="E634" t="s">
        <v>18</v>
      </c>
      <c r="F634" t="s">
        <v>19</v>
      </c>
      <c r="G634" t="s">
        <v>20</v>
      </c>
      <c r="H634" t="s">
        <v>21</v>
      </c>
      <c r="I634" t="s">
        <v>21</v>
      </c>
      <c r="J634" t="s">
        <v>29</v>
      </c>
      <c r="K634">
        <v>2</v>
      </c>
      <c r="L634">
        <v>108.433333333333</v>
      </c>
      <c r="M634" t="s">
        <v>24</v>
      </c>
      <c r="N634" t="str">
        <f>_xlfn.XLOOKUP(A634,[1]!brca_metabric_clinical_data__2[Patient ID], [1]!brca_metabric_clinical_data__2[Tumor Size])</f>
        <v>18</v>
      </c>
      <c r="O634" t="str">
        <f>_xlfn.XLOOKUP(A634,[1]!brca_metabric_clinical_data__2[Sample ID],[1]!brca_metabric_clinical_data__2[Tumor Stage])</f>
        <v>1</v>
      </c>
    </row>
    <row r="635" spans="1:15" x14ac:dyDescent="0.45">
      <c r="A635" t="s">
        <v>669</v>
      </c>
      <c r="B635">
        <v>44.08</v>
      </c>
      <c r="C635" t="s">
        <v>16</v>
      </c>
      <c r="D635" t="s">
        <v>26</v>
      </c>
      <c r="E635" t="s">
        <v>18</v>
      </c>
      <c r="F635" t="s">
        <v>19</v>
      </c>
      <c r="G635" t="s">
        <v>20</v>
      </c>
      <c r="H635" t="s">
        <v>20</v>
      </c>
      <c r="I635" t="s">
        <v>20</v>
      </c>
      <c r="J635" t="s">
        <v>27</v>
      </c>
      <c r="K635">
        <v>3</v>
      </c>
      <c r="L635">
        <v>161.933333333333</v>
      </c>
      <c r="M635" t="s">
        <v>30</v>
      </c>
      <c r="N635" t="str">
        <f>_xlfn.XLOOKUP(A635,[1]!brca_metabric_clinical_data__2[Patient ID], [1]!brca_metabric_clinical_data__2[Tumor Size])</f>
        <v>15</v>
      </c>
      <c r="O635" t="str">
        <f>_xlfn.XLOOKUP(A635,[1]!brca_metabric_clinical_data__2[Sample ID],[1]!brca_metabric_clinical_data__2[Tumor Stage])</f>
        <v>1</v>
      </c>
    </row>
    <row r="636" spans="1:15" x14ac:dyDescent="0.45">
      <c r="A636" t="s">
        <v>670</v>
      </c>
      <c r="B636">
        <v>70.19</v>
      </c>
      <c r="C636" t="s">
        <v>16</v>
      </c>
      <c r="D636" t="s">
        <v>17</v>
      </c>
      <c r="E636" t="s">
        <v>18</v>
      </c>
      <c r="F636" t="s">
        <v>43</v>
      </c>
      <c r="G636" t="s">
        <v>20</v>
      </c>
      <c r="H636" t="s">
        <v>21</v>
      </c>
      <c r="I636" t="s">
        <v>20</v>
      </c>
      <c r="J636" t="s">
        <v>29</v>
      </c>
      <c r="K636">
        <v>5</v>
      </c>
      <c r="L636">
        <v>101.26666666666701</v>
      </c>
      <c r="M636" t="s">
        <v>30</v>
      </c>
      <c r="N636" t="str">
        <f>_xlfn.XLOOKUP(A636,[1]!brca_metabric_clinical_data__2[Patient ID], [1]!brca_metabric_clinical_data__2[Tumor Size])</f>
        <v>17</v>
      </c>
      <c r="O636" t="str">
        <f>_xlfn.XLOOKUP(A636,[1]!brca_metabric_clinical_data__2[Sample ID],[1]!brca_metabric_clinical_data__2[Tumor Stage])</f>
        <v>2</v>
      </c>
    </row>
    <row r="637" spans="1:15" x14ac:dyDescent="0.45">
      <c r="A637" t="s">
        <v>671</v>
      </c>
      <c r="B637">
        <v>66.97</v>
      </c>
      <c r="C637" t="s">
        <v>16</v>
      </c>
      <c r="D637" t="s">
        <v>17</v>
      </c>
      <c r="E637" t="s">
        <v>37</v>
      </c>
      <c r="F637" t="s">
        <v>19</v>
      </c>
      <c r="G637" t="s">
        <v>20</v>
      </c>
      <c r="H637" t="s">
        <v>21</v>
      </c>
      <c r="I637" t="s">
        <v>20</v>
      </c>
      <c r="J637" t="s">
        <v>27</v>
      </c>
      <c r="K637">
        <v>8</v>
      </c>
      <c r="L637">
        <v>27.2</v>
      </c>
      <c r="M637" t="s">
        <v>30</v>
      </c>
      <c r="N637" t="str">
        <f>_xlfn.XLOOKUP(A637,[1]!brca_metabric_clinical_data__2[Patient ID], [1]!brca_metabric_clinical_data__2[Tumor Size])</f>
        <v>27</v>
      </c>
      <c r="O637" t="str">
        <f>_xlfn.XLOOKUP(A637,[1]!brca_metabric_clinical_data__2[Sample ID],[1]!brca_metabric_clinical_data__2[Tumor Stage])</f>
        <v>1</v>
      </c>
    </row>
    <row r="638" spans="1:15" x14ac:dyDescent="0.45">
      <c r="A638" t="s">
        <v>672</v>
      </c>
      <c r="B638">
        <v>36.47</v>
      </c>
      <c r="C638" t="s">
        <v>16</v>
      </c>
      <c r="D638" t="s">
        <v>26</v>
      </c>
      <c r="E638" t="s">
        <v>18</v>
      </c>
      <c r="F638" t="s">
        <v>19</v>
      </c>
      <c r="G638" t="s">
        <v>20</v>
      </c>
      <c r="H638" t="s">
        <v>20</v>
      </c>
      <c r="I638" t="s">
        <v>20</v>
      </c>
      <c r="J638" t="s">
        <v>27</v>
      </c>
      <c r="K638" t="s">
        <v>23</v>
      </c>
      <c r="L638">
        <v>112</v>
      </c>
      <c r="M638" t="s">
        <v>24</v>
      </c>
      <c r="N638" t="str">
        <f>_xlfn.XLOOKUP(A638,[1]!brca_metabric_clinical_data__2[Patient ID], [1]!brca_metabric_clinical_data__2[Tumor Size])</f>
        <v>15</v>
      </c>
      <c r="O638" t="str">
        <f>_xlfn.XLOOKUP(A638,[1]!brca_metabric_clinical_data__2[Sample ID],[1]!brca_metabric_clinical_data__2[Tumor Stage])</f>
        <v>1</v>
      </c>
    </row>
    <row r="639" spans="1:15" x14ac:dyDescent="0.45">
      <c r="A639" t="s">
        <v>673</v>
      </c>
      <c r="B639">
        <v>39.07</v>
      </c>
      <c r="C639" t="s">
        <v>16</v>
      </c>
      <c r="D639" t="s">
        <v>26</v>
      </c>
      <c r="E639" t="s">
        <v>18</v>
      </c>
      <c r="F639" t="s">
        <v>19</v>
      </c>
      <c r="G639" t="s">
        <v>20</v>
      </c>
      <c r="H639" t="s">
        <v>20</v>
      </c>
      <c r="I639" t="s">
        <v>21</v>
      </c>
      <c r="J639" t="s">
        <v>27</v>
      </c>
      <c r="K639">
        <v>1</v>
      </c>
      <c r="L639">
        <v>263.36666666666702</v>
      </c>
      <c r="M639" t="s">
        <v>24</v>
      </c>
      <c r="N639" t="str">
        <f>_xlfn.XLOOKUP(A639,[1]!brca_metabric_clinical_data__2[Patient ID], [1]!brca_metabric_clinical_data__2[Tumor Size])</f>
        <v>15</v>
      </c>
      <c r="O639" t="str">
        <f>_xlfn.XLOOKUP(A639,[1]!brca_metabric_clinical_data__2[Sample ID],[1]!brca_metabric_clinical_data__2[Tumor Stage])</f>
        <v>1</v>
      </c>
    </row>
    <row r="640" spans="1:15" x14ac:dyDescent="0.45">
      <c r="A640" t="s">
        <v>674</v>
      </c>
      <c r="B640">
        <v>52.67</v>
      </c>
      <c r="C640" t="s">
        <v>16</v>
      </c>
      <c r="D640" t="s">
        <v>17</v>
      </c>
      <c r="E640" t="s">
        <v>18</v>
      </c>
      <c r="F640" t="s">
        <v>19</v>
      </c>
      <c r="G640" t="s">
        <v>20</v>
      </c>
      <c r="H640" t="s">
        <v>20</v>
      </c>
      <c r="I640" t="s">
        <v>21</v>
      </c>
      <c r="J640" t="s">
        <v>27</v>
      </c>
      <c r="K640">
        <v>8</v>
      </c>
      <c r="L640">
        <v>189.1</v>
      </c>
      <c r="M640" t="s">
        <v>30</v>
      </c>
      <c r="N640" t="str">
        <f>_xlfn.XLOOKUP(A640,[1]!brca_metabric_clinical_data__2[Patient ID], [1]!brca_metabric_clinical_data__2[Tumor Size])</f>
        <v>12</v>
      </c>
      <c r="O640" t="str">
        <f>_xlfn.XLOOKUP(A640,[1]!brca_metabric_clinical_data__2[Sample ID],[1]!brca_metabric_clinical_data__2[Tumor Stage])</f>
        <v>1</v>
      </c>
    </row>
    <row r="641" spans="1:15" x14ac:dyDescent="0.45">
      <c r="A641" t="s">
        <v>675</v>
      </c>
      <c r="B641">
        <v>43.08</v>
      </c>
      <c r="C641" t="s">
        <v>16</v>
      </c>
      <c r="D641" t="s">
        <v>26</v>
      </c>
      <c r="E641" t="s">
        <v>18</v>
      </c>
      <c r="F641" t="s">
        <v>19</v>
      </c>
      <c r="G641" t="s">
        <v>20</v>
      </c>
      <c r="H641" t="s">
        <v>20</v>
      </c>
      <c r="I641" t="s">
        <v>21</v>
      </c>
      <c r="J641" t="s">
        <v>29</v>
      </c>
      <c r="K641">
        <v>10</v>
      </c>
      <c r="L641">
        <v>30.133333333333301</v>
      </c>
      <c r="M641" t="s">
        <v>30</v>
      </c>
      <c r="N641" t="str">
        <f>_xlfn.XLOOKUP(A641,[1]!brca_metabric_clinical_data__2[Patient ID], [1]!brca_metabric_clinical_data__2[Tumor Size])</f>
        <v>18</v>
      </c>
      <c r="O641" t="str">
        <f>_xlfn.XLOOKUP(A641,[1]!brca_metabric_clinical_data__2[Sample ID],[1]!brca_metabric_clinical_data__2[Tumor Stage])</f>
        <v>1</v>
      </c>
    </row>
    <row r="642" spans="1:15" x14ac:dyDescent="0.45">
      <c r="A642" t="s">
        <v>676</v>
      </c>
      <c r="B642">
        <v>69.790000000000006</v>
      </c>
      <c r="C642" t="s">
        <v>16</v>
      </c>
      <c r="D642" t="s">
        <v>17</v>
      </c>
      <c r="E642" t="s">
        <v>18</v>
      </c>
      <c r="F642" t="s">
        <v>19</v>
      </c>
      <c r="G642" t="s">
        <v>20</v>
      </c>
      <c r="H642" t="s">
        <v>21</v>
      </c>
      <c r="I642" t="s">
        <v>21</v>
      </c>
      <c r="J642" t="s">
        <v>29</v>
      </c>
      <c r="K642">
        <v>8</v>
      </c>
      <c r="L642">
        <v>5.5</v>
      </c>
      <c r="M642" t="s">
        <v>30</v>
      </c>
      <c r="N642" t="str">
        <f>_xlfn.XLOOKUP(A642,[1]!brca_metabric_clinical_data__2[Patient ID], [1]!brca_metabric_clinical_data__2[Tumor Size])</f>
        <v>30</v>
      </c>
      <c r="O642" t="str">
        <f>_xlfn.XLOOKUP(A642,[1]!brca_metabric_clinical_data__2[Sample ID],[1]!brca_metabric_clinical_data__2[Tumor Stage])</f>
        <v>2</v>
      </c>
    </row>
    <row r="643" spans="1:15" x14ac:dyDescent="0.45">
      <c r="A643" t="s">
        <v>677</v>
      </c>
      <c r="B643">
        <v>31.02</v>
      </c>
      <c r="C643" t="s">
        <v>16</v>
      </c>
      <c r="D643" t="s">
        <v>26</v>
      </c>
      <c r="E643" t="s">
        <v>37</v>
      </c>
      <c r="F643" t="s">
        <v>19</v>
      </c>
      <c r="G643" t="s">
        <v>21</v>
      </c>
      <c r="H643" t="s">
        <v>20</v>
      </c>
      <c r="I643" t="s">
        <v>21</v>
      </c>
      <c r="J643" t="s">
        <v>22</v>
      </c>
      <c r="K643">
        <v>10</v>
      </c>
      <c r="L643">
        <v>262.13333333333298</v>
      </c>
      <c r="M643" t="s">
        <v>24</v>
      </c>
      <c r="N643" t="str">
        <f>_xlfn.XLOOKUP(A643,[1]!brca_metabric_clinical_data__2[Patient ID], [1]!brca_metabric_clinical_data__2[Tumor Size])</f>
        <v>30</v>
      </c>
      <c r="O643" t="str">
        <f>_xlfn.XLOOKUP(A643,[1]!brca_metabric_clinical_data__2[Sample ID],[1]!brca_metabric_clinical_data__2[Tumor Stage])</f>
        <v>2</v>
      </c>
    </row>
    <row r="644" spans="1:15" x14ac:dyDescent="0.45">
      <c r="A644" t="s">
        <v>678</v>
      </c>
      <c r="B644">
        <v>69.67</v>
      </c>
      <c r="C644" t="s">
        <v>16</v>
      </c>
      <c r="D644" t="s">
        <v>17</v>
      </c>
      <c r="E644" t="s">
        <v>18</v>
      </c>
      <c r="F644" t="s">
        <v>19</v>
      </c>
      <c r="G644" t="s">
        <v>20</v>
      </c>
      <c r="H644" t="s">
        <v>21</v>
      </c>
      <c r="I644" t="s">
        <v>20</v>
      </c>
      <c r="J644" t="s">
        <v>27</v>
      </c>
      <c r="K644">
        <v>6</v>
      </c>
      <c r="L644">
        <v>222.2</v>
      </c>
      <c r="M644" t="s">
        <v>30</v>
      </c>
      <c r="N644" t="str">
        <f>_xlfn.XLOOKUP(A644,[1]!brca_metabric_clinical_data__2[Patient ID], [1]!brca_metabric_clinical_data__2[Tumor Size])</f>
        <v>25</v>
      </c>
      <c r="O644" t="str">
        <f>_xlfn.XLOOKUP(A644,[1]!brca_metabric_clinical_data__2[Sample ID],[1]!brca_metabric_clinical_data__2[Tumor Stage])</f>
        <v>1</v>
      </c>
    </row>
    <row r="645" spans="1:15" x14ac:dyDescent="0.45">
      <c r="A645" t="s">
        <v>679</v>
      </c>
      <c r="B645">
        <v>53.99</v>
      </c>
      <c r="C645" t="s">
        <v>16</v>
      </c>
      <c r="D645" t="s">
        <v>17</v>
      </c>
      <c r="E645" t="s">
        <v>18</v>
      </c>
      <c r="F645" t="s">
        <v>19</v>
      </c>
      <c r="G645" t="s">
        <v>20</v>
      </c>
      <c r="H645" t="s">
        <v>21</v>
      </c>
      <c r="I645" t="s">
        <v>21</v>
      </c>
      <c r="J645" t="s">
        <v>22</v>
      </c>
      <c r="K645" t="s">
        <v>23</v>
      </c>
      <c r="L645">
        <v>227.833333333333</v>
      </c>
      <c r="M645" t="s">
        <v>30</v>
      </c>
      <c r="N645" t="str">
        <f>_xlfn.XLOOKUP(A645,[1]!brca_metabric_clinical_data__2[Patient ID], [1]!brca_metabric_clinical_data__2[Tumor Size])</f>
        <v>10</v>
      </c>
      <c r="O645" t="str">
        <f>_xlfn.XLOOKUP(A645,[1]!brca_metabric_clinical_data__2[Sample ID],[1]!brca_metabric_clinical_data__2[Tumor Stage])</f>
        <v>3</v>
      </c>
    </row>
    <row r="646" spans="1:15" x14ac:dyDescent="0.45">
      <c r="A646" t="s">
        <v>680</v>
      </c>
      <c r="B646">
        <v>69.48</v>
      </c>
      <c r="C646" t="s">
        <v>16</v>
      </c>
      <c r="D646" t="s">
        <v>17</v>
      </c>
      <c r="E646" t="s">
        <v>18</v>
      </c>
      <c r="F646" t="s">
        <v>43</v>
      </c>
      <c r="G646" t="s">
        <v>20</v>
      </c>
      <c r="H646" t="s">
        <v>21</v>
      </c>
      <c r="I646" t="s">
        <v>21</v>
      </c>
      <c r="J646" t="s">
        <v>45</v>
      </c>
      <c r="K646">
        <v>5</v>
      </c>
      <c r="L646">
        <v>9.6</v>
      </c>
      <c r="M646" t="s">
        <v>30</v>
      </c>
      <c r="N646" t="str">
        <f>_xlfn.XLOOKUP(A646,[1]!brca_metabric_clinical_data__2[Patient ID], [1]!brca_metabric_clinical_data__2[Tumor Size])</f>
        <v>30</v>
      </c>
      <c r="O646" t="str">
        <f>_xlfn.XLOOKUP(A646,[1]!brca_metabric_clinical_data__2[Sample ID],[1]!brca_metabric_clinical_data__2[Tumor Stage])</f>
        <v>3</v>
      </c>
    </row>
    <row r="647" spans="1:15" x14ac:dyDescent="0.45">
      <c r="A647" t="s">
        <v>681</v>
      </c>
      <c r="B647">
        <v>50.3</v>
      </c>
      <c r="C647" t="s">
        <v>16</v>
      </c>
      <c r="D647" t="s">
        <v>17</v>
      </c>
      <c r="E647" t="s">
        <v>18</v>
      </c>
      <c r="F647" t="s">
        <v>19</v>
      </c>
      <c r="G647" t="s">
        <v>20</v>
      </c>
      <c r="H647" t="s">
        <v>21</v>
      </c>
      <c r="I647" t="s">
        <v>21</v>
      </c>
      <c r="J647" t="s">
        <v>27</v>
      </c>
      <c r="K647">
        <v>8</v>
      </c>
      <c r="L647">
        <v>265</v>
      </c>
      <c r="M647" t="s">
        <v>24</v>
      </c>
      <c r="N647" t="str">
        <f>_xlfn.XLOOKUP(A647,[1]!brca_metabric_clinical_data__2[Patient ID], [1]!brca_metabric_clinical_data__2[Tumor Size])</f>
        <v>18</v>
      </c>
      <c r="O647" t="str">
        <f>_xlfn.XLOOKUP(A647,[1]!brca_metabric_clinical_data__2[Sample ID],[1]!brca_metabric_clinical_data__2[Tumor Stage])</f>
        <v>2</v>
      </c>
    </row>
    <row r="648" spans="1:15" x14ac:dyDescent="0.45">
      <c r="A648" t="s">
        <v>682</v>
      </c>
      <c r="B648">
        <v>66.86</v>
      </c>
      <c r="C648" t="s">
        <v>16</v>
      </c>
      <c r="D648" t="s">
        <v>17</v>
      </c>
      <c r="E648" t="s">
        <v>18</v>
      </c>
      <c r="F648" t="s">
        <v>35</v>
      </c>
      <c r="G648" t="s">
        <v>20</v>
      </c>
      <c r="H648" t="s">
        <v>20</v>
      </c>
      <c r="I648" t="s">
        <v>21</v>
      </c>
      <c r="J648" t="s">
        <v>27</v>
      </c>
      <c r="K648">
        <v>3</v>
      </c>
      <c r="L648">
        <v>172.9</v>
      </c>
      <c r="M648" t="s">
        <v>30</v>
      </c>
      <c r="N648" t="str">
        <f>_xlfn.XLOOKUP(A648,[1]!brca_metabric_clinical_data__2[Patient ID], [1]!brca_metabric_clinical_data__2[Tumor Size])</f>
        <v>13</v>
      </c>
      <c r="O648" t="str">
        <f>_xlfn.XLOOKUP(A648,[1]!brca_metabric_clinical_data__2[Sample ID],[1]!brca_metabric_clinical_data__2[Tumor Stage])</f>
        <v>1</v>
      </c>
    </row>
    <row r="649" spans="1:15" x14ac:dyDescent="0.45">
      <c r="A649" t="s">
        <v>683</v>
      </c>
      <c r="B649">
        <v>46.49</v>
      </c>
      <c r="C649" t="s">
        <v>16</v>
      </c>
      <c r="D649" t="s">
        <v>26</v>
      </c>
      <c r="E649" t="s">
        <v>18</v>
      </c>
      <c r="F649" t="s">
        <v>19</v>
      </c>
      <c r="G649" t="s">
        <v>20</v>
      </c>
      <c r="H649" t="s">
        <v>21</v>
      </c>
      <c r="I649" t="s">
        <v>20</v>
      </c>
      <c r="J649" t="s">
        <v>27</v>
      </c>
      <c r="K649" t="s">
        <v>23</v>
      </c>
      <c r="L649">
        <v>252.86666666666699</v>
      </c>
      <c r="M649" t="s">
        <v>30</v>
      </c>
      <c r="N649" t="str">
        <f>_xlfn.XLOOKUP(A649,[1]!brca_metabric_clinical_data__2[Patient ID], [1]!brca_metabric_clinical_data__2[Tumor Size])</f>
        <v>25</v>
      </c>
      <c r="O649" t="str">
        <f>_xlfn.XLOOKUP(A649,[1]!brca_metabric_clinical_data__2[Sample ID],[1]!brca_metabric_clinical_data__2[Tumor Stage])</f>
        <v>2</v>
      </c>
    </row>
    <row r="650" spans="1:15" x14ac:dyDescent="0.45">
      <c r="A650" t="s">
        <v>684</v>
      </c>
      <c r="B650">
        <v>69.599999999999994</v>
      </c>
      <c r="C650" t="s">
        <v>16</v>
      </c>
      <c r="D650" t="s">
        <v>17</v>
      </c>
      <c r="E650" t="s">
        <v>18</v>
      </c>
      <c r="F650" t="s">
        <v>19</v>
      </c>
      <c r="G650" t="s">
        <v>20</v>
      </c>
      <c r="H650" t="s">
        <v>21</v>
      </c>
      <c r="I650" t="s">
        <v>21</v>
      </c>
      <c r="J650" t="s">
        <v>27</v>
      </c>
      <c r="K650">
        <v>3</v>
      </c>
      <c r="L650">
        <v>264.23333333333301</v>
      </c>
      <c r="M650" t="s">
        <v>24</v>
      </c>
      <c r="N650" t="str">
        <f>_xlfn.XLOOKUP(A650,[1]!brca_metabric_clinical_data__2[Patient ID], [1]!brca_metabric_clinical_data__2[Tumor Size])</f>
        <v>15</v>
      </c>
      <c r="O650" t="str">
        <f>_xlfn.XLOOKUP(A650,[1]!brca_metabric_clinical_data__2[Sample ID],[1]!brca_metabric_clinical_data__2[Tumor Stage])</f>
        <v>2</v>
      </c>
    </row>
    <row r="651" spans="1:15" x14ac:dyDescent="0.45">
      <c r="A651" t="s">
        <v>685</v>
      </c>
      <c r="B651">
        <v>40.020000000000003</v>
      </c>
      <c r="C651" t="s">
        <v>16</v>
      </c>
      <c r="D651" t="s">
        <v>26</v>
      </c>
      <c r="E651" t="s">
        <v>18</v>
      </c>
      <c r="F651" t="s">
        <v>19</v>
      </c>
      <c r="G651" t="s">
        <v>20</v>
      </c>
      <c r="H651" t="s">
        <v>20</v>
      </c>
      <c r="I651" t="s">
        <v>20</v>
      </c>
      <c r="J651" t="s">
        <v>27</v>
      </c>
      <c r="K651">
        <v>7</v>
      </c>
      <c r="L651">
        <v>110.6</v>
      </c>
      <c r="M651" t="s">
        <v>30</v>
      </c>
      <c r="N651" t="str">
        <f>_xlfn.XLOOKUP(A651,[1]!brca_metabric_clinical_data__2[Patient ID], [1]!brca_metabric_clinical_data__2[Tumor Size])</f>
        <v>15</v>
      </c>
      <c r="O651" t="str">
        <f>_xlfn.XLOOKUP(A651,[1]!brca_metabric_clinical_data__2[Sample ID],[1]!brca_metabric_clinical_data__2[Tumor Stage])</f>
        <v>1</v>
      </c>
    </row>
    <row r="652" spans="1:15" x14ac:dyDescent="0.45">
      <c r="A652" t="s">
        <v>686</v>
      </c>
      <c r="B652">
        <v>56.26</v>
      </c>
      <c r="C652" t="s">
        <v>16</v>
      </c>
      <c r="D652" t="s">
        <v>17</v>
      </c>
      <c r="E652" t="s">
        <v>18</v>
      </c>
      <c r="F652" t="s">
        <v>43</v>
      </c>
      <c r="G652" t="s">
        <v>20</v>
      </c>
      <c r="H652" t="s">
        <v>21</v>
      </c>
      <c r="I652" t="s">
        <v>21</v>
      </c>
      <c r="J652" t="s">
        <v>29</v>
      </c>
      <c r="K652">
        <v>5</v>
      </c>
      <c r="L652">
        <v>180.833333333333</v>
      </c>
      <c r="M652" t="s">
        <v>30</v>
      </c>
      <c r="N652" t="str">
        <f>_xlfn.XLOOKUP(A652,[1]!brca_metabric_clinical_data__2[Patient ID], [1]!brca_metabric_clinical_data__2[Tumor Size])</f>
        <v>15</v>
      </c>
      <c r="O652" t="str">
        <f>_xlfn.XLOOKUP(A652,[1]!brca_metabric_clinical_data__2[Sample ID],[1]!brca_metabric_clinical_data__2[Tumor Stage])</f>
        <v>2</v>
      </c>
    </row>
    <row r="653" spans="1:15" x14ac:dyDescent="0.45">
      <c r="A653" t="s">
        <v>687</v>
      </c>
      <c r="B653">
        <v>64.040000000000006</v>
      </c>
      <c r="C653" t="s">
        <v>16</v>
      </c>
      <c r="D653" t="s">
        <v>17</v>
      </c>
      <c r="E653" t="s">
        <v>18</v>
      </c>
      <c r="F653" t="s">
        <v>43</v>
      </c>
      <c r="G653" t="s">
        <v>20</v>
      </c>
      <c r="H653" t="s">
        <v>21</v>
      </c>
      <c r="I653" t="s">
        <v>21</v>
      </c>
      <c r="J653" t="s">
        <v>29</v>
      </c>
      <c r="K653">
        <v>9</v>
      </c>
      <c r="L653">
        <v>261.2</v>
      </c>
      <c r="M653" t="s">
        <v>24</v>
      </c>
      <c r="N653" t="str">
        <f>_xlfn.XLOOKUP(A653,[1]!brca_metabric_clinical_data__2[Patient ID], [1]!brca_metabric_clinical_data__2[Tumor Size])</f>
        <v>20</v>
      </c>
      <c r="O653" t="str">
        <f>_xlfn.XLOOKUP(A653,[1]!brca_metabric_clinical_data__2[Sample ID],[1]!brca_metabric_clinical_data__2[Tumor Stage])</f>
        <v>1</v>
      </c>
    </row>
    <row r="654" spans="1:15" x14ac:dyDescent="0.45">
      <c r="A654" t="s">
        <v>688</v>
      </c>
      <c r="B654">
        <v>48.47</v>
      </c>
      <c r="C654" t="s">
        <v>16</v>
      </c>
      <c r="D654" t="s">
        <v>26</v>
      </c>
      <c r="E654" t="s">
        <v>18</v>
      </c>
      <c r="F654" t="s">
        <v>19</v>
      </c>
      <c r="G654" t="s">
        <v>20</v>
      </c>
      <c r="H654" t="s">
        <v>20</v>
      </c>
      <c r="I654" t="s">
        <v>20</v>
      </c>
      <c r="J654" t="s">
        <v>27</v>
      </c>
      <c r="K654">
        <v>8</v>
      </c>
      <c r="L654">
        <v>260</v>
      </c>
      <c r="M654" t="s">
        <v>24</v>
      </c>
      <c r="N654" t="str">
        <f>_xlfn.XLOOKUP(A654,[1]!brca_metabric_clinical_data__2[Patient ID], [1]!brca_metabric_clinical_data__2[Tumor Size])</f>
        <v>15</v>
      </c>
      <c r="O654" t="str">
        <f>_xlfn.XLOOKUP(A654,[1]!brca_metabric_clinical_data__2[Sample ID],[1]!brca_metabric_clinical_data__2[Tumor Stage])</f>
        <v>1</v>
      </c>
    </row>
    <row r="655" spans="1:15" x14ac:dyDescent="0.45">
      <c r="A655" t="s">
        <v>689</v>
      </c>
      <c r="B655">
        <v>63.65</v>
      </c>
      <c r="C655" t="s">
        <v>16</v>
      </c>
      <c r="D655" t="s">
        <v>17</v>
      </c>
      <c r="E655" t="s">
        <v>37</v>
      </c>
      <c r="F655" t="s">
        <v>19</v>
      </c>
      <c r="G655" t="s">
        <v>20</v>
      </c>
      <c r="H655" t="s">
        <v>21</v>
      </c>
      <c r="I655" t="s">
        <v>21</v>
      </c>
      <c r="J655" t="s">
        <v>22</v>
      </c>
      <c r="K655">
        <v>10</v>
      </c>
      <c r="L655">
        <v>187.03333333333299</v>
      </c>
      <c r="M655" t="s">
        <v>24</v>
      </c>
      <c r="N655" t="str">
        <f>_xlfn.XLOOKUP(A655,[1]!brca_metabric_clinical_data__2[Patient ID], [1]!brca_metabric_clinical_data__2[Tumor Size])</f>
        <v>20</v>
      </c>
      <c r="O655" t="str">
        <f>_xlfn.XLOOKUP(A655,[1]!brca_metabric_clinical_data__2[Sample ID],[1]!brca_metabric_clinical_data__2[Tumor Stage])</f>
        <v>1</v>
      </c>
    </row>
    <row r="656" spans="1:15" x14ac:dyDescent="0.45">
      <c r="A656" t="s">
        <v>690</v>
      </c>
      <c r="B656">
        <v>46.7</v>
      </c>
      <c r="C656" t="s">
        <v>16</v>
      </c>
      <c r="D656" t="s">
        <v>26</v>
      </c>
      <c r="E656" t="s">
        <v>18</v>
      </c>
      <c r="F656" t="s">
        <v>43</v>
      </c>
      <c r="G656" t="s">
        <v>20</v>
      </c>
      <c r="H656" t="s">
        <v>21</v>
      </c>
      <c r="I656" t="s">
        <v>21</v>
      </c>
      <c r="J656" t="s">
        <v>27</v>
      </c>
      <c r="K656">
        <v>5</v>
      </c>
      <c r="L656">
        <v>254.5</v>
      </c>
      <c r="M656" t="s">
        <v>24</v>
      </c>
      <c r="N656" t="str">
        <f>_xlfn.XLOOKUP(A656,[1]!brca_metabric_clinical_data__2[Patient ID], [1]!brca_metabric_clinical_data__2[Tumor Size])</f>
        <v>18</v>
      </c>
      <c r="O656" t="str">
        <f>_xlfn.XLOOKUP(A656,[1]!brca_metabric_clinical_data__2[Sample ID],[1]!brca_metabric_clinical_data__2[Tumor Stage])</f>
        <v>2</v>
      </c>
    </row>
    <row r="657" spans="1:15" x14ac:dyDescent="0.45">
      <c r="A657" t="s">
        <v>691</v>
      </c>
      <c r="B657">
        <v>58.1</v>
      </c>
      <c r="C657" t="s">
        <v>16</v>
      </c>
      <c r="D657" t="s">
        <v>17</v>
      </c>
      <c r="E657" t="s">
        <v>18</v>
      </c>
      <c r="F657" t="s">
        <v>19</v>
      </c>
      <c r="G657" t="s">
        <v>20</v>
      </c>
      <c r="H657" t="s">
        <v>21</v>
      </c>
      <c r="I657" t="s">
        <v>21</v>
      </c>
      <c r="J657" t="s">
        <v>27</v>
      </c>
      <c r="K657">
        <v>7</v>
      </c>
      <c r="L657">
        <v>191.23333333333301</v>
      </c>
      <c r="M657" t="s">
        <v>24</v>
      </c>
      <c r="N657" t="str">
        <f>_xlfn.XLOOKUP(A657,[1]!brca_metabric_clinical_data__2[Patient ID], [1]!brca_metabric_clinical_data__2[Tumor Size])</f>
        <v>16</v>
      </c>
      <c r="O657" t="str">
        <f>_xlfn.XLOOKUP(A657,[1]!brca_metabric_clinical_data__2[Sample ID],[1]!brca_metabric_clinical_data__2[Tumor Stage])</f>
        <v>1</v>
      </c>
    </row>
    <row r="658" spans="1:15" x14ac:dyDescent="0.45">
      <c r="A658" t="s">
        <v>692</v>
      </c>
      <c r="B658">
        <v>61.42</v>
      </c>
      <c r="C658" t="s">
        <v>16</v>
      </c>
      <c r="D658" t="s">
        <v>17</v>
      </c>
      <c r="E658" t="s">
        <v>18</v>
      </c>
      <c r="F658" t="s">
        <v>19</v>
      </c>
      <c r="G658" t="s">
        <v>20</v>
      </c>
      <c r="H658" t="s">
        <v>21</v>
      </c>
      <c r="I658" t="s">
        <v>20</v>
      </c>
      <c r="J658" t="s">
        <v>27</v>
      </c>
      <c r="K658">
        <v>7</v>
      </c>
      <c r="L658">
        <v>262</v>
      </c>
      <c r="M658" t="s">
        <v>24</v>
      </c>
      <c r="N658" t="str">
        <f>_xlfn.XLOOKUP(A658,[1]!brca_metabric_clinical_data__2[Patient ID], [1]!brca_metabric_clinical_data__2[Tumor Size])</f>
        <v>12</v>
      </c>
      <c r="O658" t="str">
        <f>_xlfn.XLOOKUP(A658,[1]!brca_metabric_clinical_data__2[Sample ID],[1]!brca_metabric_clinical_data__2[Tumor Stage])</f>
        <v>1</v>
      </c>
    </row>
    <row r="659" spans="1:15" x14ac:dyDescent="0.45">
      <c r="A659" t="s">
        <v>693</v>
      </c>
      <c r="B659">
        <v>50.45</v>
      </c>
      <c r="C659" t="s">
        <v>16</v>
      </c>
      <c r="D659" t="s">
        <v>17</v>
      </c>
      <c r="E659" t="s">
        <v>37</v>
      </c>
      <c r="F659" t="s">
        <v>35</v>
      </c>
      <c r="G659" t="s">
        <v>21</v>
      </c>
      <c r="H659" t="s">
        <v>20</v>
      </c>
      <c r="I659" t="s">
        <v>21</v>
      </c>
      <c r="J659" t="s">
        <v>22</v>
      </c>
      <c r="K659">
        <v>10</v>
      </c>
      <c r="L659">
        <v>263.23333333333301</v>
      </c>
      <c r="M659" t="s">
        <v>24</v>
      </c>
      <c r="N659" t="str">
        <f>_xlfn.XLOOKUP(A659,[1]!brca_metabric_clinical_data__2[Patient ID], [1]!brca_metabric_clinical_data__2[Tumor Size])</f>
        <v>12</v>
      </c>
      <c r="O659" t="str">
        <f>_xlfn.XLOOKUP(A659,[1]!brca_metabric_clinical_data__2[Sample ID],[1]!brca_metabric_clinical_data__2[Tumor Stage])</f>
        <v>2</v>
      </c>
    </row>
    <row r="660" spans="1:15" x14ac:dyDescent="0.45">
      <c r="A660" t="s">
        <v>694</v>
      </c>
      <c r="B660">
        <v>62.32</v>
      </c>
      <c r="C660" t="s">
        <v>16</v>
      </c>
      <c r="D660" t="s">
        <v>17</v>
      </c>
      <c r="E660" t="s">
        <v>18</v>
      </c>
      <c r="F660" t="s">
        <v>19</v>
      </c>
      <c r="G660" t="s">
        <v>20</v>
      </c>
      <c r="H660" t="s">
        <v>21</v>
      </c>
      <c r="I660" t="s">
        <v>20</v>
      </c>
      <c r="J660" t="s">
        <v>27</v>
      </c>
      <c r="K660">
        <v>3</v>
      </c>
      <c r="L660">
        <v>140.566666666667</v>
      </c>
      <c r="M660" t="s">
        <v>30</v>
      </c>
      <c r="N660" t="str">
        <f>_xlfn.XLOOKUP(A660,[1]!brca_metabric_clinical_data__2[Patient ID], [1]!brca_metabric_clinical_data__2[Tumor Size])</f>
        <v>30</v>
      </c>
      <c r="O660" t="str">
        <f>_xlfn.XLOOKUP(A660,[1]!brca_metabric_clinical_data__2[Sample ID],[1]!brca_metabric_clinical_data__2[Tumor Stage])</f>
        <v>2</v>
      </c>
    </row>
    <row r="661" spans="1:15" x14ac:dyDescent="0.45">
      <c r="A661" t="s">
        <v>695</v>
      </c>
      <c r="B661">
        <v>45.75</v>
      </c>
      <c r="C661" t="s">
        <v>16</v>
      </c>
      <c r="D661" t="s">
        <v>26</v>
      </c>
      <c r="E661" t="s">
        <v>18</v>
      </c>
      <c r="F661" t="s">
        <v>19</v>
      </c>
      <c r="G661" t="s">
        <v>20</v>
      </c>
      <c r="H661" t="s">
        <v>20</v>
      </c>
      <c r="I661" t="s">
        <v>21</v>
      </c>
      <c r="J661" t="s">
        <v>27</v>
      </c>
      <c r="K661">
        <v>8</v>
      </c>
      <c r="L661">
        <v>253.066666666667</v>
      </c>
      <c r="M661" t="s">
        <v>24</v>
      </c>
      <c r="N661" t="str">
        <f>_xlfn.XLOOKUP(A661,[1]!brca_metabric_clinical_data__2[Patient ID], [1]!brca_metabric_clinical_data__2[Tumor Size])</f>
        <v>23</v>
      </c>
      <c r="O661" t="str">
        <f>_xlfn.XLOOKUP(A661,[1]!brca_metabric_clinical_data__2[Sample ID],[1]!brca_metabric_clinical_data__2[Tumor Stage])</f>
        <v>1</v>
      </c>
    </row>
    <row r="662" spans="1:15" x14ac:dyDescent="0.45">
      <c r="A662" t="s">
        <v>696</v>
      </c>
      <c r="B662">
        <v>60.09</v>
      </c>
      <c r="C662" t="s">
        <v>16</v>
      </c>
      <c r="D662" t="s">
        <v>17</v>
      </c>
      <c r="E662" t="s">
        <v>18</v>
      </c>
      <c r="F662" t="s">
        <v>19</v>
      </c>
      <c r="G662" t="s">
        <v>20</v>
      </c>
      <c r="H662" t="s">
        <v>21</v>
      </c>
      <c r="I662" t="s">
        <v>21</v>
      </c>
      <c r="J662" t="s">
        <v>22</v>
      </c>
      <c r="K662" t="s">
        <v>23</v>
      </c>
      <c r="L662">
        <v>15.7</v>
      </c>
      <c r="M662" t="s">
        <v>30</v>
      </c>
      <c r="N662" t="str">
        <f>_xlfn.XLOOKUP(A662,[1]!brca_metabric_clinical_data__2[Patient ID], [1]!brca_metabric_clinical_data__2[Tumor Size])</f>
        <v>20</v>
      </c>
      <c r="O662" t="str">
        <f>_xlfn.XLOOKUP(A662,[1]!brca_metabric_clinical_data__2[Sample ID],[1]!brca_metabric_clinical_data__2[Tumor Stage])</f>
        <v>3</v>
      </c>
    </row>
    <row r="663" spans="1:15" x14ac:dyDescent="0.45">
      <c r="A663" t="s">
        <v>697</v>
      </c>
      <c r="B663">
        <v>48.48</v>
      </c>
      <c r="C663" t="s">
        <v>16</v>
      </c>
      <c r="D663" t="s">
        <v>26</v>
      </c>
      <c r="E663" t="s">
        <v>18</v>
      </c>
      <c r="F663" t="s">
        <v>43</v>
      </c>
      <c r="G663" t="s">
        <v>20</v>
      </c>
      <c r="H663" t="s">
        <v>20</v>
      </c>
      <c r="I663" t="s">
        <v>20</v>
      </c>
      <c r="J663" t="s">
        <v>29</v>
      </c>
      <c r="K663">
        <v>2</v>
      </c>
      <c r="L663">
        <v>114.9</v>
      </c>
      <c r="M663" t="s">
        <v>30</v>
      </c>
      <c r="N663" t="str">
        <f>_xlfn.XLOOKUP(A663,[1]!brca_metabric_clinical_data__2[Patient ID], [1]!brca_metabric_clinical_data__2[Tumor Size])</f>
        <v>12</v>
      </c>
      <c r="O663" t="str">
        <f>_xlfn.XLOOKUP(A663,[1]!brca_metabric_clinical_data__2[Sample ID],[1]!brca_metabric_clinical_data__2[Tumor Stage])</f>
        <v>1</v>
      </c>
    </row>
    <row r="664" spans="1:15" x14ac:dyDescent="0.45">
      <c r="A664" t="s">
        <v>698</v>
      </c>
      <c r="B664">
        <v>51.94</v>
      </c>
      <c r="C664" t="s">
        <v>16</v>
      </c>
      <c r="D664" t="s">
        <v>17</v>
      </c>
      <c r="E664" t="s">
        <v>18</v>
      </c>
      <c r="F664" t="s">
        <v>19</v>
      </c>
      <c r="G664" t="s">
        <v>20</v>
      </c>
      <c r="H664" t="s">
        <v>20</v>
      </c>
      <c r="I664" t="s">
        <v>21</v>
      </c>
      <c r="J664" t="s">
        <v>27</v>
      </c>
      <c r="K664">
        <v>8</v>
      </c>
      <c r="L664">
        <v>149.6</v>
      </c>
      <c r="M664" t="s">
        <v>24</v>
      </c>
      <c r="N664" t="str">
        <f>_xlfn.XLOOKUP(A664,[1]!brca_metabric_clinical_data__2[Patient ID], [1]!brca_metabric_clinical_data__2[Tumor Size])</f>
        <v>12</v>
      </c>
      <c r="O664" t="str">
        <f>_xlfn.XLOOKUP(A664,[1]!brca_metabric_clinical_data__2[Sample ID],[1]!brca_metabric_clinical_data__2[Tumor Stage])</f>
        <v>1</v>
      </c>
    </row>
    <row r="665" spans="1:15" x14ac:dyDescent="0.45">
      <c r="A665" t="s">
        <v>699</v>
      </c>
      <c r="B665">
        <v>50.37</v>
      </c>
      <c r="C665" t="s">
        <v>16</v>
      </c>
      <c r="D665" t="s">
        <v>17</v>
      </c>
      <c r="E665" t="s">
        <v>18</v>
      </c>
      <c r="F665" t="s">
        <v>19</v>
      </c>
      <c r="G665" t="s">
        <v>20</v>
      </c>
      <c r="H665" t="s">
        <v>21</v>
      </c>
      <c r="I665" t="s">
        <v>21</v>
      </c>
      <c r="J665" t="s">
        <v>22</v>
      </c>
      <c r="K665" t="s">
        <v>23</v>
      </c>
      <c r="L665">
        <v>238.36666666666699</v>
      </c>
      <c r="M665" t="s">
        <v>24</v>
      </c>
      <c r="N665" t="str">
        <f>_xlfn.XLOOKUP(A665,[1]!brca_metabric_clinical_data__2[Patient ID], [1]!brca_metabric_clinical_data__2[Tumor Size])</f>
        <v>23</v>
      </c>
      <c r="O665" t="str">
        <f>_xlfn.XLOOKUP(A665,[1]!brca_metabric_clinical_data__2[Sample ID],[1]!brca_metabric_clinical_data__2[Tumor Stage])</f>
        <v>2</v>
      </c>
    </row>
    <row r="666" spans="1:15" x14ac:dyDescent="0.45">
      <c r="A666" t="s">
        <v>700</v>
      </c>
      <c r="B666">
        <v>39.700000000000003</v>
      </c>
      <c r="C666" t="s">
        <v>16</v>
      </c>
      <c r="D666" t="s">
        <v>26</v>
      </c>
      <c r="E666" t="s">
        <v>37</v>
      </c>
      <c r="F666" t="s">
        <v>19</v>
      </c>
      <c r="G666" t="s">
        <v>21</v>
      </c>
      <c r="H666" t="s">
        <v>20</v>
      </c>
      <c r="I666" t="s">
        <v>21</v>
      </c>
      <c r="J666" t="s">
        <v>58</v>
      </c>
      <c r="K666">
        <v>1</v>
      </c>
      <c r="L666">
        <v>262.63333333333298</v>
      </c>
      <c r="M666" t="s">
        <v>24</v>
      </c>
      <c r="N666" t="str">
        <f>_xlfn.XLOOKUP(A666,[1]!brca_metabric_clinical_data__2[Patient ID], [1]!brca_metabric_clinical_data__2[Tumor Size])</f>
        <v>15</v>
      </c>
      <c r="O666" t="str">
        <f>_xlfn.XLOOKUP(A666,[1]!brca_metabric_clinical_data__2[Sample ID],[1]!brca_metabric_clinical_data__2[Tumor Stage])</f>
        <v>2</v>
      </c>
    </row>
    <row r="667" spans="1:15" x14ac:dyDescent="0.45">
      <c r="A667" t="s">
        <v>701</v>
      </c>
      <c r="B667">
        <v>56.83</v>
      </c>
      <c r="C667" t="s">
        <v>16</v>
      </c>
      <c r="D667" t="s">
        <v>17</v>
      </c>
      <c r="E667" t="s">
        <v>18</v>
      </c>
      <c r="F667" t="s">
        <v>19</v>
      </c>
      <c r="G667" t="s">
        <v>20</v>
      </c>
      <c r="H667" t="s">
        <v>21</v>
      </c>
      <c r="I667" t="s">
        <v>20</v>
      </c>
      <c r="J667" t="s">
        <v>29</v>
      </c>
      <c r="K667">
        <v>2</v>
      </c>
      <c r="L667">
        <v>258.86666666666702</v>
      </c>
      <c r="M667" t="s">
        <v>24</v>
      </c>
      <c r="N667" t="str">
        <f>_xlfn.XLOOKUP(A667,[1]!brca_metabric_clinical_data__2[Patient ID], [1]!brca_metabric_clinical_data__2[Tumor Size])</f>
        <v>10</v>
      </c>
      <c r="O667" t="str">
        <f>_xlfn.XLOOKUP(A667,[1]!brca_metabric_clinical_data__2[Sample ID],[1]!brca_metabric_clinical_data__2[Tumor Stage])</f>
        <v>1</v>
      </c>
    </row>
    <row r="668" spans="1:15" x14ac:dyDescent="0.45">
      <c r="A668" t="s">
        <v>702</v>
      </c>
      <c r="B668">
        <v>63.08</v>
      </c>
      <c r="C668" t="s">
        <v>16</v>
      </c>
      <c r="D668" t="s">
        <v>17</v>
      </c>
      <c r="E668" t="s">
        <v>18</v>
      </c>
      <c r="F668" t="s">
        <v>19</v>
      </c>
      <c r="G668" t="s">
        <v>20</v>
      </c>
      <c r="H668" t="s">
        <v>21</v>
      </c>
      <c r="I668" t="s">
        <v>21</v>
      </c>
      <c r="J668" t="s">
        <v>27</v>
      </c>
      <c r="K668">
        <v>8</v>
      </c>
      <c r="L668">
        <v>217.566666666667</v>
      </c>
      <c r="M668" t="s">
        <v>30</v>
      </c>
      <c r="N668" t="str">
        <f>_xlfn.XLOOKUP(A668,[1]!brca_metabric_clinical_data__2[Patient ID], [1]!brca_metabric_clinical_data__2[Tumor Size])</f>
        <v>22</v>
      </c>
      <c r="O668" t="str">
        <f>_xlfn.XLOOKUP(A668,[1]!brca_metabric_clinical_data__2[Sample ID],[1]!brca_metabric_clinical_data__2[Tumor Stage])</f>
        <v>1</v>
      </c>
    </row>
    <row r="669" spans="1:15" x14ac:dyDescent="0.45">
      <c r="A669" t="s">
        <v>703</v>
      </c>
      <c r="B669">
        <v>37.89</v>
      </c>
      <c r="C669" t="s">
        <v>16</v>
      </c>
      <c r="D669" t="s">
        <v>26</v>
      </c>
      <c r="E669" t="s">
        <v>37</v>
      </c>
      <c r="F669" t="s">
        <v>43</v>
      </c>
      <c r="G669" t="s">
        <v>21</v>
      </c>
      <c r="H669" t="s">
        <v>20</v>
      </c>
      <c r="I669" t="s">
        <v>21</v>
      </c>
      <c r="J669" t="s">
        <v>45</v>
      </c>
      <c r="K669">
        <v>5</v>
      </c>
      <c r="L669">
        <v>256</v>
      </c>
      <c r="M669" t="s">
        <v>24</v>
      </c>
      <c r="N669" t="str">
        <f>_xlfn.XLOOKUP(A669,[1]!brca_metabric_clinical_data__2[Patient ID], [1]!brca_metabric_clinical_data__2[Tumor Size])</f>
        <v>13</v>
      </c>
      <c r="O669" t="str">
        <f>_xlfn.XLOOKUP(A669,[1]!brca_metabric_clinical_data__2[Sample ID],[1]!brca_metabric_clinical_data__2[Tumor Stage])</f>
        <v>2</v>
      </c>
    </row>
    <row r="670" spans="1:15" x14ac:dyDescent="0.45">
      <c r="A670" t="s">
        <v>704</v>
      </c>
      <c r="B670">
        <v>49.92</v>
      </c>
      <c r="C670" t="s">
        <v>16</v>
      </c>
      <c r="D670" t="s">
        <v>26</v>
      </c>
      <c r="E670" t="s">
        <v>18</v>
      </c>
      <c r="F670" t="s">
        <v>19</v>
      </c>
      <c r="G670" t="s">
        <v>20</v>
      </c>
      <c r="H670" t="s">
        <v>21</v>
      </c>
      <c r="I670" t="s">
        <v>21</v>
      </c>
      <c r="J670" t="s">
        <v>27</v>
      </c>
      <c r="K670">
        <v>6</v>
      </c>
      <c r="L670">
        <v>261.2</v>
      </c>
      <c r="M670" t="s">
        <v>24</v>
      </c>
      <c r="N670" t="str">
        <f>_xlfn.XLOOKUP(A670,[1]!brca_metabric_clinical_data__2[Patient ID], [1]!brca_metabric_clinical_data__2[Tumor Size])</f>
        <v>22</v>
      </c>
      <c r="O670" t="str">
        <f>_xlfn.XLOOKUP(A670,[1]!brca_metabric_clinical_data__2[Sample ID],[1]!brca_metabric_clinical_data__2[Tumor Stage])</f>
        <v>2</v>
      </c>
    </row>
    <row r="671" spans="1:15" x14ac:dyDescent="0.45">
      <c r="A671" t="s">
        <v>705</v>
      </c>
      <c r="B671">
        <v>60.93</v>
      </c>
      <c r="C671" t="s">
        <v>16</v>
      </c>
      <c r="D671" t="s">
        <v>17</v>
      </c>
      <c r="E671" t="s">
        <v>18</v>
      </c>
      <c r="F671" t="s">
        <v>43</v>
      </c>
      <c r="G671" t="s">
        <v>20</v>
      </c>
      <c r="H671" t="s">
        <v>21</v>
      </c>
      <c r="I671" t="s">
        <v>21</v>
      </c>
      <c r="J671" t="s">
        <v>29</v>
      </c>
      <c r="K671">
        <v>9</v>
      </c>
      <c r="L671">
        <v>42.566666666666698</v>
      </c>
      <c r="M671" t="s">
        <v>30</v>
      </c>
      <c r="N671" t="str">
        <f>_xlfn.XLOOKUP(A671,[1]!brca_metabric_clinical_data__2[Patient ID], [1]!brca_metabric_clinical_data__2[Tumor Size])</f>
        <v>17</v>
      </c>
      <c r="O671" t="str">
        <f>_xlfn.XLOOKUP(A671,[1]!brca_metabric_clinical_data__2[Sample ID],[1]!brca_metabric_clinical_data__2[Tumor Stage])</f>
        <v>1</v>
      </c>
    </row>
    <row r="672" spans="1:15" x14ac:dyDescent="0.45">
      <c r="A672" t="s">
        <v>706</v>
      </c>
      <c r="B672">
        <v>46.76</v>
      </c>
      <c r="C672" t="s">
        <v>16</v>
      </c>
      <c r="D672" t="s">
        <v>26</v>
      </c>
      <c r="E672" t="s">
        <v>37</v>
      </c>
      <c r="F672" t="s">
        <v>43</v>
      </c>
      <c r="G672" t="s">
        <v>21</v>
      </c>
      <c r="H672" t="s">
        <v>20</v>
      </c>
      <c r="I672" t="s">
        <v>21</v>
      </c>
      <c r="J672" t="s">
        <v>45</v>
      </c>
      <c r="K672">
        <v>5</v>
      </c>
      <c r="L672">
        <v>35.633333333333297</v>
      </c>
      <c r="M672" t="s">
        <v>30</v>
      </c>
      <c r="N672" t="str">
        <f>_xlfn.XLOOKUP(A672,[1]!brca_metabric_clinical_data__2[Patient ID], [1]!brca_metabric_clinical_data__2[Tumor Size])</f>
        <v>21</v>
      </c>
      <c r="O672" t="str">
        <f>_xlfn.XLOOKUP(A672,[1]!brca_metabric_clinical_data__2[Sample ID],[1]!brca_metabric_clinical_data__2[Tumor Stage])</f>
        <v>2</v>
      </c>
    </row>
    <row r="673" spans="1:15" x14ac:dyDescent="0.45">
      <c r="A673" t="s">
        <v>707</v>
      </c>
      <c r="B673">
        <v>50.01</v>
      </c>
      <c r="C673" t="s">
        <v>16</v>
      </c>
      <c r="D673" t="s">
        <v>17</v>
      </c>
      <c r="E673" t="s">
        <v>18</v>
      </c>
      <c r="F673" t="s">
        <v>19</v>
      </c>
      <c r="G673" t="s">
        <v>20</v>
      </c>
      <c r="H673" t="s">
        <v>20</v>
      </c>
      <c r="I673" t="s">
        <v>21</v>
      </c>
      <c r="J673" t="s">
        <v>27</v>
      </c>
      <c r="K673">
        <v>3</v>
      </c>
      <c r="L673">
        <v>250.13333333333301</v>
      </c>
      <c r="M673" t="s">
        <v>24</v>
      </c>
      <c r="N673" t="str">
        <f>_xlfn.XLOOKUP(A673,[1]!brca_metabric_clinical_data__2[Patient ID], [1]!brca_metabric_clinical_data__2[Tumor Size])</f>
        <v>15</v>
      </c>
      <c r="O673" t="str">
        <f>_xlfn.XLOOKUP(A673,[1]!brca_metabric_clinical_data__2[Sample ID],[1]!brca_metabric_clinical_data__2[Tumor Stage])</f>
        <v>1</v>
      </c>
    </row>
    <row r="674" spans="1:15" x14ac:dyDescent="0.45">
      <c r="A674" t="s">
        <v>708</v>
      </c>
      <c r="B674">
        <v>69.069999999999993</v>
      </c>
      <c r="C674" t="s">
        <v>16</v>
      </c>
      <c r="D674" t="s">
        <v>17</v>
      </c>
      <c r="E674" t="s">
        <v>18</v>
      </c>
      <c r="F674" t="s">
        <v>19</v>
      </c>
      <c r="G674" t="s">
        <v>20</v>
      </c>
      <c r="H674" t="s">
        <v>21</v>
      </c>
      <c r="I674" t="s">
        <v>20</v>
      </c>
      <c r="J674" t="s">
        <v>27</v>
      </c>
      <c r="K674">
        <v>3</v>
      </c>
      <c r="L674">
        <v>70.400000000000006</v>
      </c>
      <c r="M674" t="s">
        <v>30</v>
      </c>
      <c r="N674" t="str">
        <f>_xlfn.XLOOKUP(A674,[1]!brca_metabric_clinical_data__2[Patient ID], [1]!brca_metabric_clinical_data__2[Tumor Size])</f>
        <v>19</v>
      </c>
      <c r="O674" t="str">
        <f>_xlfn.XLOOKUP(A674,[1]!brca_metabric_clinical_data__2[Sample ID],[1]!brca_metabric_clinical_data__2[Tumor Stage])</f>
        <v>1</v>
      </c>
    </row>
    <row r="675" spans="1:15" x14ac:dyDescent="0.45">
      <c r="A675" t="s">
        <v>709</v>
      </c>
      <c r="B675">
        <v>54.64</v>
      </c>
      <c r="C675" t="s">
        <v>16</v>
      </c>
      <c r="D675" t="s">
        <v>17</v>
      </c>
      <c r="E675" t="s">
        <v>18</v>
      </c>
      <c r="F675" t="s">
        <v>35</v>
      </c>
      <c r="G675" t="s">
        <v>20</v>
      </c>
      <c r="H675" t="s">
        <v>21</v>
      </c>
      <c r="I675" t="s">
        <v>21</v>
      </c>
      <c r="J675" t="s">
        <v>27</v>
      </c>
      <c r="K675">
        <v>7</v>
      </c>
      <c r="L675">
        <v>260.73333333333301</v>
      </c>
      <c r="M675" t="s">
        <v>24</v>
      </c>
      <c r="N675" t="str">
        <f>_xlfn.XLOOKUP(A675,[1]!brca_metabric_clinical_data__2[Patient ID], [1]!brca_metabric_clinical_data__2[Tumor Size])</f>
        <v>22</v>
      </c>
      <c r="O675" t="str">
        <f>_xlfn.XLOOKUP(A675,[1]!brca_metabric_clinical_data__2[Sample ID],[1]!brca_metabric_clinical_data__2[Tumor Stage])</f>
        <v>1</v>
      </c>
    </row>
    <row r="676" spans="1:15" x14ac:dyDescent="0.45">
      <c r="A676" t="s">
        <v>710</v>
      </c>
      <c r="B676">
        <v>53.19</v>
      </c>
      <c r="C676" t="s">
        <v>16</v>
      </c>
      <c r="D676" t="s">
        <v>17</v>
      </c>
      <c r="E676" t="s">
        <v>18</v>
      </c>
      <c r="F676" t="s">
        <v>19</v>
      </c>
      <c r="G676" t="s">
        <v>20</v>
      </c>
      <c r="H676" t="s">
        <v>20</v>
      </c>
      <c r="I676" t="s">
        <v>21</v>
      </c>
      <c r="J676" t="s">
        <v>27</v>
      </c>
      <c r="K676">
        <v>3</v>
      </c>
      <c r="L676">
        <v>98.8333333333333</v>
      </c>
      <c r="M676" t="s">
        <v>24</v>
      </c>
      <c r="N676" t="str">
        <f>_xlfn.XLOOKUP(A676,[1]!brca_metabric_clinical_data__2[Patient ID], [1]!brca_metabric_clinical_data__2[Tumor Size])</f>
        <v>13</v>
      </c>
      <c r="O676" t="str">
        <f>_xlfn.XLOOKUP(A676,[1]!brca_metabric_clinical_data__2[Sample ID],[1]!brca_metabric_clinical_data__2[Tumor Stage])</f>
        <v>1</v>
      </c>
    </row>
    <row r="677" spans="1:15" x14ac:dyDescent="0.45">
      <c r="A677" t="s">
        <v>711</v>
      </c>
      <c r="B677">
        <v>67.2</v>
      </c>
      <c r="C677" t="s">
        <v>16</v>
      </c>
      <c r="D677" t="s">
        <v>17</v>
      </c>
      <c r="E677" t="s">
        <v>37</v>
      </c>
      <c r="F677" t="s">
        <v>19</v>
      </c>
      <c r="G677" t="s">
        <v>20</v>
      </c>
      <c r="H677" t="s">
        <v>21</v>
      </c>
      <c r="I677" t="s">
        <v>20</v>
      </c>
      <c r="J677" t="s">
        <v>58</v>
      </c>
      <c r="K677">
        <v>10</v>
      </c>
      <c r="L677">
        <v>73.8333333333333</v>
      </c>
      <c r="M677" t="s">
        <v>30</v>
      </c>
      <c r="N677" t="str">
        <f>_xlfn.XLOOKUP(A677,[1]!brca_metabric_clinical_data__2[Patient ID], [1]!brca_metabric_clinical_data__2[Tumor Size])</f>
        <v>35</v>
      </c>
      <c r="O677" t="str">
        <f>_xlfn.XLOOKUP(A677,[1]!brca_metabric_clinical_data__2[Sample ID],[1]!brca_metabric_clinical_data__2[Tumor Stage])</f>
        <v>1</v>
      </c>
    </row>
    <row r="678" spans="1:15" x14ac:dyDescent="0.45">
      <c r="A678" t="s">
        <v>712</v>
      </c>
      <c r="B678">
        <v>57.17</v>
      </c>
      <c r="C678" t="s">
        <v>16</v>
      </c>
      <c r="D678" t="s">
        <v>17</v>
      </c>
      <c r="E678" t="s">
        <v>18</v>
      </c>
      <c r="F678" t="s">
        <v>19</v>
      </c>
      <c r="G678" t="s">
        <v>20</v>
      </c>
      <c r="H678" t="s">
        <v>20</v>
      </c>
      <c r="I678" t="s">
        <v>21</v>
      </c>
      <c r="J678" t="s">
        <v>27</v>
      </c>
      <c r="K678">
        <v>7</v>
      </c>
      <c r="L678">
        <v>259.96666666666698</v>
      </c>
      <c r="M678" t="s">
        <v>24</v>
      </c>
      <c r="N678" t="str">
        <f>_xlfn.XLOOKUP(A678,[1]!brca_metabric_clinical_data__2[Patient ID], [1]!brca_metabric_clinical_data__2[Tumor Size])</f>
        <v>16</v>
      </c>
      <c r="O678" t="str">
        <f>_xlfn.XLOOKUP(A678,[1]!brca_metabric_clinical_data__2[Sample ID],[1]!brca_metabric_clinical_data__2[Tumor Stage])</f>
        <v>1</v>
      </c>
    </row>
    <row r="679" spans="1:15" x14ac:dyDescent="0.45">
      <c r="A679" t="s">
        <v>713</v>
      </c>
      <c r="B679">
        <v>59.53</v>
      </c>
      <c r="C679" t="s">
        <v>16</v>
      </c>
      <c r="D679" t="s">
        <v>17</v>
      </c>
      <c r="E679" t="s">
        <v>18</v>
      </c>
      <c r="F679" t="s">
        <v>19</v>
      </c>
      <c r="G679" t="s">
        <v>20</v>
      </c>
      <c r="H679" t="s">
        <v>21</v>
      </c>
      <c r="I679" t="s">
        <v>20</v>
      </c>
      <c r="J679" t="s">
        <v>29</v>
      </c>
      <c r="K679">
        <v>2</v>
      </c>
      <c r="L679">
        <v>255.1</v>
      </c>
      <c r="M679" t="s">
        <v>30</v>
      </c>
      <c r="N679" t="str">
        <f>_xlfn.XLOOKUP(A679,[1]!brca_metabric_clinical_data__2[Patient ID], [1]!brca_metabric_clinical_data__2[Tumor Size])</f>
        <v>30</v>
      </c>
      <c r="O679" t="str">
        <f>_xlfn.XLOOKUP(A679,[1]!brca_metabric_clinical_data__2[Sample ID],[1]!brca_metabric_clinical_data__2[Tumor Stage])</f>
        <v>1</v>
      </c>
    </row>
    <row r="680" spans="1:15" x14ac:dyDescent="0.45">
      <c r="A680" t="s">
        <v>714</v>
      </c>
      <c r="B680">
        <v>55.3</v>
      </c>
      <c r="C680" t="s">
        <v>16</v>
      </c>
      <c r="D680" t="s">
        <v>17</v>
      </c>
      <c r="E680" t="s">
        <v>37</v>
      </c>
      <c r="F680" t="s">
        <v>19</v>
      </c>
      <c r="G680" t="s">
        <v>21</v>
      </c>
      <c r="H680" t="s">
        <v>20</v>
      </c>
      <c r="I680" t="s">
        <v>21</v>
      </c>
      <c r="J680" t="s">
        <v>58</v>
      </c>
      <c r="K680">
        <v>10</v>
      </c>
      <c r="L680">
        <v>32.033333333333303</v>
      </c>
      <c r="M680" t="s">
        <v>30</v>
      </c>
      <c r="N680" t="str">
        <f>_xlfn.XLOOKUP(A680,[1]!brca_metabric_clinical_data__2[Patient ID], [1]!brca_metabric_clinical_data__2[Tumor Size])</f>
        <v>43</v>
      </c>
      <c r="O680" t="str">
        <f>_xlfn.XLOOKUP(A680,[1]!brca_metabric_clinical_data__2[Sample ID],[1]!brca_metabric_clinical_data__2[Tumor Stage])</f>
        <v>2</v>
      </c>
    </row>
    <row r="681" spans="1:15" x14ac:dyDescent="0.45">
      <c r="A681" t="s">
        <v>715</v>
      </c>
      <c r="B681">
        <v>47.74</v>
      </c>
      <c r="C681" t="s">
        <v>16</v>
      </c>
      <c r="D681" t="s">
        <v>26</v>
      </c>
      <c r="E681" t="s">
        <v>37</v>
      </c>
      <c r="F681" t="s">
        <v>19</v>
      </c>
      <c r="G681" t="s">
        <v>21</v>
      </c>
      <c r="H681" t="s">
        <v>20</v>
      </c>
      <c r="I681" t="s">
        <v>21</v>
      </c>
      <c r="J681" t="s">
        <v>58</v>
      </c>
      <c r="K681" t="s">
        <v>39</v>
      </c>
      <c r="L681">
        <v>254.26666666666699</v>
      </c>
      <c r="M681" t="s">
        <v>24</v>
      </c>
      <c r="N681" t="str">
        <f>_xlfn.XLOOKUP(A681,[1]!brca_metabric_clinical_data__2[Patient ID], [1]!brca_metabric_clinical_data__2[Tumor Size])</f>
        <v>40</v>
      </c>
      <c r="O681" t="str">
        <f>_xlfn.XLOOKUP(A681,[1]!brca_metabric_clinical_data__2[Sample ID],[1]!brca_metabric_clinical_data__2[Tumor Stage])</f>
        <v>2</v>
      </c>
    </row>
    <row r="682" spans="1:15" x14ac:dyDescent="0.45">
      <c r="A682" t="s">
        <v>716</v>
      </c>
      <c r="B682">
        <v>65.69</v>
      </c>
      <c r="C682" t="s">
        <v>16</v>
      </c>
      <c r="D682" t="s">
        <v>17</v>
      </c>
      <c r="E682" t="s">
        <v>18</v>
      </c>
      <c r="F682" t="s">
        <v>19</v>
      </c>
      <c r="G682" t="s">
        <v>20</v>
      </c>
      <c r="H682" t="s">
        <v>21</v>
      </c>
      <c r="I682" t="s">
        <v>21</v>
      </c>
      <c r="J682" t="s">
        <v>29</v>
      </c>
      <c r="K682">
        <v>6</v>
      </c>
      <c r="L682">
        <v>44.6</v>
      </c>
      <c r="M682" t="s">
        <v>30</v>
      </c>
      <c r="N682" t="str">
        <f>_xlfn.XLOOKUP(A682,[1]!brca_metabric_clinical_data__2[Patient ID], [1]!brca_metabric_clinical_data__2[Tumor Size])</f>
        <v>36</v>
      </c>
      <c r="O682" t="str">
        <f>_xlfn.XLOOKUP(A682,[1]!brca_metabric_clinical_data__2[Sample ID],[1]!brca_metabric_clinical_data__2[Tumor Stage])</f>
        <v>2</v>
      </c>
    </row>
    <row r="683" spans="1:15" x14ac:dyDescent="0.45">
      <c r="A683" t="s">
        <v>717</v>
      </c>
      <c r="B683">
        <v>62.87</v>
      </c>
      <c r="C683" t="s">
        <v>16</v>
      </c>
      <c r="D683" t="s">
        <v>17</v>
      </c>
      <c r="E683" t="s">
        <v>37</v>
      </c>
      <c r="F683" t="s">
        <v>19</v>
      </c>
      <c r="G683" t="s">
        <v>20</v>
      </c>
      <c r="H683" t="s">
        <v>20</v>
      </c>
      <c r="I683" t="s">
        <v>21</v>
      </c>
      <c r="J683" t="s">
        <v>22</v>
      </c>
      <c r="K683">
        <v>10</v>
      </c>
      <c r="L683">
        <v>146.36666666666699</v>
      </c>
      <c r="M683" t="s">
        <v>24</v>
      </c>
      <c r="N683" t="str">
        <f>_xlfn.XLOOKUP(A683,[1]!brca_metabric_clinical_data__2[Patient ID], [1]!brca_metabric_clinical_data__2[Tumor Size])</f>
        <v>17</v>
      </c>
      <c r="O683" t="str">
        <f>_xlfn.XLOOKUP(A683,[1]!brca_metabric_clinical_data__2[Sample ID],[1]!brca_metabric_clinical_data__2[Tumor Stage])</f>
        <v>1</v>
      </c>
    </row>
    <row r="684" spans="1:15" x14ac:dyDescent="0.45">
      <c r="A684" t="s">
        <v>718</v>
      </c>
      <c r="B684">
        <v>43.51</v>
      </c>
      <c r="C684" t="s">
        <v>16</v>
      </c>
      <c r="D684" t="s">
        <v>26</v>
      </c>
      <c r="E684" t="s">
        <v>37</v>
      </c>
      <c r="F684" t="s">
        <v>19</v>
      </c>
      <c r="G684" t="s">
        <v>21</v>
      </c>
      <c r="H684" t="s">
        <v>20</v>
      </c>
      <c r="I684" t="s">
        <v>21</v>
      </c>
      <c r="J684" t="s">
        <v>58</v>
      </c>
      <c r="K684">
        <v>10</v>
      </c>
      <c r="L684">
        <v>28.566666666666698</v>
      </c>
      <c r="M684" t="s">
        <v>30</v>
      </c>
      <c r="N684" t="str">
        <f>_xlfn.XLOOKUP(A684,[1]!brca_metabric_clinical_data__2[Patient ID], [1]!brca_metabric_clinical_data__2[Tumor Size])</f>
        <v>20</v>
      </c>
      <c r="O684" t="str">
        <f>_xlfn.XLOOKUP(A684,[1]!brca_metabric_clinical_data__2[Sample ID],[1]!brca_metabric_clinical_data__2[Tumor Stage])</f>
        <v>3</v>
      </c>
    </row>
    <row r="685" spans="1:15" x14ac:dyDescent="0.45">
      <c r="A685" t="s">
        <v>719</v>
      </c>
      <c r="B685">
        <v>46.7</v>
      </c>
      <c r="C685" t="s">
        <v>16</v>
      </c>
      <c r="D685" t="s">
        <v>26</v>
      </c>
      <c r="E685" t="s">
        <v>18</v>
      </c>
      <c r="F685" t="s">
        <v>19</v>
      </c>
      <c r="G685" t="s">
        <v>20</v>
      </c>
      <c r="H685" t="s">
        <v>20</v>
      </c>
      <c r="I685" t="s">
        <v>20</v>
      </c>
      <c r="J685" t="s">
        <v>27</v>
      </c>
      <c r="K685" t="s">
        <v>23</v>
      </c>
      <c r="L685">
        <v>165.166666666667</v>
      </c>
      <c r="M685" t="s">
        <v>30</v>
      </c>
      <c r="N685" t="str">
        <f>_xlfn.XLOOKUP(A685,[1]!brca_metabric_clinical_data__2[Patient ID], [1]!brca_metabric_clinical_data__2[Tumor Size])</f>
        <v>20</v>
      </c>
      <c r="O685" t="str">
        <f>_xlfn.XLOOKUP(A685,[1]!brca_metabric_clinical_data__2[Sample ID],[1]!brca_metabric_clinical_data__2[Tumor Stage])</f>
        <v>1</v>
      </c>
    </row>
    <row r="686" spans="1:15" x14ac:dyDescent="0.45">
      <c r="A686" t="s">
        <v>720</v>
      </c>
      <c r="B686">
        <v>60.29</v>
      </c>
      <c r="C686" t="s">
        <v>16</v>
      </c>
      <c r="D686" t="s">
        <v>17</v>
      </c>
      <c r="E686" t="s">
        <v>37</v>
      </c>
      <c r="F686" t="s">
        <v>19</v>
      </c>
      <c r="G686" t="s">
        <v>21</v>
      </c>
      <c r="H686" t="s">
        <v>20</v>
      </c>
      <c r="I686" t="s">
        <v>21</v>
      </c>
      <c r="J686" t="s">
        <v>22</v>
      </c>
      <c r="K686">
        <v>9</v>
      </c>
      <c r="L686">
        <v>259.53333333333302</v>
      </c>
      <c r="M686" t="s">
        <v>24</v>
      </c>
      <c r="N686" t="str">
        <f>_xlfn.XLOOKUP(A686,[1]!brca_metabric_clinical_data__2[Patient ID], [1]!brca_metabric_clinical_data__2[Tumor Size])</f>
        <v>18</v>
      </c>
      <c r="O686" t="str">
        <f>_xlfn.XLOOKUP(A686,[1]!brca_metabric_clinical_data__2[Sample ID],[1]!brca_metabric_clinical_data__2[Tumor Stage])</f>
        <v>2</v>
      </c>
    </row>
    <row r="687" spans="1:15" x14ac:dyDescent="0.45">
      <c r="A687" t="s">
        <v>721</v>
      </c>
      <c r="B687">
        <v>50.54</v>
      </c>
      <c r="C687" t="s">
        <v>16</v>
      </c>
      <c r="D687" t="s">
        <v>17</v>
      </c>
      <c r="E687" t="s">
        <v>18</v>
      </c>
      <c r="F687" t="s">
        <v>19</v>
      </c>
      <c r="G687" t="s">
        <v>20</v>
      </c>
      <c r="H687" t="s">
        <v>20</v>
      </c>
      <c r="I687" t="s">
        <v>21</v>
      </c>
      <c r="J687" t="s">
        <v>27</v>
      </c>
      <c r="K687">
        <v>8</v>
      </c>
      <c r="L687">
        <v>149.6</v>
      </c>
      <c r="M687" t="s">
        <v>24</v>
      </c>
      <c r="N687" t="str">
        <f>_xlfn.XLOOKUP(A687,[1]!brca_metabric_clinical_data__2[Patient ID], [1]!brca_metabric_clinical_data__2[Tumor Size])</f>
        <v>15</v>
      </c>
      <c r="O687" t="str">
        <f>_xlfn.XLOOKUP(A687,[1]!brca_metabric_clinical_data__2[Sample ID],[1]!brca_metabric_clinical_data__2[Tumor Stage])</f>
        <v>1</v>
      </c>
    </row>
    <row r="688" spans="1:15" x14ac:dyDescent="0.45">
      <c r="A688" t="s">
        <v>722</v>
      </c>
      <c r="B688">
        <v>68.5</v>
      </c>
      <c r="C688" t="s">
        <v>16</v>
      </c>
      <c r="D688" t="s">
        <v>17</v>
      </c>
      <c r="E688" t="s">
        <v>18</v>
      </c>
      <c r="F688" t="s">
        <v>19</v>
      </c>
      <c r="G688" t="s">
        <v>20</v>
      </c>
      <c r="H688" t="s">
        <v>21</v>
      </c>
      <c r="I688" t="s">
        <v>21</v>
      </c>
      <c r="J688" t="s">
        <v>29</v>
      </c>
      <c r="K688">
        <v>1</v>
      </c>
      <c r="L688">
        <v>81.099999999999994</v>
      </c>
      <c r="M688" t="s">
        <v>30</v>
      </c>
      <c r="N688" t="str">
        <f>_xlfn.XLOOKUP(A688,[1]!brca_metabric_clinical_data__2[Patient ID], [1]!brca_metabric_clinical_data__2[Tumor Size])</f>
        <v>30</v>
      </c>
      <c r="O688" t="str">
        <f>_xlfn.XLOOKUP(A688,[1]!brca_metabric_clinical_data__2[Sample ID],[1]!brca_metabric_clinical_data__2[Tumor Stage])</f>
        <v>2</v>
      </c>
    </row>
    <row r="689" spans="1:15" x14ac:dyDescent="0.45">
      <c r="A689" t="s">
        <v>723</v>
      </c>
      <c r="B689">
        <v>43.68</v>
      </c>
      <c r="C689" t="s">
        <v>16</v>
      </c>
      <c r="D689" t="s">
        <v>26</v>
      </c>
      <c r="E689" t="s">
        <v>18</v>
      </c>
      <c r="F689" t="s">
        <v>19</v>
      </c>
      <c r="G689" t="s">
        <v>20</v>
      </c>
      <c r="H689" t="s">
        <v>20</v>
      </c>
      <c r="I689" t="s">
        <v>21</v>
      </c>
      <c r="J689" t="s">
        <v>38</v>
      </c>
      <c r="K689" t="s">
        <v>23</v>
      </c>
      <c r="L689">
        <v>210.96666666666701</v>
      </c>
      <c r="M689" t="s">
        <v>30</v>
      </c>
      <c r="N689" t="str">
        <f>_xlfn.XLOOKUP(A689,[1]!brca_metabric_clinical_data__2[Patient ID], [1]!brca_metabric_clinical_data__2[Tumor Size])</f>
        <v>25</v>
      </c>
      <c r="O689" t="str">
        <f>_xlfn.XLOOKUP(A689,[1]!brca_metabric_clinical_data__2[Sample ID],[1]!brca_metabric_clinical_data__2[Tumor Stage])</f>
        <v>1</v>
      </c>
    </row>
    <row r="690" spans="1:15" x14ac:dyDescent="0.45">
      <c r="A690" t="s">
        <v>724</v>
      </c>
      <c r="B690">
        <v>65.58</v>
      </c>
      <c r="C690" t="s">
        <v>16</v>
      </c>
      <c r="D690" t="s">
        <v>17</v>
      </c>
      <c r="E690" t="s">
        <v>18</v>
      </c>
      <c r="F690" t="s">
        <v>19</v>
      </c>
      <c r="G690" t="s">
        <v>20</v>
      </c>
      <c r="H690" t="s">
        <v>20</v>
      </c>
      <c r="I690" t="s">
        <v>20</v>
      </c>
      <c r="J690" t="s">
        <v>27</v>
      </c>
      <c r="K690">
        <v>7</v>
      </c>
      <c r="L690">
        <v>256.5</v>
      </c>
      <c r="M690" t="s">
        <v>24</v>
      </c>
      <c r="N690" t="str">
        <f>_xlfn.XLOOKUP(A690,[1]!brca_metabric_clinical_data__2[Patient ID], [1]!brca_metabric_clinical_data__2[Tumor Size])</f>
        <v>19</v>
      </c>
      <c r="O690" t="str">
        <f>_xlfn.XLOOKUP(A690,[1]!brca_metabric_clinical_data__2[Sample ID],[1]!brca_metabric_clinical_data__2[Tumor Stage])</f>
        <v>1</v>
      </c>
    </row>
    <row r="691" spans="1:15" x14ac:dyDescent="0.45">
      <c r="A691" t="s">
        <v>725</v>
      </c>
      <c r="B691">
        <v>56.73</v>
      </c>
      <c r="C691" t="s">
        <v>16</v>
      </c>
      <c r="D691" t="s">
        <v>17</v>
      </c>
      <c r="E691" t="s">
        <v>18</v>
      </c>
      <c r="F691" t="s">
        <v>19</v>
      </c>
      <c r="G691" t="s">
        <v>20</v>
      </c>
      <c r="H691" t="s">
        <v>21</v>
      </c>
      <c r="I691" t="s">
        <v>21</v>
      </c>
      <c r="J691" t="s">
        <v>29</v>
      </c>
      <c r="K691">
        <v>8</v>
      </c>
      <c r="L691">
        <v>152.333333333333</v>
      </c>
      <c r="M691" t="s">
        <v>30</v>
      </c>
      <c r="N691" t="str">
        <f>_xlfn.XLOOKUP(A691,[1]!brca_metabric_clinical_data__2[Patient ID], [1]!brca_metabric_clinical_data__2[Tumor Size])</f>
        <v>38</v>
      </c>
      <c r="O691" t="str">
        <f>_xlfn.XLOOKUP(A691,[1]!brca_metabric_clinical_data__2[Sample ID],[1]!brca_metabric_clinical_data__2[Tumor Stage])</f>
        <v>2</v>
      </c>
    </row>
    <row r="692" spans="1:15" x14ac:dyDescent="0.45">
      <c r="A692" t="s">
        <v>726</v>
      </c>
      <c r="B692">
        <v>60.34</v>
      </c>
      <c r="C692" t="s">
        <v>16</v>
      </c>
      <c r="D692" t="s">
        <v>17</v>
      </c>
      <c r="E692" t="s">
        <v>18</v>
      </c>
      <c r="F692" t="s">
        <v>19</v>
      </c>
      <c r="G692" t="s">
        <v>20</v>
      </c>
      <c r="H692" t="s">
        <v>21</v>
      </c>
      <c r="I692" t="s">
        <v>21</v>
      </c>
      <c r="J692" t="s">
        <v>27</v>
      </c>
      <c r="K692">
        <v>9</v>
      </c>
      <c r="L692">
        <v>258.33333333333297</v>
      </c>
      <c r="M692" t="s">
        <v>24</v>
      </c>
      <c r="N692" t="str">
        <f>_xlfn.XLOOKUP(A692,[1]!brca_metabric_clinical_data__2[Patient ID], [1]!brca_metabric_clinical_data__2[Tumor Size])</f>
        <v>20</v>
      </c>
      <c r="O692" t="str">
        <f>_xlfn.XLOOKUP(A692,[1]!brca_metabric_clinical_data__2[Sample ID],[1]!brca_metabric_clinical_data__2[Tumor Stage])</f>
        <v>2</v>
      </c>
    </row>
    <row r="693" spans="1:15" x14ac:dyDescent="0.45">
      <c r="A693" t="s">
        <v>727</v>
      </c>
      <c r="B693">
        <v>58.55</v>
      </c>
      <c r="C693" t="s">
        <v>16</v>
      </c>
      <c r="D693" t="s">
        <v>17</v>
      </c>
      <c r="E693" t="s">
        <v>18</v>
      </c>
      <c r="F693" t="s">
        <v>43</v>
      </c>
      <c r="G693" t="s">
        <v>20</v>
      </c>
      <c r="H693" t="s">
        <v>21</v>
      </c>
      <c r="I693" t="s">
        <v>21</v>
      </c>
      <c r="J693" t="s">
        <v>29</v>
      </c>
      <c r="K693">
        <v>5</v>
      </c>
      <c r="L693">
        <v>28.733333333333299</v>
      </c>
      <c r="M693" t="s">
        <v>30</v>
      </c>
      <c r="N693" t="str">
        <f>_xlfn.XLOOKUP(A693,[1]!brca_metabric_clinical_data__2[Patient ID], [1]!brca_metabric_clinical_data__2[Tumor Size])</f>
        <v>15</v>
      </c>
      <c r="O693" t="str">
        <f>_xlfn.XLOOKUP(A693,[1]!brca_metabric_clinical_data__2[Sample ID],[1]!brca_metabric_clinical_data__2[Tumor Stage])</f>
        <v>1</v>
      </c>
    </row>
    <row r="694" spans="1:15" x14ac:dyDescent="0.45">
      <c r="A694" t="s">
        <v>728</v>
      </c>
      <c r="B694">
        <v>28.96</v>
      </c>
      <c r="C694" t="s">
        <v>16</v>
      </c>
      <c r="D694" t="s">
        <v>26</v>
      </c>
      <c r="E694" t="s">
        <v>18</v>
      </c>
      <c r="F694" t="s">
        <v>43</v>
      </c>
      <c r="G694" t="s">
        <v>20</v>
      </c>
      <c r="H694" t="s">
        <v>20</v>
      </c>
      <c r="I694" t="s">
        <v>21</v>
      </c>
      <c r="J694" t="s">
        <v>27</v>
      </c>
      <c r="K694">
        <v>5</v>
      </c>
      <c r="L694">
        <v>75.366666666666703</v>
      </c>
      <c r="M694" t="s">
        <v>30</v>
      </c>
      <c r="N694" t="str">
        <f>_xlfn.XLOOKUP(A694,[1]!brca_metabric_clinical_data__2[Patient ID], [1]!brca_metabric_clinical_data__2[Tumor Size])</f>
        <v>20</v>
      </c>
      <c r="O694" t="str">
        <f>_xlfn.XLOOKUP(A694,[1]!brca_metabric_clinical_data__2[Sample ID],[1]!brca_metabric_clinical_data__2[Tumor Stage])</f>
        <v>1</v>
      </c>
    </row>
    <row r="695" spans="1:15" x14ac:dyDescent="0.45">
      <c r="A695" t="s">
        <v>729</v>
      </c>
      <c r="B695">
        <v>48.34</v>
      </c>
      <c r="C695" t="s">
        <v>16</v>
      </c>
      <c r="D695" t="s">
        <v>26</v>
      </c>
      <c r="E695" t="s">
        <v>18</v>
      </c>
      <c r="F695" t="s">
        <v>19</v>
      </c>
      <c r="G695" t="s">
        <v>20</v>
      </c>
      <c r="H695" t="s">
        <v>21</v>
      </c>
      <c r="I695" t="s">
        <v>20</v>
      </c>
      <c r="J695" t="s">
        <v>27</v>
      </c>
      <c r="K695">
        <v>3</v>
      </c>
      <c r="L695">
        <v>252.333333333333</v>
      </c>
      <c r="M695" t="s">
        <v>24</v>
      </c>
      <c r="N695" t="str">
        <f>_xlfn.XLOOKUP(A695,[1]!brca_metabric_clinical_data__2[Patient ID], [1]!brca_metabric_clinical_data__2[Tumor Size])</f>
        <v>27</v>
      </c>
      <c r="O695" t="str">
        <f>_xlfn.XLOOKUP(A695,[1]!brca_metabric_clinical_data__2[Sample ID],[1]!brca_metabric_clinical_data__2[Tumor Stage])</f>
        <v>2</v>
      </c>
    </row>
    <row r="696" spans="1:15" x14ac:dyDescent="0.45">
      <c r="A696" t="s">
        <v>730</v>
      </c>
      <c r="B696">
        <v>61.07</v>
      </c>
      <c r="C696" t="s">
        <v>16</v>
      </c>
      <c r="D696" t="s">
        <v>17</v>
      </c>
      <c r="E696" t="s">
        <v>18</v>
      </c>
      <c r="F696" t="s">
        <v>19</v>
      </c>
      <c r="G696" t="s">
        <v>20</v>
      </c>
      <c r="H696" t="s">
        <v>21</v>
      </c>
      <c r="I696" t="s">
        <v>21</v>
      </c>
      <c r="J696" t="s">
        <v>27</v>
      </c>
      <c r="K696">
        <v>3</v>
      </c>
      <c r="L696">
        <v>100.73333333333299</v>
      </c>
      <c r="M696" t="s">
        <v>24</v>
      </c>
      <c r="N696" t="str">
        <f>_xlfn.XLOOKUP(A696,[1]!brca_metabric_clinical_data__2[Patient ID], [1]!brca_metabric_clinical_data__2[Tumor Size])</f>
        <v>16</v>
      </c>
      <c r="O696" t="str">
        <f>_xlfn.XLOOKUP(A696,[1]!brca_metabric_clinical_data__2[Sample ID],[1]!brca_metabric_clinical_data__2[Tumor Stage])</f>
        <v>2</v>
      </c>
    </row>
    <row r="697" spans="1:15" x14ac:dyDescent="0.45">
      <c r="A697" t="s">
        <v>731</v>
      </c>
      <c r="B697">
        <v>63.06</v>
      </c>
      <c r="C697" t="s">
        <v>16</v>
      </c>
      <c r="D697" t="s">
        <v>17</v>
      </c>
      <c r="E697" t="s">
        <v>18</v>
      </c>
      <c r="F697" t="s">
        <v>19</v>
      </c>
      <c r="G697" t="s">
        <v>20</v>
      </c>
      <c r="H697" t="s">
        <v>20</v>
      </c>
      <c r="I697" t="s">
        <v>20</v>
      </c>
      <c r="J697" t="s">
        <v>27</v>
      </c>
      <c r="K697">
        <v>3</v>
      </c>
      <c r="L697">
        <v>131.333333333333</v>
      </c>
      <c r="M697" t="s">
        <v>30</v>
      </c>
      <c r="N697" t="str">
        <f>_xlfn.XLOOKUP(A697,[1]!brca_metabric_clinical_data__2[Patient ID], [1]!brca_metabric_clinical_data__2[Tumor Size])</f>
        <v>12</v>
      </c>
      <c r="O697" t="str">
        <f>_xlfn.XLOOKUP(A697,[1]!brca_metabric_clinical_data__2[Sample ID],[1]!brca_metabric_clinical_data__2[Tumor Stage])</f>
        <v>1</v>
      </c>
    </row>
    <row r="698" spans="1:15" x14ac:dyDescent="0.45">
      <c r="A698" t="s">
        <v>732</v>
      </c>
      <c r="B698">
        <v>62.39</v>
      </c>
      <c r="C698" t="s">
        <v>16</v>
      </c>
      <c r="D698" t="s">
        <v>17</v>
      </c>
      <c r="E698" t="s">
        <v>18</v>
      </c>
      <c r="F698" t="s">
        <v>43</v>
      </c>
      <c r="G698" t="s">
        <v>20</v>
      </c>
      <c r="H698" t="s">
        <v>21</v>
      </c>
      <c r="I698" t="s">
        <v>20</v>
      </c>
      <c r="J698" t="s">
        <v>45</v>
      </c>
      <c r="K698">
        <v>9</v>
      </c>
      <c r="L698">
        <v>257.76666666666699</v>
      </c>
      <c r="M698" t="s">
        <v>24</v>
      </c>
      <c r="N698" t="str">
        <f>_xlfn.XLOOKUP(A698,[1]!brca_metabric_clinical_data__2[Patient ID], [1]!brca_metabric_clinical_data__2[Tumor Size])</f>
        <v>17</v>
      </c>
      <c r="O698" t="str">
        <f>_xlfn.XLOOKUP(A698,[1]!brca_metabric_clinical_data__2[Sample ID],[1]!brca_metabric_clinical_data__2[Tumor Stage])</f>
        <v>1</v>
      </c>
    </row>
    <row r="699" spans="1:15" x14ac:dyDescent="0.45">
      <c r="A699" t="s">
        <v>733</v>
      </c>
      <c r="B699">
        <v>50.26</v>
      </c>
      <c r="C699" t="s">
        <v>16</v>
      </c>
      <c r="D699" t="s">
        <v>17</v>
      </c>
      <c r="E699" t="s">
        <v>37</v>
      </c>
      <c r="F699" t="s">
        <v>43</v>
      </c>
      <c r="G699" t="s">
        <v>21</v>
      </c>
      <c r="H699" t="s">
        <v>20</v>
      </c>
      <c r="I699" t="s">
        <v>21</v>
      </c>
      <c r="J699" t="s">
        <v>58</v>
      </c>
      <c r="K699">
        <v>9</v>
      </c>
      <c r="L699">
        <v>167.433333333333</v>
      </c>
      <c r="M699" t="s">
        <v>24</v>
      </c>
      <c r="N699" t="str">
        <f>_xlfn.XLOOKUP(A699,[1]!brca_metabric_clinical_data__2[Patient ID], [1]!brca_metabric_clinical_data__2[Tumor Size])</f>
        <v>22</v>
      </c>
      <c r="O699" t="str">
        <f>_xlfn.XLOOKUP(A699,[1]!brca_metabric_clinical_data__2[Sample ID],[1]!brca_metabric_clinical_data__2[Tumor Stage])</f>
        <v>3</v>
      </c>
    </row>
    <row r="700" spans="1:15" x14ac:dyDescent="0.45">
      <c r="A700" t="s">
        <v>734</v>
      </c>
      <c r="B700">
        <v>42.17</v>
      </c>
      <c r="C700" t="s">
        <v>16</v>
      </c>
      <c r="D700" t="s">
        <v>26</v>
      </c>
      <c r="E700" t="s">
        <v>37</v>
      </c>
      <c r="F700" t="s">
        <v>19</v>
      </c>
      <c r="G700" t="s">
        <v>21</v>
      </c>
      <c r="H700" t="s">
        <v>20</v>
      </c>
      <c r="I700" t="s">
        <v>21</v>
      </c>
      <c r="J700" t="s">
        <v>58</v>
      </c>
      <c r="K700">
        <v>10</v>
      </c>
      <c r="L700">
        <v>227.933333333333</v>
      </c>
      <c r="M700" t="s">
        <v>24</v>
      </c>
      <c r="N700" t="str">
        <f>_xlfn.XLOOKUP(A700,[1]!brca_metabric_clinical_data__2[Patient ID], [1]!brca_metabric_clinical_data__2[Tumor Size])</f>
        <v>16</v>
      </c>
      <c r="O700" t="str">
        <f>_xlfn.XLOOKUP(A700,[1]!brca_metabric_clinical_data__2[Sample ID],[1]!brca_metabric_clinical_data__2[Tumor Stage])</f>
        <v>2</v>
      </c>
    </row>
    <row r="701" spans="1:15" x14ac:dyDescent="0.45">
      <c r="A701" t="s">
        <v>735</v>
      </c>
      <c r="B701">
        <v>59.78</v>
      </c>
      <c r="C701" t="s">
        <v>16</v>
      </c>
      <c r="D701" t="s">
        <v>17</v>
      </c>
      <c r="E701" t="s">
        <v>37</v>
      </c>
      <c r="F701" t="s">
        <v>35</v>
      </c>
      <c r="G701" t="s">
        <v>21</v>
      </c>
      <c r="H701" t="s">
        <v>20</v>
      </c>
      <c r="I701" t="s">
        <v>21</v>
      </c>
      <c r="J701" t="s">
        <v>58</v>
      </c>
      <c r="K701">
        <v>1</v>
      </c>
      <c r="L701">
        <v>221.23333333333301</v>
      </c>
      <c r="M701" t="s">
        <v>24</v>
      </c>
      <c r="N701" t="str">
        <f>_xlfn.XLOOKUP(A701,[1]!brca_metabric_clinical_data__2[Patient ID], [1]!brca_metabric_clinical_data__2[Tumor Size])</f>
        <v>28</v>
      </c>
      <c r="O701" t="str">
        <f>_xlfn.XLOOKUP(A701,[1]!brca_metabric_clinical_data__2[Sample ID],[1]!brca_metabric_clinical_data__2[Tumor Stage])</f>
        <v>2</v>
      </c>
    </row>
    <row r="702" spans="1:15" x14ac:dyDescent="0.45">
      <c r="A702" t="s">
        <v>736</v>
      </c>
      <c r="B702">
        <v>66.760000000000005</v>
      </c>
      <c r="C702" t="s">
        <v>16</v>
      </c>
      <c r="D702" t="s">
        <v>17</v>
      </c>
      <c r="E702" t="s">
        <v>18</v>
      </c>
      <c r="F702" t="s">
        <v>43</v>
      </c>
      <c r="G702" t="s">
        <v>20</v>
      </c>
      <c r="H702" t="s">
        <v>21</v>
      </c>
      <c r="I702" t="s">
        <v>21</v>
      </c>
      <c r="J702" t="s">
        <v>27</v>
      </c>
      <c r="K702">
        <v>8</v>
      </c>
      <c r="L702">
        <v>136.933333333333</v>
      </c>
      <c r="M702" t="s">
        <v>24</v>
      </c>
      <c r="N702" t="str">
        <f>_xlfn.XLOOKUP(A702,[1]!brca_metabric_clinical_data__2[Patient ID], [1]!brca_metabric_clinical_data__2[Tumor Size])</f>
        <v>16</v>
      </c>
      <c r="O702" t="str">
        <f>_xlfn.XLOOKUP(A702,[1]!brca_metabric_clinical_data__2[Sample ID],[1]!brca_metabric_clinical_data__2[Tumor Stage])</f>
        <v>1</v>
      </c>
    </row>
    <row r="703" spans="1:15" x14ac:dyDescent="0.45">
      <c r="A703" t="s">
        <v>737</v>
      </c>
      <c r="B703">
        <v>54.95</v>
      </c>
      <c r="C703" t="s">
        <v>16</v>
      </c>
      <c r="D703" t="s">
        <v>17</v>
      </c>
      <c r="E703" t="s">
        <v>18</v>
      </c>
      <c r="F703" t="s">
        <v>19</v>
      </c>
      <c r="G703" t="s">
        <v>20</v>
      </c>
      <c r="H703" t="s">
        <v>20</v>
      </c>
      <c r="I703" t="s">
        <v>20</v>
      </c>
      <c r="J703" t="s">
        <v>27</v>
      </c>
      <c r="K703">
        <v>7</v>
      </c>
      <c r="L703">
        <v>219.666666666667</v>
      </c>
      <c r="M703" t="s">
        <v>30</v>
      </c>
      <c r="N703" t="str">
        <f>_xlfn.XLOOKUP(A703,[1]!brca_metabric_clinical_data__2[Patient ID], [1]!brca_metabric_clinical_data__2[Tumor Size])</f>
        <v>13</v>
      </c>
      <c r="O703" t="str">
        <f>_xlfn.XLOOKUP(A703,[1]!brca_metabric_clinical_data__2[Sample ID],[1]!brca_metabric_clinical_data__2[Tumor Stage])</f>
        <v>1</v>
      </c>
    </row>
    <row r="704" spans="1:15" x14ac:dyDescent="0.45">
      <c r="A704" t="s">
        <v>738</v>
      </c>
      <c r="B704">
        <v>43.6</v>
      </c>
      <c r="C704" t="s">
        <v>16</v>
      </c>
      <c r="D704" t="s">
        <v>26</v>
      </c>
      <c r="E704" t="s">
        <v>18</v>
      </c>
      <c r="F704" t="s">
        <v>19</v>
      </c>
      <c r="G704" t="s">
        <v>20</v>
      </c>
      <c r="H704" t="s">
        <v>21</v>
      </c>
      <c r="I704" t="s">
        <v>21</v>
      </c>
      <c r="J704" t="s">
        <v>29</v>
      </c>
      <c r="K704">
        <v>2</v>
      </c>
      <c r="L704">
        <v>178.166666666667</v>
      </c>
      <c r="M704" t="s">
        <v>30</v>
      </c>
      <c r="N704" t="str">
        <f>_xlfn.XLOOKUP(A704,[1]!brca_metabric_clinical_data__2[Patient ID], [1]!brca_metabric_clinical_data__2[Tumor Size])</f>
        <v>14</v>
      </c>
      <c r="O704" t="str">
        <f>_xlfn.XLOOKUP(A704,[1]!brca_metabric_clinical_data__2[Sample ID],[1]!brca_metabric_clinical_data__2[Tumor Stage])</f>
        <v>1</v>
      </c>
    </row>
    <row r="705" spans="1:15" x14ac:dyDescent="0.45">
      <c r="A705" t="s">
        <v>739</v>
      </c>
      <c r="B705">
        <v>58.31</v>
      </c>
      <c r="C705" t="s">
        <v>16</v>
      </c>
      <c r="D705" t="s">
        <v>17</v>
      </c>
      <c r="E705" t="s">
        <v>37</v>
      </c>
      <c r="F705" t="s">
        <v>19</v>
      </c>
      <c r="G705" t="s">
        <v>20</v>
      </c>
      <c r="H705" t="s">
        <v>21</v>
      </c>
      <c r="I705" t="s">
        <v>21</v>
      </c>
      <c r="J705" t="s">
        <v>58</v>
      </c>
      <c r="K705">
        <v>10</v>
      </c>
      <c r="L705">
        <v>145.5</v>
      </c>
      <c r="M705" t="s">
        <v>24</v>
      </c>
      <c r="N705" t="str">
        <f>_xlfn.XLOOKUP(A705,[1]!brca_metabric_clinical_data__2[Patient ID], [1]!brca_metabric_clinical_data__2[Tumor Size])</f>
        <v>13</v>
      </c>
      <c r="O705" t="str">
        <f>_xlfn.XLOOKUP(A705,[1]!brca_metabric_clinical_data__2[Sample ID],[1]!brca_metabric_clinical_data__2[Tumor Stage])</f>
        <v>1</v>
      </c>
    </row>
    <row r="706" spans="1:15" x14ac:dyDescent="0.45">
      <c r="A706" t="s">
        <v>740</v>
      </c>
      <c r="B706">
        <v>44.94</v>
      </c>
      <c r="C706" t="s">
        <v>16</v>
      </c>
      <c r="D706" t="s">
        <v>26</v>
      </c>
      <c r="E706" t="s">
        <v>37</v>
      </c>
      <c r="F706" t="s">
        <v>19</v>
      </c>
      <c r="G706" t="s">
        <v>21</v>
      </c>
      <c r="H706" t="s">
        <v>20</v>
      </c>
      <c r="I706" t="s">
        <v>21</v>
      </c>
      <c r="J706" t="s">
        <v>58</v>
      </c>
      <c r="K706">
        <v>10</v>
      </c>
      <c r="L706">
        <v>248.76666666666699</v>
      </c>
      <c r="M706" t="s">
        <v>24</v>
      </c>
      <c r="N706" t="str">
        <f>_xlfn.XLOOKUP(A706,[1]!brca_metabric_clinical_data__2[Patient ID], [1]!brca_metabric_clinical_data__2[Tumor Size])</f>
        <v>17</v>
      </c>
      <c r="O706" t="str">
        <f>_xlfn.XLOOKUP(A706,[1]!brca_metabric_clinical_data__2[Sample ID],[1]!brca_metabric_clinical_data__2[Tumor Stage])</f>
        <v>2</v>
      </c>
    </row>
    <row r="707" spans="1:15" x14ac:dyDescent="0.45">
      <c r="A707" t="s">
        <v>741</v>
      </c>
      <c r="B707">
        <v>63.03</v>
      </c>
      <c r="C707" t="s">
        <v>16</v>
      </c>
      <c r="D707" t="s">
        <v>17</v>
      </c>
      <c r="E707" t="s">
        <v>37</v>
      </c>
      <c r="F707" t="s">
        <v>19</v>
      </c>
      <c r="G707" t="s">
        <v>20</v>
      </c>
      <c r="H707" t="s">
        <v>20</v>
      </c>
      <c r="I707" t="s">
        <v>20</v>
      </c>
      <c r="J707" t="s">
        <v>27</v>
      </c>
      <c r="K707">
        <v>7</v>
      </c>
      <c r="L707">
        <v>23.933333333333302</v>
      </c>
      <c r="M707" t="s">
        <v>30</v>
      </c>
      <c r="N707" t="str">
        <f>_xlfn.XLOOKUP(A707,[1]!brca_metabric_clinical_data__2[Patient ID], [1]!brca_metabric_clinical_data__2[Tumor Size])</f>
        <v>17</v>
      </c>
      <c r="O707" t="str">
        <f>_xlfn.XLOOKUP(A707,[1]!brca_metabric_clinical_data__2[Sample ID],[1]!brca_metabric_clinical_data__2[Tumor Stage])</f>
        <v>1</v>
      </c>
    </row>
    <row r="708" spans="1:15" x14ac:dyDescent="0.45">
      <c r="A708" t="s">
        <v>742</v>
      </c>
      <c r="B708">
        <v>58.31</v>
      </c>
      <c r="C708" t="s">
        <v>16</v>
      </c>
      <c r="D708" t="s">
        <v>17</v>
      </c>
      <c r="E708" t="s">
        <v>18</v>
      </c>
      <c r="F708" t="s">
        <v>19</v>
      </c>
      <c r="G708" t="s">
        <v>20</v>
      </c>
      <c r="H708" t="s">
        <v>20</v>
      </c>
      <c r="I708" t="s">
        <v>21</v>
      </c>
      <c r="J708" t="s">
        <v>27</v>
      </c>
      <c r="K708" t="s">
        <v>23</v>
      </c>
      <c r="L708">
        <v>252</v>
      </c>
      <c r="M708" t="s">
        <v>24</v>
      </c>
      <c r="N708" t="str">
        <f>_xlfn.XLOOKUP(A708,[1]!brca_metabric_clinical_data__2[Patient ID], [1]!brca_metabric_clinical_data__2[Tumor Size])</f>
        <v>17</v>
      </c>
      <c r="O708" t="str">
        <f>_xlfn.XLOOKUP(A708,[1]!brca_metabric_clinical_data__2[Sample ID],[1]!brca_metabric_clinical_data__2[Tumor Stage])</f>
        <v>1</v>
      </c>
    </row>
    <row r="709" spans="1:15" x14ac:dyDescent="0.45">
      <c r="A709" t="s">
        <v>743</v>
      </c>
      <c r="B709">
        <v>50.66</v>
      </c>
      <c r="C709" t="s">
        <v>16</v>
      </c>
      <c r="D709" t="s">
        <v>17</v>
      </c>
      <c r="E709" t="s">
        <v>18</v>
      </c>
      <c r="F709" t="s">
        <v>43</v>
      </c>
      <c r="G709" t="s">
        <v>20</v>
      </c>
      <c r="H709" t="s">
        <v>21</v>
      </c>
      <c r="I709" t="s">
        <v>21</v>
      </c>
      <c r="J709" t="s">
        <v>29</v>
      </c>
      <c r="K709">
        <v>5</v>
      </c>
      <c r="L709">
        <v>236.13333333333301</v>
      </c>
      <c r="M709" t="s">
        <v>24</v>
      </c>
      <c r="N709" t="str">
        <f>_xlfn.XLOOKUP(A709,[1]!brca_metabric_clinical_data__2[Patient ID], [1]!brca_metabric_clinical_data__2[Tumor Size])</f>
        <v>17</v>
      </c>
      <c r="O709" t="str">
        <f>_xlfn.XLOOKUP(A709,[1]!brca_metabric_clinical_data__2[Sample ID],[1]!brca_metabric_clinical_data__2[Tumor Stage])</f>
        <v>1</v>
      </c>
    </row>
    <row r="710" spans="1:15" x14ac:dyDescent="0.45">
      <c r="A710" t="s">
        <v>744</v>
      </c>
      <c r="B710">
        <v>41.4</v>
      </c>
      <c r="C710" t="s">
        <v>16</v>
      </c>
      <c r="D710" t="s">
        <v>26</v>
      </c>
      <c r="E710" t="s">
        <v>18</v>
      </c>
      <c r="F710" t="s">
        <v>19</v>
      </c>
      <c r="G710" t="s">
        <v>20</v>
      </c>
      <c r="H710" t="s">
        <v>20</v>
      </c>
      <c r="I710" t="s">
        <v>20</v>
      </c>
      <c r="J710" t="s">
        <v>27</v>
      </c>
      <c r="K710">
        <v>3</v>
      </c>
      <c r="L710">
        <v>99.7</v>
      </c>
      <c r="M710" t="s">
        <v>24</v>
      </c>
      <c r="N710" t="str">
        <f>_xlfn.XLOOKUP(A710,[1]!brca_metabric_clinical_data__2[Patient ID], [1]!brca_metabric_clinical_data__2[Tumor Size])</f>
        <v>20</v>
      </c>
      <c r="O710" t="str">
        <f>_xlfn.XLOOKUP(A710,[1]!brca_metabric_clinical_data__2[Sample ID],[1]!brca_metabric_clinical_data__2[Tumor Stage])</f>
        <v>1</v>
      </c>
    </row>
    <row r="711" spans="1:15" x14ac:dyDescent="0.45">
      <c r="A711" t="s">
        <v>745</v>
      </c>
      <c r="B711">
        <v>56.81</v>
      </c>
      <c r="C711" t="s">
        <v>16</v>
      </c>
      <c r="D711" t="s">
        <v>17</v>
      </c>
      <c r="E711" t="s">
        <v>18</v>
      </c>
      <c r="F711" t="s">
        <v>19</v>
      </c>
      <c r="G711" t="s">
        <v>20</v>
      </c>
      <c r="H711" t="s">
        <v>21</v>
      </c>
      <c r="I711" t="s">
        <v>21</v>
      </c>
      <c r="J711" t="s">
        <v>29</v>
      </c>
      <c r="K711">
        <v>9</v>
      </c>
      <c r="L711">
        <v>55.8333333333333</v>
      </c>
      <c r="M711" t="s">
        <v>30</v>
      </c>
      <c r="N711" t="str">
        <f>_xlfn.XLOOKUP(A711,[1]!brca_metabric_clinical_data__2[Patient ID], [1]!brca_metabric_clinical_data__2[Tumor Size])</f>
        <v>26</v>
      </c>
      <c r="O711" t="str">
        <f>_xlfn.XLOOKUP(A711,[1]!brca_metabric_clinical_data__2[Sample ID],[1]!brca_metabric_clinical_data__2[Tumor Stage])</f>
        <v>2</v>
      </c>
    </row>
    <row r="712" spans="1:15" x14ac:dyDescent="0.45">
      <c r="A712" t="s">
        <v>746</v>
      </c>
      <c r="B712">
        <v>50.21</v>
      </c>
      <c r="C712" t="s">
        <v>16</v>
      </c>
      <c r="D712" t="s">
        <v>17</v>
      </c>
      <c r="E712" t="s">
        <v>18</v>
      </c>
      <c r="F712" t="s">
        <v>19</v>
      </c>
      <c r="G712" t="s">
        <v>20</v>
      </c>
      <c r="H712" t="s">
        <v>20</v>
      </c>
      <c r="I712" t="s">
        <v>21</v>
      </c>
      <c r="J712" t="s">
        <v>27</v>
      </c>
      <c r="K712">
        <v>3</v>
      </c>
      <c r="L712">
        <v>123.9</v>
      </c>
      <c r="M712" t="s">
        <v>24</v>
      </c>
      <c r="N712" t="str">
        <f>_xlfn.XLOOKUP(A712,[1]!brca_metabric_clinical_data__2[Patient ID], [1]!brca_metabric_clinical_data__2[Tumor Size])</f>
        <v>18</v>
      </c>
      <c r="O712" t="str">
        <f>_xlfn.XLOOKUP(A712,[1]!brca_metabric_clinical_data__2[Sample ID],[1]!brca_metabric_clinical_data__2[Tumor Stage])</f>
        <v>1</v>
      </c>
    </row>
    <row r="713" spans="1:15" x14ac:dyDescent="0.45">
      <c r="A713" t="s">
        <v>747</v>
      </c>
      <c r="B713">
        <v>52.91</v>
      </c>
      <c r="C713" t="s">
        <v>16</v>
      </c>
      <c r="D713" t="s">
        <v>17</v>
      </c>
      <c r="E713" t="s">
        <v>18</v>
      </c>
      <c r="F713" t="s">
        <v>43</v>
      </c>
      <c r="G713" t="s">
        <v>20</v>
      </c>
      <c r="H713" t="s">
        <v>21</v>
      </c>
      <c r="I713" t="s">
        <v>21</v>
      </c>
      <c r="J713" t="s">
        <v>29</v>
      </c>
      <c r="K713">
        <v>1</v>
      </c>
      <c r="L713">
        <v>51.2</v>
      </c>
      <c r="M713" t="s">
        <v>30</v>
      </c>
      <c r="N713" t="str">
        <f>_xlfn.XLOOKUP(A713,[1]!brca_metabric_clinical_data__2[Patient ID], [1]!brca_metabric_clinical_data__2[Tumor Size])</f>
        <v>17</v>
      </c>
      <c r="O713" t="str">
        <f>_xlfn.XLOOKUP(A713,[1]!brca_metabric_clinical_data__2[Sample ID],[1]!brca_metabric_clinical_data__2[Tumor Stage])</f>
        <v>2</v>
      </c>
    </row>
    <row r="714" spans="1:15" x14ac:dyDescent="0.45">
      <c r="A714" t="s">
        <v>748</v>
      </c>
      <c r="B714">
        <v>59.43</v>
      </c>
      <c r="C714" t="s">
        <v>16</v>
      </c>
      <c r="D714" t="s">
        <v>17</v>
      </c>
      <c r="E714" t="s">
        <v>37</v>
      </c>
      <c r="F714" t="s">
        <v>19</v>
      </c>
      <c r="G714" t="s">
        <v>20</v>
      </c>
      <c r="H714" t="s">
        <v>21</v>
      </c>
      <c r="I714" t="s">
        <v>21</v>
      </c>
      <c r="J714" t="s">
        <v>22</v>
      </c>
      <c r="K714">
        <v>10</v>
      </c>
      <c r="L714">
        <v>65.466666666666697</v>
      </c>
      <c r="M714" t="s">
        <v>30</v>
      </c>
      <c r="N714" t="str">
        <f>_xlfn.XLOOKUP(A714,[1]!brca_metabric_clinical_data__2[Patient ID], [1]!brca_metabric_clinical_data__2[Tumor Size])</f>
        <v>20</v>
      </c>
      <c r="O714" t="str">
        <f>_xlfn.XLOOKUP(A714,[1]!brca_metabric_clinical_data__2[Sample ID],[1]!brca_metabric_clinical_data__2[Tumor Stage])</f>
        <v>1</v>
      </c>
    </row>
    <row r="715" spans="1:15" x14ac:dyDescent="0.45">
      <c r="A715" t="s">
        <v>749</v>
      </c>
      <c r="B715">
        <v>63.53</v>
      </c>
      <c r="C715" t="s">
        <v>16</v>
      </c>
      <c r="D715" t="s">
        <v>17</v>
      </c>
      <c r="E715" t="s">
        <v>18</v>
      </c>
      <c r="F715" t="s">
        <v>43</v>
      </c>
      <c r="G715" t="s">
        <v>20</v>
      </c>
      <c r="H715" t="s">
        <v>21</v>
      </c>
      <c r="I715" t="s">
        <v>21</v>
      </c>
      <c r="J715" t="s">
        <v>29</v>
      </c>
      <c r="K715">
        <v>5</v>
      </c>
      <c r="L715">
        <v>22.6666666666667</v>
      </c>
      <c r="M715" t="s">
        <v>30</v>
      </c>
      <c r="N715" t="str">
        <f>_xlfn.XLOOKUP(A715,[1]!brca_metabric_clinical_data__2[Patient ID], [1]!brca_metabric_clinical_data__2[Tumor Size])</f>
        <v>20</v>
      </c>
      <c r="O715" t="str">
        <f>_xlfn.XLOOKUP(A715,[1]!brca_metabric_clinical_data__2[Sample ID],[1]!brca_metabric_clinical_data__2[Tumor Stage])</f>
        <v>3</v>
      </c>
    </row>
    <row r="716" spans="1:15" x14ac:dyDescent="0.45">
      <c r="A716" t="s">
        <v>750</v>
      </c>
      <c r="B716">
        <v>45</v>
      </c>
      <c r="C716" t="s">
        <v>16</v>
      </c>
      <c r="D716" t="s">
        <v>26</v>
      </c>
      <c r="E716" t="s">
        <v>18</v>
      </c>
      <c r="F716" t="s">
        <v>19</v>
      </c>
      <c r="G716" t="s">
        <v>20</v>
      </c>
      <c r="H716" t="s">
        <v>21</v>
      </c>
      <c r="I716" t="s">
        <v>20</v>
      </c>
      <c r="J716" t="s">
        <v>29</v>
      </c>
      <c r="K716">
        <v>1</v>
      </c>
      <c r="L716">
        <v>41.533333333333303</v>
      </c>
      <c r="M716" t="s">
        <v>30</v>
      </c>
      <c r="N716" t="str">
        <f>_xlfn.XLOOKUP(A716,[1]!brca_metabric_clinical_data__2[Patient ID], [1]!brca_metabric_clinical_data__2[Tumor Size])</f>
        <v>28</v>
      </c>
      <c r="O716" t="str">
        <f>_xlfn.XLOOKUP(A716,[1]!brca_metabric_clinical_data__2[Sample ID],[1]!brca_metabric_clinical_data__2[Tumor Stage])</f>
        <v>1</v>
      </c>
    </row>
    <row r="717" spans="1:15" x14ac:dyDescent="0.45">
      <c r="A717" t="s">
        <v>751</v>
      </c>
      <c r="B717">
        <v>29.92</v>
      </c>
      <c r="C717" t="s">
        <v>16</v>
      </c>
      <c r="D717" t="s">
        <v>26</v>
      </c>
      <c r="E717" t="s">
        <v>37</v>
      </c>
      <c r="F717" t="s">
        <v>19</v>
      </c>
      <c r="G717" t="s">
        <v>21</v>
      </c>
      <c r="H717" t="s">
        <v>20</v>
      </c>
      <c r="I717" t="s">
        <v>21</v>
      </c>
      <c r="J717" t="s">
        <v>58</v>
      </c>
      <c r="K717">
        <v>1</v>
      </c>
      <c r="L717">
        <v>32.933333333333302</v>
      </c>
      <c r="M717" t="s">
        <v>30</v>
      </c>
      <c r="N717" t="str">
        <f>_xlfn.XLOOKUP(A717,[1]!brca_metabric_clinical_data__2[Patient ID], [1]!brca_metabric_clinical_data__2[Tumor Size])</f>
        <v>30</v>
      </c>
      <c r="O717" t="str">
        <f>_xlfn.XLOOKUP(A717,[1]!brca_metabric_clinical_data__2[Sample ID],[1]!brca_metabric_clinical_data__2[Tumor Stage])</f>
        <v>2</v>
      </c>
    </row>
    <row r="718" spans="1:15" x14ac:dyDescent="0.45">
      <c r="A718" t="s">
        <v>752</v>
      </c>
      <c r="B718">
        <v>60.04</v>
      </c>
      <c r="C718" t="s">
        <v>16</v>
      </c>
      <c r="D718" t="s">
        <v>17</v>
      </c>
      <c r="E718" t="s">
        <v>37</v>
      </c>
      <c r="F718" t="s">
        <v>19</v>
      </c>
      <c r="G718" t="s">
        <v>20</v>
      </c>
      <c r="H718" t="s">
        <v>21</v>
      </c>
      <c r="I718" t="s">
        <v>20</v>
      </c>
      <c r="J718" t="s">
        <v>22</v>
      </c>
      <c r="K718">
        <v>10</v>
      </c>
      <c r="L718">
        <v>217.76666666666699</v>
      </c>
      <c r="M718" t="s">
        <v>24</v>
      </c>
      <c r="N718" t="str">
        <f>_xlfn.XLOOKUP(A718,[1]!brca_metabric_clinical_data__2[Patient ID], [1]!brca_metabric_clinical_data__2[Tumor Size])</f>
        <v>18</v>
      </c>
      <c r="O718" t="str">
        <f>_xlfn.XLOOKUP(A718,[1]!brca_metabric_clinical_data__2[Sample ID],[1]!brca_metabric_clinical_data__2[Tumor Stage])</f>
        <v>1</v>
      </c>
    </row>
    <row r="719" spans="1:15" x14ac:dyDescent="0.45">
      <c r="A719" t="s">
        <v>753</v>
      </c>
      <c r="B719">
        <v>60.42</v>
      </c>
      <c r="C719" t="s">
        <v>16</v>
      </c>
      <c r="D719" t="s">
        <v>17</v>
      </c>
      <c r="E719" t="s">
        <v>18</v>
      </c>
      <c r="F719" t="s">
        <v>19</v>
      </c>
      <c r="G719" t="s">
        <v>20</v>
      </c>
      <c r="H719" t="s">
        <v>21</v>
      </c>
      <c r="I719" t="s">
        <v>20</v>
      </c>
      <c r="J719" t="s">
        <v>38</v>
      </c>
      <c r="K719" t="s">
        <v>23</v>
      </c>
      <c r="L719">
        <v>158.53333333333299</v>
      </c>
      <c r="M719" t="s">
        <v>30</v>
      </c>
      <c r="N719" t="str">
        <f>_xlfn.XLOOKUP(A719,[1]!brca_metabric_clinical_data__2[Patient ID], [1]!brca_metabric_clinical_data__2[Tumor Size])</f>
        <v>25</v>
      </c>
      <c r="O719" t="str">
        <f>_xlfn.XLOOKUP(A719,[1]!brca_metabric_clinical_data__2[Sample ID],[1]!brca_metabric_clinical_data__2[Tumor Stage])</f>
        <v>1</v>
      </c>
    </row>
    <row r="720" spans="1:15" x14ac:dyDescent="0.45">
      <c r="A720" t="s">
        <v>754</v>
      </c>
      <c r="B720">
        <v>42.72</v>
      </c>
      <c r="C720" t="s">
        <v>16</v>
      </c>
      <c r="D720" t="s">
        <v>26</v>
      </c>
      <c r="E720" t="s">
        <v>37</v>
      </c>
      <c r="F720" t="s">
        <v>19</v>
      </c>
      <c r="G720" t="s">
        <v>21</v>
      </c>
      <c r="H720" t="s">
        <v>20</v>
      </c>
      <c r="I720" t="s">
        <v>21</v>
      </c>
      <c r="J720" t="s">
        <v>58</v>
      </c>
      <c r="K720">
        <v>10</v>
      </c>
      <c r="L720">
        <v>236.066666666667</v>
      </c>
      <c r="M720" t="s">
        <v>24</v>
      </c>
      <c r="N720" t="str">
        <f>_xlfn.XLOOKUP(A720,[1]!brca_metabric_clinical_data__2[Patient ID], [1]!brca_metabric_clinical_data__2[Tumor Size])</f>
        <v>25</v>
      </c>
      <c r="O720" t="str">
        <f>_xlfn.XLOOKUP(A720,[1]!brca_metabric_clinical_data__2[Sample ID],[1]!brca_metabric_clinical_data__2[Tumor Stage])</f>
        <v>2</v>
      </c>
    </row>
    <row r="721" spans="1:15" x14ac:dyDescent="0.45">
      <c r="A721" t="s">
        <v>755</v>
      </c>
      <c r="B721">
        <v>48.75</v>
      </c>
      <c r="C721" t="s">
        <v>16</v>
      </c>
      <c r="D721" t="s">
        <v>26</v>
      </c>
      <c r="E721" t="s">
        <v>18</v>
      </c>
      <c r="F721" t="s">
        <v>19</v>
      </c>
      <c r="G721" t="s">
        <v>20</v>
      </c>
      <c r="H721" t="s">
        <v>20</v>
      </c>
      <c r="I721" t="s">
        <v>20</v>
      </c>
      <c r="J721" t="s">
        <v>27</v>
      </c>
      <c r="K721">
        <v>3</v>
      </c>
      <c r="L721">
        <v>242.566666666667</v>
      </c>
      <c r="M721" t="s">
        <v>24</v>
      </c>
      <c r="N721" t="str">
        <f>_xlfn.XLOOKUP(A721,[1]!brca_metabric_clinical_data__2[Patient ID], [1]!brca_metabric_clinical_data__2[Tumor Size])</f>
        <v>15</v>
      </c>
      <c r="O721" t="str">
        <f>_xlfn.XLOOKUP(A721,[1]!brca_metabric_clinical_data__2[Sample ID],[1]!brca_metabric_clinical_data__2[Tumor Stage])</f>
        <v>1</v>
      </c>
    </row>
    <row r="722" spans="1:15" x14ac:dyDescent="0.45">
      <c r="A722" t="s">
        <v>756</v>
      </c>
      <c r="B722">
        <v>64.989999999999995</v>
      </c>
      <c r="C722" t="s">
        <v>16</v>
      </c>
      <c r="D722" t="s">
        <v>17</v>
      </c>
      <c r="E722" t="s">
        <v>18</v>
      </c>
      <c r="F722" t="s">
        <v>19</v>
      </c>
      <c r="G722" t="s">
        <v>20</v>
      </c>
      <c r="H722" t="s">
        <v>20</v>
      </c>
      <c r="I722" t="s">
        <v>20</v>
      </c>
      <c r="J722" t="s">
        <v>29</v>
      </c>
      <c r="K722">
        <v>7</v>
      </c>
      <c r="L722">
        <v>247</v>
      </c>
      <c r="M722" t="s">
        <v>24</v>
      </c>
      <c r="N722" t="str">
        <f>_xlfn.XLOOKUP(A722,[1]!brca_metabric_clinical_data__2[Patient ID], [1]!brca_metabric_clinical_data__2[Tumor Size])</f>
        <v>19</v>
      </c>
      <c r="O722" t="str">
        <f>_xlfn.XLOOKUP(A722,[1]!brca_metabric_clinical_data__2[Sample ID],[1]!brca_metabric_clinical_data__2[Tumor Stage])</f>
        <v>1</v>
      </c>
    </row>
    <row r="723" spans="1:15" x14ac:dyDescent="0.45">
      <c r="A723" t="s">
        <v>757</v>
      </c>
      <c r="B723">
        <v>49.5</v>
      </c>
      <c r="C723" t="s">
        <v>16</v>
      </c>
      <c r="D723" t="s">
        <v>26</v>
      </c>
      <c r="E723" t="s">
        <v>18</v>
      </c>
      <c r="F723" t="s">
        <v>19</v>
      </c>
      <c r="G723" t="s">
        <v>20</v>
      </c>
      <c r="H723" t="s">
        <v>21</v>
      </c>
      <c r="I723" t="s">
        <v>20</v>
      </c>
      <c r="J723" t="s">
        <v>29</v>
      </c>
      <c r="K723">
        <v>8</v>
      </c>
      <c r="L723">
        <v>248.76666666666699</v>
      </c>
      <c r="M723" t="s">
        <v>24</v>
      </c>
      <c r="N723" t="str">
        <f>_xlfn.XLOOKUP(A723,[1]!brca_metabric_clinical_data__2[Patient ID], [1]!brca_metabric_clinical_data__2[Tumor Size])</f>
        <v>32</v>
      </c>
      <c r="O723" t="str">
        <f>_xlfn.XLOOKUP(A723,[1]!brca_metabric_clinical_data__2[Sample ID],[1]!brca_metabric_clinical_data__2[Tumor Stage])</f>
        <v>1</v>
      </c>
    </row>
    <row r="724" spans="1:15" x14ac:dyDescent="0.45">
      <c r="A724" t="s">
        <v>758</v>
      </c>
      <c r="B724">
        <v>63.96</v>
      </c>
      <c r="C724" t="s">
        <v>16</v>
      </c>
      <c r="D724" t="s">
        <v>17</v>
      </c>
      <c r="E724" t="s">
        <v>18</v>
      </c>
      <c r="F724" t="s">
        <v>19</v>
      </c>
      <c r="G724" t="s">
        <v>20</v>
      </c>
      <c r="H724" t="s">
        <v>21</v>
      </c>
      <c r="I724" t="s">
        <v>21</v>
      </c>
      <c r="J724" t="s">
        <v>29</v>
      </c>
      <c r="K724" t="s">
        <v>23</v>
      </c>
      <c r="L724">
        <v>243.9</v>
      </c>
      <c r="M724" t="s">
        <v>24</v>
      </c>
      <c r="N724" t="str">
        <f>_xlfn.XLOOKUP(A724,[1]!brca_metabric_clinical_data__2[Patient ID], [1]!brca_metabric_clinical_data__2[Tumor Size])</f>
        <v>20</v>
      </c>
      <c r="O724" t="str">
        <f>_xlfn.XLOOKUP(A724,[1]!brca_metabric_clinical_data__2[Sample ID],[1]!brca_metabric_clinical_data__2[Tumor Stage])</f>
        <v>2</v>
      </c>
    </row>
    <row r="725" spans="1:15" x14ac:dyDescent="0.45">
      <c r="A725" t="s">
        <v>759</v>
      </c>
      <c r="B725">
        <v>69.650000000000006</v>
      </c>
      <c r="C725" t="s">
        <v>16</v>
      </c>
      <c r="D725" t="s">
        <v>17</v>
      </c>
      <c r="E725" t="s">
        <v>18</v>
      </c>
      <c r="F725" t="s">
        <v>19</v>
      </c>
      <c r="G725" t="s">
        <v>20</v>
      </c>
      <c r="H725" t="s">
        <v>21</v>
      </c>
      <c r="I725" t="s">
        <v>21</v>
      </c>
      <c r="J725" t="s">
        <v>27</v>
      </c>
      <c r="K725">
        <v>7</v>
      </c>
      <c r="L725">
        <v>191.13333333333301</v>
      </c>
      <c r="M725" t="s">
        <v>30</v>
      </c>
      <c r="N725" t="str">
        <f>_xlfn.XLOOKUP(A725,[1]!brca_metabric_clinical_data__2[Patient ID], [1]!brca_metabric_clinical_data__2[Tumor Size])</f>
        <v>35</v>
      </c>
      <c r="O725" t="str">
        <f>_xlfn.XLOOKUP(A725,[1]!brca_metabric_clinical_data__2[Sample ID],[1]!brca_metabric_clinical_data__2[Tumor Stage])</f>
        <v>2</v>
      </c>
    </row>
    <row r="726" spans="1:15" x14ac:dyDescent="0.45">
      <c r="A726" t="s">
        <v>760</v>
      </c>
      <c r="B726">
        <v>56.03</v>
      </c>
      <c r="C726" t="s">
        <v>16</v>
      </c>
      <c r="D726" t="s">
        <v>17</v>
      </c>
      <c r="E726" t="s">
        <v>37</v>
      </c>
      <c r="F726" t="s">
        <v>43</v>
      </c>
      <c r="G726" t="s">
        <v>20</v>
      </c>
      <c r="H726" t="s">
        <v>20</v>
      </c>
      <c r="I726" t="s">
        <v>21</v>
      </c>
      <c r="J726" t="s">
        <v>45</v>
      </c>
      <c r="K726">
        <v>5</v>
      </c>
      <c r="L726">
        <v>37.966666666666697</v>
      </c>
      <c r="M726" t="s">
        <v>30</v>
      </c>
      <c r="N726" t="str">
        <f>_xlfn.XLOOKUP(A726,[1]!brca_metabric_clinical_data__2[Patient ID], [1]!brca_metabric_clinical_data__2[Tumor Size])</f>
        <v>20</v>
      </c>
      <c r="O726" t="str">
        <f>_xlfn.XLOOKUP(A726,[1]!brca_metabric_clinical_data__2[Sample ID],[1]!brca_metabric_clinical_data__2[Tumor Stage])</f>
        <v>1</v>
      </c>
    </row>
    <row r="727" spans="1:15" x14ac:dyDescent="0.45">
      <c r="A727" t="s">
        <v>761</v>
      </c>
      <c r="B727">
        <v>62.96</v>
      </c>
      <c r="C727" t="s">
        <v>16</v>
      </c>
      <c r="D727" t="s">
        <v>17</v>
      </c>
      <c r="E727" t="s">
        <v>18</v>
      </c>
      <c r="F727" t="s">
        <v>19</v>
      </c>
      <c r="G727" t="s">
        <v>20</v>
      </c>
      <c r="H727" t="s">
        <v>21</v>
      </c>
      <c r="I727" t="s">
        <v>20</v>
      </c>
      <c r="J727" t="s">
        <v>27</v>
      </c>
      <c r="K727">
        <v>8</v>
      </c>
      <c r="L727">
        <v>148.76666666666699</v>
      </c>
      <c r="M727" t="s">
        <v>30</v>
      </c>
      <c r="N727" t="str">
        <f>_xlfn.XLOOKUP(A727,[1]!brca_metabric_clinical_data__2[Patient ID], [1]!brca_metabric_clinical_data__2[Tumor Size])</f>
        <v>30</v>
      </c>
      <c r="O727" t="str">
        <f>_xlfn.XLOOKUP(A727,[1]!brca_metabric_clinical_data__2[Sample ID],[1]!brca_metabric_clinical_data__2[Tumor Stage])</f>
        <v>1</v>
      </c>
    </row>
    <row r="728" spans="1:15" x14ac:dyDescent="0.45">
      <c r="A728" t="s">
        <v>762</v>
      </c>
      <c r="B728">
        <v>33.76</v>
      </c>
      <c r="C728" t="s">
        <v>16</v>
      </c>
      <c r="D728" t="s">
        <v>26</v>
      </c>
      <c r="E728" t="s">
        <v>18</v>
      </c>
      <c r="F728" t="s">
        <v>35</v>
      </c>
      <c r="G728" t="s">
        <v>20</v>
      </c>
      <c r="H728" t="s">
        <v>20</v>
      </c>
      <c r="I728" t="s">
        <v>21</v>
      </c>
      <c r="J728" t="s">
        <v>27</v>
      </c>
      <c r="K728">
        <v>3</v>
      </c>
      <c r="L728">
        <v>241.26666666666699</v>
      </c>
      <c r="M728" t="s">
        <v>24</v>
      </c>
      <c r="N728" t="str">
        <f>_xlfn.XLOOKUP(A728,[1]!brca_metabric_clinical_data__2[Patient ID], [1]!brca_metabric_clinical_data__2[Tumor Size])</f>
        <v>23</v>
      </c>
      <c r="O728" t="str">
        <f>_xlfn.XLOOKUP(A728,[1]!brca_metabric_clinical_data__2[Sample ID],[1]!brca_metabric_clinical_data__2[Tumor Stage])</f>
        <v>1</v>
      </c>
    </row>
    <row r="729" spans="1:15" x14ac:dyDescent="0.45">
      <c r="A729" t="s">
        <v>763</v>
      </c>
      <c r="B729">
        <v>62.62</v>
      </c>
      <c r="C729" t="s">
        <v>16</v>
      </c>
      <c r="D729" t="s">
        <v>17</v>
      </c>
      <c r="E729" t="s">
        <v>18</v>
      </c>
      <c r="F729" t="s">
        <v>19</v>
      </c>
      <c r="G729" t="s">
        <v>20</v>
      </c>
      <c r="H729" t="s">
        <v>21</v>
      </c>
      <c r="I729" t="s">
        <v>20</v>
      </c>
      <c r="J729" t="s">
        <v>29</v>
      </c>
      <c r="K729">
        <v>3</v>
      </c>
      <c r="L729">
        <v>227.8</v>
      </c>
      <c r="M729" t="s">
        <v>30</v>
      </c>
      <c r="N729" t="str">
        <f>_xlfn.XLOOKUP(A729,[1]!brca_metabric_clinical_data__2[Patient ID], [1]!brca_metabric_clinical_data__2[Tumor Size])</f>
        <v>30</v>
      </c>
      <c r="O729" t="str">
        <f>_xlfn.XLOOKUP(A729,[1]!brca_metabric_clinical_data__2[Sample ID],[1]!brca_metabric_clinical_data__2[Tumor Stage])</f>
        <v>1</v>
      </c>
    </row>
    <row r="730" spans="1:15" x14ac:dyDescent="0.45">
      <c r="A730" t="s">
        <v>764</v>
      </c>
      <c r="B730">
        <v>39.4</v>
      </c>
      <c r="C730" t="s">
        <v>16</v>
      </c>
      <c r="D730" t="s">
        <v>26</v>
      </c>
      <c r="E730" t="s">
        <v>18</v>
      </c>
      <c r="F730" t="s">
        <v>19</v>
      </c>
      <c r="G730" t="s">
        <v>20</v>
      </c>
      <c r="H730" t="s">
        <v>20</v>
      </c>
      <c r="I730" t="s">
        <v>20</v>
      </c>
      <c r="J730" t="s">
        <v>27</v>
      </c>
      <c r="K730">
        <v>3</v>
      </c>
      <c r="L730">
        <v>241.86666666666699</v>
      </c>
      <c r="M730" t="s">
        <v>24</v>
      </c>
      <c r="N730" t="str">
        <f>_xlfn.XLOOKUP(A730,[1]!brca_metabric_clinical_data__2[Patient ID], [1]!brca_metabric_clinical_data__2[Tumor Size])</f>
        <v>17</v>
      </c>
      <c r="O730" t="str">
        <f>_xlfn.XLOOKUP(A730,[1]!brca_metabric_clinical_data__2[Sample ID],[1]!brca_metabric_clinical_data__2[Tumor Stage])</f>
        <v>1</v>
      </c>
    </row>
    <row r="731" spans="1:15" x14ac:dyDescent="0.45">
      <c r="A731" t="s">
        <v>765</v>
      </c>
      <c r="B731">
        <v>48.53</v>
      </c>
      <c r="C731" t="s">
        <v>16</v>
      </c>
      <c r="D731" t="s">
        <v>26</v>
      </c>
      <c r="E731" t="s">
        <v>37</v>
      </c>
      <c r="F731" t="s">
        <v>43</v>
      </c>
      <c r="G731" t="s">
        <v>21</v>
      </c>
      <c r="H731" t="s">
        <v>20</v>
      </c>
      <c r="I731" t="s">
        <v>21</v>
      </c>
      <c r="J731" t="s">
        <v>45</v>
      </c>
      <c r="K731">
        <v>5</v>
      </c>
      <c r="L731">
        <v>109</v>
      </c>
      <c r="M731" t="s">
        <v>24</v>
      </c>
      <c r="N731" t="str">
        <f>_xlfn.XLOOKUP(A731,[1]!brca_metabric_clinical_data__2[Patient ID], [1]!brca_metabric_clinical_data__2[Tumor Size])</f>
        <v>27</v>
      </c>
      <c r="O731" t="str">
        <f>_xlfn.XLOOKUP(A731,[1]!brca_metabric_clinical_data__2[Sample ID],[1]!brca_metabric_clinical_data__2[Tumor Stage])</f>
        <v>3</v>
      </c>
    </row>
    <row r="732" spans="1:15" x14ac:dyDescent="0.45">
      <c r="A732" t="s">
        <v>766</v>
      </c>
      <c r="B732">
        <v>47.75</v>
      </c>
      <c r="C732" t="s">
        <v>16</v>
      </c>
      <c r="D732" t="s">
        <v>26</v>
      </c>
      <c r="E732" t="s">
        <v>18</v>
      </c>
      <c r="F732" t="s">
        <v>43</v>
      </c>
      <c r="G732" t="s">
        <v>20</v>
      </c>
      <c r="H732" t="s">
        <v>21</v>
      </c>
      <c r="I732" t="s">
        <v>21</v>
      </c>
      <c r="J732" t="s">
        <v>29</v>
      </c>
      <c r="K732">
        <v>9</v>
      </c>
      <c r="L732">
        <v>38.033333333333303</v>
      </c>
      <c r="M732" t="s">
        <v>30</v>
      </c>
      <c r="N732" t="str">
        <f>_xlfn.XLOOKUP(A732,[1]!brca_metabric_clinical_data__2[Patient ID], [1]!brca_metabric_clinical_data__2[Tumor Size])</f>
        <v>25</v>
      </c>
      <c r="O732" t="str">
        <f>_xlfn.XLOOKUP(A732,[1]!brca_metabric_clinical_data__2[Sample ID],[1]!brca_metabric_clinical_data__2[Tumor Stage])</f>
        <v>1</v>
      </c>
    </row>
    <row r="733" spans="1:15" x14ac:dyDescent="0.45">
      <c r="A733" t="s">
        <v>767</v>
      </c>
      <c r="B733">
        <v>48.48</v>
      </c>
      <c r="C733" t="s">
        <v>16</v>
      </c>
      <c r="D733" t="s">
        <v>26</v>
      </c>
      <c r="E733" t="s">
        <v>18</v>
      </c>
      <c r="F733" t="s">
        <v>43</v>
      </c>
      <c r="G733" t="s">
        <v>20</v>
      </c>
      <c r="H733" t="s">
        <v>21</v>
      </c>
      <c r="I733" t="s">
        <v>21</v>
      </c>
      <c r="J733" t="s">
        <v>29</v>
      </c>
      <c r="K733">
        <v>5</v>
      </c>
      <c r="L733">
        <v>26.766666666666701</v>
      </c>
      <c r="M733" t="s">
        <v>30</v>
      </c>
      <c r="N733" t="str">
        <f>_xlfn.XLOOKUP(A733,[1]!brca_metabric_clinical_data__2[Patient ID], [1]!brca_metabric_clinical_data__2[Tumor Size])</f>
        <v>28</v>
      </c>
      <c r="O733" t="str">
        <f>_xlfn.XLOOKUP(A733,[1]!brca_metabric_clinical_data__2[Sample ID],[1]!brca_metabric_clinical_data__2[Tumor Stage])</f>
        <v>1</v>
      </c>
    </row>
    <row r="734" spans="1:15" x14ac:dyDescent="0.45">
      <c r="A734" t="s">
        <v>768</v>
      </c>
      <c r="B734">
        <v>57.31</v>
      </c>
      <c r="C734" t="s">
        <v>16</v>
      </c>
      <c r="D734" t="s">
        <v>17</v>
      </c>
      <c r="E734" t="s">
        <v>18</v>
      </c>
      <c r="F734" t="s">
        <v>43</v>
      </c>
      <c r="G734" t="s">
        <v>20</v>
      </c>
      <c r="H734" t="s">
        <v>21</v>
      </c>
      <c r="I734" t="s">
        <v>21</v>
      </c>
      <c r="J734" t="s">
        <v>29</v>
      </c>
      <c r="K734">
        <v>5</v>
      </c>
      <c r="L734">
        <v>68.2</v>
      </c>
      <c r="M734" t="s">
        <v>30</v>
      </c>
      <c r="N734" t="str">
        <f>_xlfn.XLOOKUP(A734,[1]!brca_metabric_clinical_data__2[Patient ID], [1]!brca_metabric_clinical_data__2[Tumor Size])</f>
        <v>16</v>
      </c>
      <c r="O734" t="str">
        <f>_xlfn.XLOOKUP(A734,[1]!brca_metabric_clinical_data__2[Sample ID],[1]!brca_metabric_clinical_data__2[Tumor Stage])</f>
        <v>1</v>
      </c>
    </row>
    <row r="735" spans="1:15" x14ac:dyDescent="0.45">
      <c r="A735" t="s">
        <v>769</v>
      </c>
      <c r="B735">
        <v>56.42</v>
      </c>
      <c r="C735" t="s">
        <v>16</v>
      </c>
      <c r="D735" t="s">
        <v>17</v>
      </c>
      <c r="E735" t="s">
        <v>18</v>
      </c>
      <c r="F735" t="s">
        <v>19</v>
      </c>
      <c r="G735" t="s">
        <v>20</v>
      </c>
      <c r="H735" t="s">
        <v>20</v>
      </c>
      <c r="I735" t="s">
        <v>21</v>
      </c>
      <c r="J735" t="s">
        <v>58</v>
      </c>
      <c r="K735">
        <v>10</v>
      </c>
      <c r="L735">
        <v>10.866666666666699</v>
      </c>
      <c r="M735" t="s">
        <v>30</v>
      </c>
      <c r="N735" t="str">
        <f>_xlfn.XLOOKUP(A735,[1]!brca_metabric_clinical_data__2[Patient ID], [1]!brca_metabric_clinical_data__2[Tumor Size])</f>
        <v>20</v>
      </c>
      <c r="O735" t="str">
        <f>_xlfn.XLOOKUP(A735,[1]!brca_metabric_clinical_data__2[Sample ID],[1]!brca_metabric_clinical_data__2[Tumor Stage])</f>
        <v>1</v>
      </c>
    </row>
    <row r="736" spans="1:15" x14ac:dyDescent="0.45">
      <c r="A736" t="s">
        <v>770</v>
      </c>
      <c r="B736">
        <v>51.18</v>
      </c>
      <c r="C736" t="s">
        <v>16</v>
      </c>
      <c r="D736" t="s">
        <v>17</v>
      </c>
      <c r="E736" t="s">
        <v>18</v>
      </c>
      <c r="F736" t="s">
        <v>19</v>
      </c>
      <c r="G736" t="s">
        <v>20</v>
      </c>
      <c r="H736" t="s">
        <v>21</v>
      </c>
      <c r="I736" t="s">
        <v>21</v>
      </c>
      <c r="J736" t="s">
        <v>27</v>
      </c>
      <c r="K736">
        <v>7</v>
      </c>
      <c r="L736">
        <v>241.6</v>
      </c>
      <c r="M736" t="s">
        <v>24</v>
      </c>
      <c r="N736" t="str">
        <f>_xlfn.XLOOKUP(A736,[1]!brca_metabric_clinical_data__2[Patient ID], [1]!brca_metabric_clinical_data__2[Tumor Size])</f>
        <v>27</v>
      </c>
      <c r="O736" t="str">
        <f>_xlfn.XLOOKUP(A736,[1]!brca_metabric_clinical_data__2[Sample ID],[1]!brca_metabric_clinical_data__2[Tumor Stage])</f>
        <v>2</v>
      </c>
    </row>
    <row r="737" spans="1:15" x14ac:dyDescent="0.45">
      <c r="A737" t="s">
        <v>771</v>
      </c>
      <c r="B737">
        <v>65.62</v>
      </c>
      <c r="C737" t="s">
        <v>16</v>
      </c>
      <c r="D737" t="s">
        <v>17</v>
      </c>
      <c r="E737" t="s">
        <v>37</v>
      </c>
      <c r="F737" t="s">
        <v>19</v>
      </c>
      <c r="G737" t="s">
        <v>20</v>
      </c>
      <c r="H737" t="s">
        <v>21</v>
      </c>
      <c r="I737" t="s">
        <v>20</v>
      </c>
      <c r="J737" t="s">
        <v>22</v>
      </c>
      <c r="K737">
        <v>10</v>
      </c>
      <c r="L737">
        <v>179.433333333333</v>
      </c>
      <c r="M737" t="s">
        <v>24</v>
      </c>
      <c r="N737" t="str">
        <f>_xlfn.XLOOKUP(A737,[1]!brca_metabric_clinical_data__2[Patient ID], [1]!brca_metabric_clinical_data__2[Tumor Size])</f>
        <v>23</v>
      </c>
      <c r="O737" t="str">
        <f>_xlfn.XLOOKUP(A737,[1]!brca_metabric_clinical_data__2[Sample ID],[1]!brca_metabric_clinical_data__2[Tumor Stage])</f>
        <v>1</v>
      </c>
    </row>
    <row r="738" spans="1:15" x14ac:dyDescent="0.45">
      <c r="A738" t="s">
        <v>772</v>
      </c>
      <c r="B738">
        <v>66.150000000000006</v>
      </c>
      <c r="C738" t="s">
        <v>16</v>
      </c>
      <c r="D738" t="s">
        <v>17</v>
      </c>
      <c r="E738" t="s">
        <v>18</v>
      </c>
      <c r="F738" t="s">
        <v>43</v>
      </c>
      <c r="G738" t="s">
        <v>20</v>
      </c>
      <c r="H738" t="s">
        <v>20</v>
      </c>
      <c r="I738" t="s">
        <v>21</v>
      </c>
      <c r="J738" t="s">
        <v>29</v>
      </c>
      <c r="K738">
        <v>8</v>
      </c>
      <c r="L738">
        <v>241.26666666666699</v>
      </c>
      <c r="M738" t="s">
        <v>24</v>
      </c>
      <c r="N738" t="str">
        <f>_xlfn.XLOOKUP(A738,[1]!brca_metabric_clinical_data__2[Patient ID], [1]!brca_metabric_clinical_data__2[Tumor Size])</f>
        <v>16</v>
      </c>
      <c r="O738" t="str">
        <f>_xlfn.XLOOKUP(A738,[1]!brca_metabric_clinical_data__2[Sample ID],[1]!brca_metabric_clinical_data__2[Tumor Stage])</f>
        <v>1</v>
      </c>
    </row>
    <row r="739" spans="1:15" x14ac:dyDescent="0.45">
      <c r="A739" t="s">
        <v>773</v>
      </c>
      <c r="B739">
        <v>65.5</v>
      </c>
      <c r="C739" t="s">
        <v>16</v>
      </c>
      <c r="D739" t="s">
        <v>17</v>
      </c>
      <c r="E739" t="s">
        <v>18</v>
      </c>
      <c r="F739" t="s">
        <v>19</v>
      </c>
      <c r="G739" t="s">
        <v>20</v>
      </c>
      <c r="H739" t="s">
        <v>20</v>
      </c>
      <c r="I739" t="s">
        <v>20</v>
      </c>
      <c r="J739" t="s">
        <v>27</v>
      </c>
      <c r="K739" t="s">
        <v>23</v>
      </c>
      <c r="L739">
        <v>87.533333333333303</v>
      </c>
      <c r="M739" t="s">
        <v>30</v>
      </c>
      <c r="N739" t="str">
        <f>_xlfn.XLOOKUP(A739,[1]!brca_metabric_clinical_data__2[Patient ID], [1]!brca_metabric_clinical_data__2[Tumor Size])</f>
        <v>18</v>
      </c>
      <c r="O739" t="str">
        <f>_xlfn.XLOOKUP(A739,[1]!brca_metabric_clinical_data__2[Sample ID],[1]!brca_metabric_clinical_data__2[Tumor Stage])</f>
        <v>1</v>
      </c>
    </row>
    <row r="740" spans="1:15" x14ac:dyDescent="0.45">
      <c r="A740" t="s">
        <v>774</v>
      </c>
      <c r="B740">
        <v>60.99</v>
      </c>
      <c r="C740" t="s">
        <v>16</v>
      </c>
      <c r="D740" t="s">
        <v>17</v>
      </c>
      <c r="E740" t="s">
        <v>18</v>
      </c>
      <c r="F740" t="s">
        <v>43</v>
      </c>
      <c r="G740" t="s">
        <v>20</v>
      </c>
      <c r="H740" t="s">
        <v>21</v>
      </c>
      <c r="I740" t="s">
        <v>21</v>
      </c>
      <c r="J740" t="s">
        <v>27</v>
      </c>
      <c r="K740">
        <v>5</v>
      </c>
      <c r="L740">
        <v>113.833333333333</v>
      </c>
      <c r="M740" t="s">
        <v>30</v>
      </c>
      <c r="N740" t="str">
        <f>_xlfn.XLOOKUP(A740,[1]!brca_metabric_clinical_data__2[Patient ID], [1]!brca_metabric_clinical_data__2[Tumor Size])</f>
        <v>20</v>
      </c>
      <c r="O740" t="str">
        <f>_xlfn.XLOOKUP(A740,[1]!brca_metabric_clinical_data__2[Sample ID],[1]!brca_metabric_clinical_data__2[Tumor Stage])</f>
        <v>1</v>
      </c>
    </row>
    <row r="741" spans="1:15" x14ac:dyDescent="0.45">
      <c r="A741" t="s">
        <v>775</v>
      </c>
      <c r="B741">
        <v>53.36</v>
      </c>
      <c r="C741" t="s">
        <v>16</v>
      </c>
      <c r="D741" t="s">
        <v>17</v>
      </c>
      <c r="E741" t="s">
        <v>18</v>
      </c>
      <c r="F741" t="s">
        <v>43</v>
      </c>
      <c r="G741" t="s">
        <v>20</v>
      </c>
      <c r="H741" t="s">
        <v>21</v>
      </c>
      <c r="I741" t="s">
        <v>21</v>
      </c>
      <c r="J741" t="s">
        <v>27</v>
      </c>
      <c r="K741">
        <v>7</v>
      </c>
      <c r="L741">
        <v>236.63333333333301</v>
      </c>
      <c r="M741" t="s">
        <v>24</v>
      </c>
      <c r="N741" t="str">
        <f>_xlfn.XLOOKUP(A741,[1]!brca_metabric_clinical_data__2[Patient ID], [1]!brca_metabric_clinical_data__2[Tumor Size])</f>
        <v>20</v>
      </c>
      <c r="O741" t="str">
        <f>_xlfn.XLOOKUP(A741,[1]!brca_metabric_clinical_data__2[Sample ID],[1]!brca_metabric_clinical_data__2[Tumor Stage])</f>
        <v>2</v>
      </c>
    </row>
    <row r="742" spans="1:15" x14ac:dyDescent="0.45">
      <c r="A742" t="s">
        <v>776</v>
      </c>
      <c r="B742">
        <v>61.26</v>
      </c>
      <c r="C742" t="s">
        <v>16</v>
      </c>
      <c r="D742" t="s">
        <v>17</v>
      </c>
      <c r="E742" t="s">
        <v>18</v>
      </c>
      <c r="F742" t="s">
        <v>43</v>
      </c>
      <c r="G742" t="s">
        <v>20</v>
      </c>
      <c r="H742" t="s">
        <v>21</v>
      </c>
      <c r="I742" t="s">
        <v>20</v>
      </c>
      <c r="J742" t="s">
        <v>29</v>
      </c>
      <c r="K742">
        <v>5</v>
      </c>
      <c r="L742">
        <v>136.23333333333301</v>
      </c>
      <c r="M742" t="s">
        <v>24</v>
      </c>
      <c r="N742" t="str">
        <f>_xlfn.XLOOKUP(A742,[1]!brca_metabric_clinical_data__2[Patient ID], [1]!brca_metabric_clinical_data__2[Tumor Size])</f>
        <v>40</v>
      </c>
      <c r="O742" t="str">
        <f>_xlfn.XLOOKUP(A742,[1]!brca_metabric_clinical_data__2[Sample ID],[1]!brca_metabric_clinical_data__2[Tumor Stage])</f>
        <v>1</v>
      </c>
    </row>
    <row r="743" spans="1:15" x14ac:dyDescent="0.45">
      <c r="A743" t="s">
        <v>777</v>
      </c>
      <c r="B743">
        <v>38.49</v>
      </c>
      <c r="C743" t="s">
        <v>16</v>
      </c>
      <c r="D743" t="s">
        <v>26</v>
      </c>
      <c r="E743" t="s">
        <v>37</v>
      </c>
      <c r="F743" t="s">
        <v>19</v>
      </c>
      <c r="G743" t="s">
        <v>21</v>
      </c>
      <c r="H743" t="s">
        <v>20</v>
      </c>
      <c r="I743" t="s">
        <v>21</v>
      </c>
      <c r="J743" t="s">
        <v>22</v>
      </c>
      <c r="K743">
        <v>10</v>
      </c>
      <c r="L743">
        <v>23.2</v>
      </c>
      <c r="M743" t="s">
        <v>30</v>
      </c>
      <c r="N743" t="str">
        <f>_xlfn.XLOOKUP(A743,[1]!brca_metabric_clinical_data__2[Patient ID], [1]!brca_metabric_clinical_data__2[Tumor Size])</f>
        <v>28</v>
      </c>
      <c r="O743" t="str">
        <f>_xlfn.XLOOKUP(A743,[1]!brca_metabric_clinical_data__2[Sample ID],[1]!brca_metabric_clinical_data__2[Tumor Stage])</f>
        <v>3</v>
      </c>
    </row>
    <row r="744" spans="1:15" x14ac:dyDescent="0.45">
      <c r="A744" t="s">
        <v>778</v>
      </c>
      <c r="B744">
        <v>40.06</v>
      </c>
      <c r="C744" t="s">
        <v>16</v>
      </c>
      <c r="D744" t="s">
        <v>26</v>
      </c>
      <c r="E744" t="s">
        <v>37</v>
      </c>
      <c r="F744" t="s">
        <v>43</v>
      </c>
      <c r="G744" t="s">
        <v>21</v>
      </c>
      <c r="H744" t="s">
        <v>20</v>
      </c>
      <c r="I744" t="s">
        <v>21</v>
      </c>
      <c r="J744" t="s">
        <v>45</v>
      </c>
      <c r="K744">
        <v>1</v>
      </c>
      <c r="L744">
        <v>55.633333333333297</v>
      </c>
      <c r="M744" t="s">
        <v>30</v>
      </c>
      <c r="N744" t="str">
        <f>_xlfn.XLOOKUP(A744,[1]!brca_metabric_clinical_data__2[Patient ID], [1]!brca_metabric_clinical_data__2[Tumor Size])</f>
        <v>35</v>
      </c>
      <c r="O744" t="str">
        <f>_xlfn.XLOOKUP(A744,[1]!brca_metabric_clinical_data__2[Sample ID],[1]!brca_metabric_clinical_data__2[Tumor Stage])</f>
        <v>2</v>
      </c>
    </row>
    <row r="745" spans="1:15" x14ac:dyDescent="0.45">
      <c r="A745" t="s">
        <v>779</v>
      </c>
      <c r="B745">
        <v>59.3</v>
      </c>
      <c r="C745" t="s">
        <v>16</v>
      </c>
      <c r="D745" t="s">
        <v>17</v>
      </c>
      <c r="E745" t="s">
        <v>18</v>
      </c>
      <c r="F745" t="s">
        <v>43</v>
      </c>
      <c r="G745" t="s">
        <v>20</v>
      </c>
      <c r="H745" t="s">
        <v>21</v>
      </c>
      <c r="I745" t="s">
        <v>21</v>
      </c>
      <c r="J745" t="s">
        <v>29</v>
      </c>
      <c r="K745">
        <v>8</v>
      </c>
      <c r="L745">
        <v>228.6</v>
      </c>
      <c r="M745" t="s">
        <v>30</v>
      </c>
      <c r="N745" t="str">
        <f>_xlfn.XLOOKUP(A745,[1]!brca_metabric_clinical_data__2[Patient ID], [1]!brca_metabric_clinical_data__2[Tumor Size])</f>
        <v>20</v>
      </c>
      <c r="O745" t="str">
        <f>_xlfn.XLOOKUP(A745,[1]!brca_metabric_clinical_data__2[Sample ID],[1]!brca_metabric_clinical_data__2[Tumor Stage])</f>
        <v>2</v>
      </c>
    </row>
    <row r="746" spans="1:15" x14ac:dyDescent="0.45">
      <c r="A746" t="s">
        <v>780</v>
      </c>
      <c r="B746">
        <v>63.34</v>
      </c>
      <c r="C746" t="s">
        <v>16</v>
      </c>
      <c r="D746" t="s">
        <v>17</v>
      </c>
      <c r="E746" t="s">
        <v>18</v>
      </c>
      <c r="F746" t="s">
        <v>43</v>
      </c>
      <c r="G746" t="s">
        <v>20</v>
      </c>
      <c r="H746" t="s">
        <v>21</v>
      </c>
      <c r="I746" t="s">
        <v>21</v>
      </c>
      <c r="J746" t="s">
        <v>29</v>
      </c>
      <c r="K746">
        <v>6</v>
      </c>
      <c r="L746">
        <v>240.7</v>
      </c>
      <c r="M746" t="s">
        <v>24</v>
      </c>
      <c r="N746" t="str">
        <f>_xlfn.XLOOKUP(A746,[1]!brca_metabric_clinical_data__2[Patient ID], [1]!brca_metabric_clinical_data__2[Tumor Size])</f>
        <v>20</v>
      </c>
      <c r="O746" t="str">
        <f>_xlfn.XLOOKUP(A746,[1]!brca_metabric_clinical_data__2[Sample ID],[1]!brca_metabric_clinical_data__2[Tumor Stage])</f>
        <v>1</v>
      </c>
    </row>
    <row r="747" spans="1:15" x14ac:dyDescent="0.45">
      <c r="A747" t="s">
        <v>781</v>
      </c>
      <c r="B747">
        <v>52.45</v>
      </c>
      <c r="C747" t="s">
        <v>16</v>
      </c>
      <c r="D747" t="s">
        <v>17</v>
      </c>
      <c r="E747" t="s">
        <v>37</v>
      </c>
      <c r="F747" t="s">
        <v>19</v>
      </c>
      <c r="G747" t="s">
        <v>20</v>
      </c>
      <c r="H747" t="s">
        <v>21</v>
      </c>
      <c r="I747" t="s">
        <v>20</v>
      </c>
      <c r="J747" t="s">
        <v>22</v>
      </c>
      <c r="K747">
        <v>10</v>
      </c>
      <c r="L747">
        <v>243.76666666666699</v>
      </c>
      <c r="M747" t="s">
        <v>24</v>
      </c>
      <c r="N747" t="str">
        <f>_xlfn.XLOOKUP(A747,[1]!brca_metabric_clinical_data__2[Patient ID], [1]!brca_metabric_clinical_data__2[Tumor Size])</f>
        <v>15</v>
      </c>
      <c r="O747" t="str">
        <f>_xlfn.XLOOKUP(A747,[1]!brca_metabric_clinical_data__2[Sample ID],[1]!brca_metabric_clinical_data__2[Tumor Stage])</f>
        <v>1</v>
      </c>
    </row>
    <row r="748" spans="1:15" x14ac:dyDescent="0.45">
      <c r="A748" t="s">
        <v>782</v>
      </c>
      <c r="B748">
        <v>59.29</v>
      </c>
      <c r="C748" t="s">
        <v>16</v>
      </c>
      <c r="D748" t="s">
        <v>17</v>
      </c>
      <c r="E748" t="s">
        <v>37</v>
      </c>
      <c r="F748" t="s">
        <v>19</v>
      </c>
      <c r="G748" t="s">
        <v>21</v>
      </c>
      <c r="H748" t="s">
        <v>20</v>
      </c>
      <c r="I748" t="s">
        <v>21</v>
      </c>
      <c r="J748" t="s">
        <v>58</v>
      </c>
      <c r="K748">
        <v>3</v>
      </c>
      <c r="L748">
        <v>226.73333333333301</v>
      </c>
      <c r="M748" t="s">
        <v>24</v>
      </c>
      <c r="N748" t="str">
        <f>_xlfn.XLOOKUP(A748,[1]!brca_metabric_clinical_data__2[Patient ID], [1]!brca_metabric_clinical_data__2[Tumor Size])</f>
        <v>25</v>
      </c>
      <c r="O748" t="str">
        <f>_xlfn.XLOOKUP(A748,[1]!brca_metabric_clinical_data__2[Sample ID],[1]!brca_metabric_clinical_data__2[Tumor Stage])</f>
        <v>2</v>
      </c>
    </row>
    <row r="749" spans="1:15" x14ac:dyDescent="0.45">
      <c r="A749" t="s">
        <v>783</v>
      </c>
      <c r="B749">
        <v>41.17</v>
      </c>
      <c r="C749" t="s">
        <v>16</v>
      </c>
      <c r="D749" t="s">
        <v>26</v>
      </c>
      <c r="E749" t="s">
        <v>37</v>
      </c>
      <c r="F749" t="s">
        <v>43</v>
      </c>
      <c r="G749" t="s">
        <v>21</v>
      </c>
      <c r="H749" t="s">
        <v>20</v>
      </c>
      <c r="I749" t="s">
        <v>21</v>
      </c>
      <c r="J749" t="s">
        <v>29</v>
      </c>
      <c r="K749">
        <v>1</v>
      </c>
      <c r="L749">
        <v>50.033333333333303</v>
      </c>
      <c r="M749" t="s">
        <v>30</v>
      </c>
      <c r="N749" t="str">
        <f>_xlfn.XLOOKUP(A749,[1]!brca_metabric_clinical_data__2[Patient ID], [1]!brca_metabric_clinical_data__2[Tumor Size])</f>
        <v>28</v>
      </c>
      <c r="O749" t="str">
        <f>_xlfn.XLOOKUP(A749,[1]!brca_metabric_clinical_data__2[Sample ID],[1]!brca_metabric_clinical_data__2[Tumor Stage])</f>
        <v>2</v>
      </c>
    </row>
    <row r="750" spans="1:15" x14ac:dyDescent="0.45">
      <c r="A750" t="s">
        <v>784</v>
      </c>
      <c r="B750">
        <v>50.92</v>
      </c>
      <c r="C750" t="s">
        <v>16</v>
      </c>
      <c r="D750" t="s">
        <v>17</v>
      </c>
      <c r="E750" t="s">
        <v>18</v>
      </c>
      <c r="F750" t="s">
        <v>19</v>
      </c>
      <c r="G750" t="s">
        <v>20</v>
      </c>
      <c r="H750" t="s">
        <v>21</v>
      </c>
      <c r="I750" t="s">
        <v>21</v>
      </c>
      <c r="J750" t="s">
        <v>27</v>
      </c>
      <c r="K750">
        <v>3</v>
      </c>
      <c r="L750">
        <v>138.333333333333</v>
      </c>
      <c r="M750" t="s">
        <v>24</v>
      </c>
      <c r="N750" t="str">
        <f>_xlfn.XLOOKUP(A750,[1]!brca_metabric_clinical_data__2[Patient ID], [1]!brca_metabric_clinical_data__2[Tumor Size])</f>
        <v>17</v>
      </c>
      <c r="O750" t="str">
        <f>_xlfn.XLOOKUP(A750,[1]!brca_metabric_clinical_data__2[Sample ID],[1]!brca_metabric_clinical_data__2[Tumor Stage])</f>
        <v>2</v>
      </c>
    </row>
    <row r="751" spans="1:15" x14ac:dyDescent="0.45">
      <c r="A751" t="s">
        <v>785</v>
      </c>
      <c r="B751">
        <v>55.28</v>
      </c>
      <c r="C751" t="s">
        <v>16</v>
      </c>
      <c r="D751" t="s">
        <v>17</v>
      </c>
      <c r="E751" t="s">
        <v>18</v>
      </c>
      <c r="F751" t="s">
        <v>19</v>
      </c>
      <c r="G751" t="s">
        <v>20</v>
      </c>
      <c r="H751" t="s">
        <v>21</v>
      </c>
      <c r="I751" t="s">
        <v>21</v>
      </c>
      <c r="J751" t="s">
        <v>27</v>
      </c>
      <c r="K751">
        <v>8</v>
      </c>
      <c r="L751">
        <v>228.8</v>
      </c>
      <c r="M751" t="s">
        <v>24</v>
      </c>
      <c r="N751" t="str">
        <f>_xlfn.XLOOKUP(A751,[1]!brca_metabric_clinical_data__2[Patient ID], [1]!brca_metabric_clinical_data__2[Tumor Size])</f>
        <v>26</v>
      </c>
      <c r="O751" t="str">
        <f>_xlfn.XLOOKUP(A751,[1]!brca_metabric_clinical_data__2[Sample ID],[1]!brca_metabric_clinical_data__2[Tumor Stage])</f>
        <v>3</v>
      </c>
    </row>
    <row r="752" spans="1:15" x14ac:dyDescent="0.45">
      <c r="A752" t="s">
        <v>786</v>
      </c>
      <c r="B752">
        <v>59.16</v>
      </c>
      <c r="C752" t="s">
        <v>16</v>
      </c>
      <c r="D752" t="s">
        <v>17</v>
      </c>
      <c r="E752" t="s">
        <v>18</v>
      </c>
      <c r="F752" t="s">
        <v>19</v>
      </c>
      <c r="G752" t="s">
        <v>20</v>
      </c>
      <c r="H752" t="s">
        <v>21</v>
      </c>
      <c r="I752" t="s">
        <v>21</v>
      </c>
      <c r="J752" t="s">
        <v>29</v>
      </c>
      <c r="K752">
        <v>7</v>
      </c>
      <c r="L752">
        <v>103.466666666667</v>
      </c>
      <c r="M752" t="s">
        <v>24</v>
      </c>
      <c r="N752" t="str">
        <f>_xlfn.XLOOKUP(A752,[1]!brca_metabric_clinical_data__2[Patient ID], [1]!brca_metabric_clinical_data__2[Tumor Size])</f>
        <v>20</v>
      </c>
      <c r="O752" t="str">
        <f>_xlfn.XLOOKUP(A752,[1]!brca_metabric_clinical_data__2[Sample ID],[1]!brca_metabric_clinical_data__2[Tumor Stage])</f>
        <v>1</v>
      </c>
    </row>
    <row r="753" spans="1:15" x14ac:dyDescent="0.45">
      <c r="A753" t="s">
        <v>787</v>
      </c>
      <c r="B753">
        <v>49.08</v>
      </c>
      <c r="C753" t="s">
        <v>16</v>
      </c>
      <c r="D753" t="s">
        <v>26</v>
      </c>
      <c r="E753" t="s">
        <v>18</v>
      </c>
      <c r="F753" t="s">
        <v>19</v>
      </c>
      <c r="G753" t="s">
        <v>20</v>
      </c>
      <c r="H753" t="s">
        <v>21</v>
      </c>
      <c r="I753" t="s">
        <v>20</v>
      </c>
      <c r="J753" t="s">
        <v>38</v>
      </c>
      <c r="K753" t="s">
        <v>23</v>
      </c>
      <c r="L753">
        <v>243.5</v>
      </c>
      <c r="M753" t="s">
        <v>24</v>
      </c>
      <c r="N753" t="str">
        <f>_xlfn.XLOOKUP(A753,[1]!brca_metabric_clinical_data__2[Patient ID], [1]!brca_metabric_clinical_data__2[Tumor Size])</f>
        <v>26</v>
      </c>
      <c r="O753" t="str">
        <f>_xlfn.XLOOKUP(A753,[1]!brca_metabric_clinical_data__2[Sample ID],[1]!brca_metabric_clinical_data__2[Tumor Stage])</f>
        <v>2</v>
      </c>
    </row>
    <row r="754" spans="1:15" x14ac:dyDescent="0.45">
      <c r="A754" t="s">
        <v>788</v>
      </c>
      <c r="B754">
        <v>68.86</v>
      </c>
      <c r="C754" t="s">
        <v>16</v>
      </c>
      <c r="D754" t="s">
        <v>17</v>
      </c>
      <c r="E754" t="s">
        <v>18</v>
      </c>
      <c r="F754" t="s">
        <v>19</v>
      </c>
      <c r="G754" t="s">
        <v>20</v>
      </c>
      <c r="H754" t="s">
        <v>21</v>
      </c>
      <c r="I754" t="s">
        <v>21</v>
      </c>
      <c r="J754" t="s">
        <v>27</v>
      </c>
      <c r="K754">
        <v>3</v>
      </c>
      <c r="L754">
        <v>219.76666666666699</v>
      </c>
      <c r="M754" t="s">
        <v>30</v>
      </c>
      <c r="N754" t="str">
        <f>_xlfn.XLOOKUP(A754,[1]!brca_metabric_clinical_data__2[Patient ID], [1]!brca_metabric_clinical_data__2[Tumor Size])</f>
        <v>25</v>
      </c>
      <c r="O754" t="str">
        <f>_xlfn.XLOOKUP(A754,[1]!brca_metabric_clinical_data__2[Sample ID],[1]!brca_metabric_clinical_data__2[Tumor Stage])</f>
        <v>2</v>
      </c>
    </row>
    <row r="755" spans="1:15" x14ac:dyDescent="0.45">
      <c r="A755" t="s">
        <v>789</v>
      </c>
      <c r="B755">
        <v>37.049999999999997</v>
      </c>
      <c r="C755" t="s">
        <v>16</v>
      </c>
      <c r="D755" t="s">
        <v>26</v>
      </c>
      <c r="E755" t="s">
        <v>37</v>
      </c>
      <c r="F755" t="s">
        <v>43</v>
      </c>
      <c r="G755" t="s">
        <v>21</v>
      </c>
      <c r="H755" t="s">
        <v>20</v>
      </c>
      <c r="I755" t="s">
        <v>21</v>
      </c>
      <c r="J755" t="s">
        <v>45</v>
      </c>
      <c r="K755">
        <v>5</v>
      </c>
      <c r="L755">
        <v>25.433333333333302</v>
      </c>
      <c r="M755" t="s">
        <v>30</v>
      </c>
      <c r="N755" t="str">
        <f>_xlfn.XLOOKUP(A755,[1]!brca_metabric_clinical_data__2[Patient ID], [1]!brca_metabric_clinical_data__2[Tumor Size])</f>
        <v>30</v>
      </c>
      <c r="O755" t="str">
        <f>_xlfn.XLOOKUP(A755,[1]!brca_metabric_clinical_data__2[Sample ID],[1]!brca_metabric_clinical_data__2[Tumor Stage])</f>
        <v>2</v>
      </c>
    </row>
    <row r="756" spans="1:15" x14ac:dyDescent="0.45">
      <c r="A756" t="s">
        <v>790</v>
      </c>
      <c r="B756">
        <v>38.200000000000003</v>
      </c>
      <c r="C756" t="s">
        <v>16</v>
      </c>
      <c r="D756" t="s">
        <v>26</v>
      </c>
      <c r="E756" t="s">
        <v>37</v>
      </c>
      <c r="F756" t="s">
        <v>35</v>
      </c>
      <c r="G756" t="s">
        <v>21</v>
      </c>
      <c r="H756" t="s">
        <v>20</v>
      </c>
      <c r="I756" t="s">
        <v>21</v>
      </c>
      <c r="J756" t="s">
        <v>29</v>
      </c>
      <c r="K756">
        <v>1</v>
      </c>
      <c r="L756">
        <v>50.766666666666701</v>
      </c>
      <c r="M756" t="s">
        <v>30</v>
      </c>
      <c r="N756" t="str">
        <f>_xlfn.XLOOKUP(A756,[1]!brca_metabric_clinical_data__2[Patient ID], [1]!brca_metabric_clinical_data__2[Tumor Size])</f>
        <v>130</v>
      </c>
      <c r="O756" t="str">
        <f>_xlfn.XLOOKUP(A756,[1]!brca_metabric_clinical_data__2[Sample ID],[1]!brca_metabric_clinical_data__2[Tumor Stage])</f>
        <v>3</v>
      </c>
    </row>
    <row r="757" spans="1:15" x14ac:dyDescent="0.45">
      <c r="A757" t="s">
        <v>791</v>
      </c>
      <c r="B757">
        <v>70.52</v>
      </c>
      <c r="C757" t="s">
        <v>16</v>
      </c>
      <c r="D757" t="s">
        <v>17</v>
      </c>
      <c r="E757" t="s">
        <v>18</v>
      </c>
      <c r="F757" t="s">
        <v>19</v>
      </c>
      <c r="G757" t="s">
        <v>20</v>
      </c>
      <c r="H757" t="s">
        <v>21</v>
      </c>
      <c r="I757" t="s">
        <v>21</v>
      </c>
      <c r="J757" t="s">
        <v>29</v>
      </c>
      <c r="K757" t="s">
        <v>23</v>
      </c>
      <c r="L757">
        <v>108.76666666666701</v>
      </c>
      <c r="M757" t="s">
        <v>24</v>
      </c>
      <c r="N757" t="str">
        <f>_xlfn.XLOOKUP(A757,[1]!brca_metabric_clinical_data__2[Patient ID], [1]!brca_metabric_clinical_data__2[Tumor Size])</f>
        <v>21</v>
      </c>
      <c r="O757" t="str">
        <f>_xlfn.XLOOKUP(A757,[1]!brca_metabric_clinical_data__2[Sample ID],[1]!brca_metabric_clinical_data__2[Tumor Stage])</f>
        <v>1</v>
      </c>
    </row>
    <row r="758" spans="1:15" x14ac:dyDescent="0.45">
      <c r="A758" t="s">
        <v>792</v>
      </c>
      <c r="B758">
        <v>43.67</v>
      </c>
      <c r="C758" t="s">
        <v>16</v>
      </c>
      <c r="D758" t="s">
        <v>26</v>
      </c>
      <c r="E758" t="s">
        <v>18</v>
      </c>
      <c r="F758" t="s">
        <v>19</v>
      </c>
      <c r="G758" t="s">
        <v>20</v>
      </c>
      <c r="H758" t="s">
        <v>21</v>
      </c>
      <c r="I758" t="s">
        <v>20</v>
      </c>
      <c r="J758" t="s">
        <v>27</v>
      </c>
      <c r="K758">
        <v>8</v>
      </c>
      <c r="L758">
        <v>188.73333333333301</v>
      </c>
      <c r="M758" t="s">
        <v>24</v>
      </c>
      <c r="N758" t="str">
        <f>_xlfn.XLOOKUP(A758,[1]!brca_metabric_clinical_data__2[Patient ID], [1]!brca_metabric_clinical_data__2[Tumor Size])</f>
        <v>17</v>
      </c>
      <c r="O758" t="str">
        <f>_xlfn.XLOOKUP(A758,[1]!brca_metabric_clinical_data__2[Sample ID],[1]!brca_metabric_clinical_data__2[Tumor Stage])</f>
        <v>2</v>
      </c>
    </row>
    <row r="759" spans="1:15" x14ac:dyDescent="0.45">
      <c r="A759" t="s">
        <v>793</v>
      </c>
      <c r="B759">
        <v>51.52</v>
      </c>
      <c r="C759" t="s">
        <v>16</v>
      </c>
      <c r="D759" t="s">
        <v>17</v>
      </c>
      <c r="E759" t="s">
        <v>18</v>
      </c>
      <c r="F759" t="s">
        <v>35</v>
      </c>
      <c r="G759" t="s">
        <v>20</v>
      </c>
      <c r="H759" t="s">
        <v>20</v>
      </c>
      <c r="I759" t="s">
        <v>21</v>
      </c>
      <c r="J759" t="s">
        <v>27</v>
      </c>
      <c r="K759">
        <v>8</v>
      </c>
      <c r="L759">
        <v>240.46666666666701</v>
      </c>
      <c r="M759" t="s">
        <v>24</v>
      </c>
      <c r="N759" t="str">
        <f>_xlfn.XLOOKUP(A759,[1]!brca_metabric_clinical_data__2[Patient ID], [1]!brca_metabric_clinical_data__2[Tumor Size])</f>
        <v>17</v>
      </c>
      <c r="O759" t="str">
        <f>_xlfn.XLOOKUP(A759,[1]!brca_metabric_clinical_data__2[Sample ID],[1]!brca_metabric_clinical_data__2[Tumor Stage])</f>
        <v>1</v>
      </c>
    </row>
    <row r="760" spans="1:15" x14ac:dyDescent="0.45">
      <c r="A760" t="s">
        <v>794</v>
      </c>
      <c r="B760">
        <v>64.040000000000006</v>
      </c>
      <c r="C760" t="s">
        <v>16</v>
      </c>
      <c r="D760" t="s">
        <v>17</v>
      </c>
      <c r="E760" t="s">
        <v>18</v>
      </c>
      <c r="F760" t="s">
        <v>19</v>
      </c>
      <c r="G760" t="s">
        <v>20</v>
      </c>
      <c r="H760" t="s">
        <v>21</v>
      </c>
      <c r="I760" t="s">
        <v>20</v>
      </c>
      <c r="J760" t="s">
        <v>38</v>
      </c>
      <c r="K760">
        <v>2</v>
      </c>
      <c r="L760">
        <v>119.866666666667</v>
      </c>
      <c r="M760" t="s">
        <v>30</v>
      </c>
      <c r="N760" t="str">
        <f>_xlfn.XLOOKUP(A760,[1]!brca_metabric_clinical_data__2[Patient ID], [1]!brca_metabric_clinical_data__2[Tumor Size])</f>
        <v>30</v>
      </c>
      <c r="O760" t="str">
        <f>_xlfn.XLOOKUP(A760,[1]!brca_metabric_clinical_data__2[Sample ID],[1]!brca_metabric_clinical_data__2[Tumor Stage])</f>
        <v>1</v>
      </c>
    </row>
    <row r="761" spans="1:15" x14ac:dyDescent="0.45">
      <c r="A761" t="s">
        <v>795</v>
      </c>
      <c r="B761">
        <v>51.36</v>
      </c>
      <c r="C761" t="s">
        <v>16</v>
      </c>
      <c r="D761" t="s">
        <v>17</v>
      </c>
      <c r="E761" t="s">
        <v>37</v>
      </c>
      <c r="F761" t="s">
        <v>19</v>
      </c>
      <c r="G761" t="s">
        <v>21</v>
      </c>
      <c r="H761" t="s">
        <v>20</v>
      </c>
      <c r="I761" t="s">
        <v>21</v>
      </c>
      <c r="J761" t="s">
        <v>58</v>
      </c>
      <c r="K761">
        <v>10</v>
      </c>
      <c r="L761">
        <v>32.8333333333333</v>
      </c>
      <c r="M761" t="s">
        <v>30</v>
      </c>
      <c r="N761" t="str">
        <f>_xlfn.XLOOKUP(A761,[1]!brca_metabric_clinical_data__2[Patient ID], [1]!brca_metabric_clinical_data__2[Tumor Size])</f>
        <v>35</v>
      </c>
      <c r="O761" t="str">
        <f>_xlfn.XLOOKUP(A761,[1]!brca_metabric_clinical_data__2[Sample ID],[1]!brca_metabric_clinical_data__2[Tumor Stage])</f>
        <v>2</v>
      </c>
    </row>
    <row r="762" spans="1:15" x14ac:dyDescent="0.45">
      <c r="A762" t="s">
        <v>796</v>
      </c>
      <c r="B762">
        <v>57.66</v>
      </c>
      <c r="C762" t="s">
        <v>16</v>
      </c>
      <c r="D762" t="s">
        <v>17</v>
      </c>
      <c r="E762" t="s">
        <v>18</v>
      </c>
      <c r="F762" t="s">
        <v>43</v>
      </c>
      <c r="G762" t="s">
        <v>20</v>
      </c>
      <c r="H762" t="s">
        <v>20</v>
      </c>
      <c r="I762" t="s">
        <v>20</v>
      </c>
      <c r="J762" t="s">
        <v>22</v>
      </c>
      <c r="K762">
        <v>7</v>
      </c>
      <c r="L762">
        <v>241.4</v>
      </c>
      <c r="M762" t="s">
        <v>24</v>
      </c>
      <c r="N762" t="str">
        <f>_xlfn.XLOOKUP(A762,[1]!brca_metabric_clinical_data__2[Patient ID], [1]!brca_metabric_clinical_data__2[Tumor Size])</f>
        <v>20</v>
      </c>
      <c r="O762" t="str">
        <f>_xlfn.XLOOKUP(A762,[1]!brca_metabric_clinical_data__2[Sample ID],[1]!brca_metabric_clinical_data__2[Tumor Stage])</f>
        <v>1</v>
      </c>
    </row>
    <row r="763" spans="1:15" x14ac:dyDescent="0.45">
      <c r="A763" t="s">
        <v>797</v>
      </c>
      <c r="B763">
        <v>40.92</v>
      </c>
      <c r="C763" t="s">
        <v>16</v>
      </c>
      <c r="D763" t="s">
        <v>26</v>
      </c>
      <c r="E763" t="s">
        <v>18</v>
      </c>
      <c r="F763" t="s">
        <v>19</v>
      </c>
      <c r="G763" t="s">
        <v>20</v>
      </c>
      <c r="H763" t="s">
        <v>21</v>
      </c>
      <c r="I763" t="s">
        <v>21</v>
      </c>
      <c r="J763" t="s">
        <v>27</v>
      </c>
      <c r="K763">
        <v>3</v>
      </c>
      <c r="L763">
        <v>234.23333333333301</v>
      </c>
      <c r="M763" t="s">
        <v>24</v>
      </c>
      <c r="N763" t="str">
        <f>_xlfn.XLOOKUP(A763,[1]!brca_metabric_clinical_data__2[Patient ID], [1]!brca_metabric_clinical_data__2[Tumor Size])</f>
        <v>16</v>
      </c>
      <c r="O763" t="str">
        <f>_xlfn.XLOOKUP(A763,[1]!brca_metabric_clinical_data__2[Sample ID],[1]!brca_metabric_clinical_data__2[Tumor Stage])</f>
        <v>2</v>
      </c>
    </row>
    <row r="764" spans="1:15" x14ac:dyDescent="0.45">
      <c r="A764" t="s">
        <v>798</v>
      </c>
      <c r="B764">
        <v>55.3</v>
      </c>
      <c r="C764" t="s">
        <v>16</v>
      </c>
      <c r="D764" t="s">
        <v>17</v>
      </c>
      <c r="E764" t="s">
        <v>18</v>
      </c>
      <c r="F764" t="s">
        <v>19</v>
      </c>
      <c r="G764" t="s">
        <v>20</v>
      </c>
      <c r="H764" t="s">
        <v>21</v>
      </c>
      <c r="I764" t="s">
        <v>21</v>
      </c>
      <c r="J764" t="s">
        <v>45</v>
      </c>
      <c r="K764">
        <v>2</v>
      </c>
      <c r="L764">
        <v>234.13333333333301</v>
      </c>
      <c r="M764" t="s">
        <v>30</v>
      </c>
      <c r="N764" t="str">
        <f>_xlfn.XLOOKUP(A764,[1]!brca_metabric_clinical_data__2[Patient ID], [1]!brca_metabric_clinical_data__2[Tumor Size])</f>
        <v>15</v>
      </c>
      <c r="O764" t="str">
        <f>_xlfn.XLOOKUP(A764,[1]!brca_metabric_clinical_data__2[Sample ID],[1]!brca_metabric_clinical_data__2[Tumor Stage])</f>
        <v>1</v>
      </c>
    </row>
    <row r="765" spans="1:15" x14ac:dyDescent="0.45">
      <c r="A765" t="s">
        <v>799</v>
      </c>
      <c r="B765">
        <v>21.93</v>
      </c>
      <c r="C765" t="s">
        <v>16</v>
      </c>
      <c r="D765" t="s">
        <v>26</v>
      </c>
      <c r="E765" t="s">
        <v>37</v>
      </c>
      <c r="F765" t="s">
        <v>43</v>
      </c>
      <c r="G765" t="s">
        <v>21</v>
      </c>
      <c r="H765" t="s">
        <v>20</v>
      </c>
      <c r="I765" t="s">
        <v>21</v>
      </c>
      <c r="J765" t="s">
        <v>45</v>
      </c>
      <c r="K765">
        <v>5</v>
      </c>
      <c r="L765">
        <v>38.799999999999997</v>
      </c>
      <c r="M765" t="s">
        <v>30</v>
      </c>
      <c r="N765" t="str">
        <f>_xlfn.XLOOKUP(A765,[1]!brca_metabric_clinical_data__2[Patient ID], [1]!brca_metabric_clinical_data__2[Tumor Size])</f>
        <v>35</v>
      </c>
      <c r="O765" t="str">
        <f>_xlfn.XLOOKUP(A765,[1]!brca_metabric_clinical_data__2[Sample ID],[1]!brca_metabric_clinical_data__2[Tumor Stage])</f>
        <v>3</v>
      </c>
    </row>
    <row r="766" spans="1:15" x14ac:dyDescent="0.45">
      <c r="A766" t="s">
        <v>800</v>
      </c>
      <c r="B766">
        <v>56.4</v>
      </c>
      <c r="C766" t="s">
        <v>16</v>
      </c>
      <c r="D766" t="s">
        <v>17</v>
      </c>
      <c r="E766" t="s">
        <v>37</v>
      </c>
      <c r="F766" t="s">
        <v>43</v>
      </c>
      <c r="G766" t="s">
        <v>21</v>
      </c>
      <c r="H766" t="s">
        <v>20</v>
      </c>
      <c r="I766" t="s">
        <v>21</v>
      </c>
      <c r="J766" t="s">
        <v>45</v>
      </c>
      <c r="K766">
        <v>5</v>
      </c>
      <c r="L766">
        <v>62.533333333333303</v>
      </c>
      <c r="M766" t="s">
        <v>30</v>
      </c>
      <c r="N766" t="str">
        <f>_xlfn.XLOOKUP(A766,[1]!brca_metabric_clinical_data__2[Patient ID], [1]!brca_metabric_clinical_data__2[Tumor Size])</f>
        <v>55</v>
      </c>
      <c r="O766" t="str">
        <f>_xlfn.XLOOKUP(A766,[1]!brca_metabric_clinical_data__2[Sample ID],[1]!brca_metabric_clinical_data__2[Tumor Stage])</f>
        <v>2</v>
      </c>
    </row>
    <row r="767" spans="1:15" x14ac:dyDescent="0.45">
      <c r="A767" t="s">
        <v>801</v>
      </c>
      <c r="B767">
        <v>68.59</v>
      </c>
      <c r="C767" t="s">
        <v>16</v>
      </c>
      <c r="D767" t="s">
        <v>17</v>
      </c>
      <c r="E767" t="s">
        <v>37</v>
      </c>
      <c r="F767" t="s">
        <v>19</v>
      </c>
      <c r="G767" t="s">
        <v>20</v>
      </c>
      <c r="H767" t="s">
        <v>20</v>
      </c>
      <c r="I767" t="s">
        <v>20</v>
      </c>
      <c r="J767" t="s">
        <v>22</v>
      </c>
      <c r="K767">
        <v>10</v>
      </c>
      <c r="L767">
        <v>159.066666666667</v>
      </c>
      <c r="M767" t="s">
        <v>30</v>
      </c>
      <c r="N767" t="str">
        <f>_xlfn.XLOOKUP(A767,[1]!brca_metabric_clinical_data__2[Patient ID], [1]!brca_metabric_clinical_data__2[Tumor Size])</f>
        <v>17</v>
      </c>
      <c r="O767" t="str">
        <f>_xlfn.XLOOKUP(A767,[1]!brca_metabric_clinical_data__2[Sample ID],[1]!brca_metabric_clinical_data__2[Tumor Stage])</f>
        <v>1</v>
      </c>
    </row>
    <row r="768" spans="1:15" x14ac:dyDescent="0.45">
      <c r="A768" t="s">
        <v>802</v>
      </c>
      <c r="B768">
        <v>60.3</v>
      </c>
      <c r="C768" t="s">
        <v>16</v>
      </c>
      <c r="D768" t="s">
        <v>17</v>
      </c>
      <c r="E768" t="s">
        <v>18</v>
      </c>
      <c r="F768" t="s">
        <v>19</v>
      </c>
      <c r="G768" t="s">
        <v>20</v>
      </c>
      <c r="H768" t="s">
        <v>21</v>
      </c>
      <c r="I768" t="s">
        <v>21</v>
      </c>
      <c r="J768" t="s">
        <v>22</v>
      </c>
      <c r="K768" t="s">
        <v>23</v>
      </c>
      <c r="L768">
        <v>231.666666666667</v>
      </c>
      <c r="M768" t="s">
        <v>24</v>
      </c>
      <c r="N768" t="str">
        <f>_xlfn.XLOOKUP(A768,[1]!brca_metabric_clinical_data__2[Patient ID], [1]!brca_metabric_clinical_data__2[Tumor Size])</f>
        <v>22</v>
      </c>
      <c r="O768" t="str">
        <f>_xlfn.XLOOKUP(A768,[1]!brca_metabric_clinical_data__2[Sample ID],[1]!brca_metabric_clinical_data__2[Tumor Stage])</f>
        <v>2</v>
      </c>
    </row>
    <row r="769" spans="1:15" x14ac:dyDescent="0.45">
      <c r="A769" t="s">
        <v>803</v>
      </c>
      <c r="B769">
        <v>43.58</v>
      </c>
      <c r="C769" t="s">
        <v>16</v>
      </c>
      <c r="D769" t="s">
        <v>26</v>
      </c>
      <c r="E769" t="s">
        <v>18</v>
      </c>
      <c r="F769" t="s">
        <v>43</v>
      </c>
      <c r="G769" t="s">
        <v>20</v>
      </c>
      <c r="H769" t="s">
        <v>21</v>
      </c>
      <c r="I769" t="s">
        <v>21</v>
      </c>
      <c r="J769" t="s">
        <v>29</v>
      </c>
      <c r="K769">
        <v>1</v>
      </c>
      <c r="L769">
        <v>237.13333333333301</v>
      </c>
      <c r="M769" t="s">
        <v>24</v>
      </c>
      <c r="N769" t="str">
        <f>_xlfn.XLOOKUP(A769,[1]!brca_metabric_clinical_data__2[Patient ID], [1]!brca_metabric_clinical_data__2[Tumor Size])</f>
        <v>27</v>
      </c>
      <c r="O769" t="str">
        <f>_xlfn.XLOOKUP(A769,[1]!brca_metabric_clinical_data__2[Sample ID],[1]!brca_metabric_clinical_data__2[Tumor Stage])</f>
        <v>1</v>
      </c>
    </row>
    <row r="770" spans="1:15" x14ac:dyDescent="0.45">
      <c r="A770" t="s">
        <v>804</v>
      </c>
      <c r="B770">
        <v>41.1</v>
      </c>
      <c r="C770" t="s">
        <v>16</v>
      </c>
      <c r="D770" t="s">
        <v>26</v>
      </c>
      <c r="E770" t="s">
        <v>37</v>
      </c>
      <c r="F770" t="s">
        <v>43</v>
      </c>
      <c r="G770" t="s">
        <v>21</v>
      </c>
      <c r="H770" t="s">
        <v>20</v>
      </c>
      <c r="I770" t="s">
        <v>21</v>
      </c>
      <c r="J770" t="s">
        <v>45</v>
      </c>
      <c r="K770">
        <v>5</v>
      </c>
      <c r="L770">
        <v>27.466666666666701</v>
      </c>
      <c r="M770" t="s">
        <v>30</v>
      </c>
      <c r="N770" t="str">
        <f>_xlfn.XLOOKUP(A770,[1]!brca_metabric_clinical_data__2[Patient ID], [1]!brca_metabric_clinical_data__2[Tumor Size])</f>
        <v>50</v>
      </c>
      <c r="O770" t="str">
        <f>_xlfn.XLOOKUP(A770,[1]!brca_metabric_clinical_data__2[Sample ID],[1]!brca_metabric_clinical_data__2[Tumor Stage])</f>
        <v>2</v>
      </c>
    </row>
    <row r="771" spans="1:15" x14ac:dyDescent="0.45">
      <c r="A771" t="s">
        <v>805</v>
      </c>
      <c r="B771">
        <v>45.74</v>
      </c>
      <c r="C771" t="s">
        <v>16</v>
      </c>
      <c r="D771" t="s">
        <v>26</v>
      </c>
      <c r="E771" t="s">
        <v>18</v>
      </c>
      <c r="F771" t="s">
        <v>19</v>
      </c>
      <c r="G771" t="s">
        <v>20</v>
      </c>
      <c r="H771" t="s">
        <v>20</v>
      </c>
      <c r="I771" t="s">
        <v>20</v>
      </c>
      <c r="J771" t="s">
        <v>29</v>
      </c>
      <c r="K771">
        <v>3</v>
      </c>
      <c r="L771">
        <v>102.4</v>
      </c>
      <c r="M771" t="s">
        <v>30</v>
      </c>
      <c r="N771" t="str">
        <f>_xlfn.XLOOKUP(A771,[1]!brca_metabric_clinical_data__2[Patient ID], [1]!brca_metabric_clinical_data__2[Tumor Size])</f>
        <v>20</v>
      </c>
      <c r="O771" t="str">
        <f>_xlfn.XLOOKUP(A771,[1]!brca_metabric_clinical_data__2[Sample ID],[1]!brca_metabric_clinical_data__2[Tumor Stage])</f>
        <v>1</v>
      </c>
    </row>
    <row r="772" spans="1:15" x14ac:dyDescent="0.45">
      <c r="A772" t="s">
        <v>806</v>
      </c>
      <c r="B772">
        <v>62.09</v>
      </c>
      <c r="C772" t="s">
        <v>16</v>
      </c>
      <c r="D772" t="s">
        <v>17</v>
      </c>
      <c r="E772" t="s">
        <v>18</v>
      </c>
      <c r="F772" t="s">
        <v>19</v>
      </c>
      <c r="G772" t="s">
        <v>20</v>
      </c>
      <c r="H772" t="s">
        <v>21</v>
      </c>
      <c r="I772" t="s">
        <v>21</v>
      </c>
      <c r="J772" t="s">
        <v>29</v>
      </c>
      <c r="K772">
        <v>1</v>
      </c>
      <c r="L772">
        <v>118.133333333333</v>
      </c>
      <c r="M772" t="s">
        <v>30</v>
      </c>
      <c r="N772" t="str">
        <f>_xlfn.XLOOKUP(A772,[1]!brca_metabric_clinical_data__2[Patient ID], [1]!brca_metabric_clinical_data__2[Tumor Size])</f>
        <v>20</v>
      </c>
      <c r="O772" t="str">
        <f>_xlfn.XLOOKUP(A772,[1]!brca_metabric_clinical_data__2[Sample ID],[1]!brca_metabric_clinical_data__2[Tumor Stage])</f>
        <v>2</v>
      </c>
    </row>
    <row r="773" spans="1:15" x14ac:dyDescent="0.45">
      <c r="A773" t="s">
        <v>807</v>
      </c>
      <c r="B773">
        <v>53.5</v>
      </c>
      <c r="C773" t="s">
        <v>16</v>
      </c>
      <c r="D773" t="s">
        <v>17</v>
      </c>
      <c r="E773" t="s">
        <v>37</v>
      </c>
      <c r="F773" t="s">
        <v>43</v>
      </c>
      <c r="G773" t="s">
        <v>21</v>
      </c>
      <c r="H773" t="s">
        <v>20</v>
      </c>
      <c r="I773" t="s">
        <v>21</v>
      </c>
      <c r="J773" t="s">
        <v>45</v>
      </c>
      <c r="K773">
        <v>5</v>
      </c>
      <c r="L773">
        <v>15.5</v>
      </c>
      <c r="M773" t="s">
        <v>30</v>
      </c>
      <c r="N773" t="str">
        <f>_xlfn.XLOOKUP(A773,[1]!brca_metabric_clinical_data__2[Patient ID], [1]!brca_metabric_clinical_data__2[Tumor Size])</f>
        <v>31</v>
      </c>
      <c r="O773" t="str">
        <f>_xlfn.XLOOKUP(A773,[1]!brca_metabric_clinical_data__2[Sample ID],[1]!brca_metabric_clinical_data__2[Tumor Stage])</f>
        <v>3</v>
      </c>
    </row>
    <row r="774" spans="1:15" x14ac:dyDescent="0.45">
      <c r="A774" t="s">
        <v>808</v>
      </c>
      <c r="B774">
        <v>66.91</v>
      </c>
      <c r="C774" t="s">
        <v>16</v>
      </c>
      <c r="D774" t="s">
        <v>17</v>
      </c>
      <c r="E774" t="s">
        <v>37</v>
      </c>
      <c r="F774" t="s">
        <v>19</v>
      </c>
      <c r="G774" t="s">
        <v>20</v>
      </c>
      <c r="H774" t="s">
        <v>20</v>
      </c>
      <c r="I774" t="s">
        <v>20</v>
      </c>
      <c r="J774" t="s">
        <v>58</v>
      </c>
      <c r="K774">
        <v>10</v>
      </c>
      <c r="L774">
        <v>239.3</v>
      </c>
      <c r="M774" t="s">
        <v>24</v>
      </c>
      <c r="N774" t="str">
        <f>_xlfn.XLOOKUP(A774,[1]!brca_metabric_clinical_data__2[Patient ID], [1]!brca_metabric_clinical_data__2[Tumor Size])</f>
        <v>30</v>
      </c>
      <c r="O774" t="str">
        <f>_xlfn.XLOOKUP(A774,[1]!brca_metabric_clinical_data__2[Sample ID],[1]!brca_metabric_clinical_data__2[Tumor Stage])</f>
        <v>1</v>
      </c>
    </row>
    <row r="775" spans="1:15" x14ac:dyDescent="0.45">
      <c r="A775" t="s">
        <v>809</v>
      </c>
      <c r="B775">
        <v>50.79</v>
      </c>
      <c r="C775" t="s">
        <v>16</v>
      </c>
      <c r="D775" t="s">
        <v>17</v>
      </c>
      <c r="E775" t="s">
        <v>37</v>
      </c>
      <c r="F775" t="s">
        <v>19</v>
      </c>
      <c r="G775" t="s">
        <v>21</v>
      </c>
      <c r="H775" t="s">
        <v>20</v>
      </c>
      <c r="I775" t="s">
        <v>21</v>
      </c>
      <c r="J775" t="s">
        <v>58</v>
      </c>
      <c r="K775">
        <v>10</v>
      </c>
      <c r="L775">
        <v>229.333333333333</v>
      </c>
      <c r="M775" t="s">
        <v>24</v>
      </c>
      <c r="N775" t="str">
        <f>_xlfn.XLOOKUP(A775,[1]!brca_metabric_clinical_data__2[Patient ID], [1]!brca_metabric_clinical_data__2[Tumor Size])</f>
        <v>27</v>
      </c>
      <c r="O775" t="str">
        <f>_xlfn.XLOOKUP(A775,[1]!brca_metabric_clinical_data__2[Sample ID],[1]!brca_metabric_clinical_data__2[Tumor Stage])</f>
        <v>2</v>
      </c>
    </row>
    <row r="776" spans="1:15" x14ac:dyDescent="0.45">
      <c r="A776" t="s">
        <v>810</v>
      </c>
      <c r="B776">
        <v>39.28</v>
      </c>
      <c r="C776" t="s">
        <v>16</v>
      </c>
      <c r="D776" t="s">
        <v>26</v>
      </c>
      <c r="E776" t="s">
        <v>18</v>
      </c>
      <c r="F776" t="s">
        <v>35</v>
      </c>
      <c r="G776" t="s">
        <v>20</v>
      </c>
      <c r="H776" t="s">
        <v>21</v>
      </c>
      <c r="I776" t="s">
        <v>21</v>
      </c>
      <c r="J776" t="s">
        <v>29</v>
      </c>
      <c r="K776">
        <v>1</v>
      </c>
      <c r="L776">
        <v>240.833333333333</v>
      </c>
      <c r="M776" t="s">
        <v>24</v>
      </c>
      <c r="N776" t="str">
        <f>_xlfn.XLOOKUP(A776,[1]!brca_metabric_clinical_data__2[Patient ID], [1]!brca_metabric_clinical_data__2[Tumor Size])</f>
        <v>16</v>
      </c>
      <c r="O776" t="str">
        <f>_xlfn.XLOOKUP(A776,[1]!brca_metabric_clinical_data__2[Sample ID],[1]!brca_metabric_clinical_data__2[Tumor Stage])</f>
        <v>2</v>
      </c>
    </row>
    <row r="777" spans="1:15" x14ac:dyDescent="0.45">
      <c r="A777" t="s">
        <v>811</v>
      </c>
      <c r="B777">
        <v>67.599999999999994</v>
      </c>
      <c r="C777" t="s">
        <v>16</v>
      </c>
      <c r="D777" t="s">
        <v>17</v>
      </c>
      <c r="E777" t="s">
        <v>18</v>
      </c>
      <c r="F777" t="s">
        <v>19</v>
      </c>
      <c r="G777" t="s">
        <v>20</v>
      </c>
      <c r="H777" t="s">
        <v>21</v>
      </c>
      <c r="I777" t="s">
        <v>21</v>
      </c>
      <c r="J777" t="s">
        <v>27</v>
      </c>
      <c r="K777">
        <v>7</v>
      </c>
      <c r="L777">
        <v>59.6</v>
      </c>
      <c r="M777" t="s">
        <v>30</v>
      </c>
      <c r="N777" t="str">
        <f>_xlfn.XLOOKUP(A777,[1]!brca_metabric_clinical_data__2[Patient ID], [1]!brca_metabric_clinical_data__2[Tumor Size])</f>
        <v>20</v>
      </c>
      <c r="O777" t="str">
        <f>_xlfn.XLOOKUP(A777,[1]!brca_metabric_clinical_data__2[Sample ID],[1]!brca_metabric_clinical_data__2[Tumor Stage])</f>
        <v>2</v>
      </c>
    </row>
    <row r="778" spans="1:15" x14ac:dyDescent="0.45">
      <c r="A778" t="s">
        <v>812</v>
      </c>
      <c r="B778">
        <v>65.56</v>
      </c>
      <c r="C778" t="s">
        <v>16</v>
      </c>
      <c r="D778" t="s">
        <v>17</v>
      </c>
      <c r="E778" t="s">
        <v>18</v>
      </c>
      <c r="F778" t="s">
        <v>43</v>
      </c>
      <c r="G778" t="s">
        <v>20</v>
      </c>
      <c r="H778" t="s">
        <v>21</v>
      </c>
      <c r="I778" t="s">
        <v>21</v>
      </c>
      <c r="J778" t="s">
        <v>29</v>
      </c>
      <c r="K778">
        <v>1</v>
      </c>
      <c r="L778">
        <v>236.7</v>
      </c>
      <c r="M778" t="s">
        <v>24</v>
      </c>
      <c r="N778" t="str">
        <f>_xlfn.XLOOKUP(A778,[1]!brca_metabric_clinical_data__2[Patient ID], [1]!brca_metabric_clinical_data__2[Tumor Size])</f>
        <v>27</v>
      </c>
      <c r="O778" t="str">
        <f>_xlfn.XLOOKUP(A778,[1]!brca_metabric_clinical_data__2[Sample ID],[1]!brca_metabric_clinical_data__2[Tumor Stage])</f>
        <v>3</v>
      </c>
    </row>
    <row r="779" spans="1:15" x14ac:dyDescent="0.45">
      <c r="A779" t="s">
        <v>813</v>
      </c>
      <c r="B779">
        <v>60.3</v>
      </c>
      <c r="C779" t="s">
        <v>16</v>
      </c>
      <c r="D779" t="s">
        <v>17</v>
      </c>
      <c r="E779" t="s">
        <v>18</v>
      </c>
      <c r="F779" t="s">
        <v>43</v>
      </c>
      <c r="G779" t="s">
        <v>20</v>
      </c>
      <c r="H779" t="s">
        <v>21</v>
      </c>
      <c r="I779" t="s">
        <v>21</v>
      </c>
      <c r="J779" t="s">
        <v>38</v>
      </c>
      <c r="K779">
        <v>6</v>
      </c>
      <c r="L779">
        <v>86.066666666666706</v>
      </c>
      <c r="M779" t="s">
        <v>30</v>
      </c>
      <c r="N779" t="str">
        <f>_xlfn.XLOOKUP(A779,[1]!brca_metabric_clinical_data__2[Patient ID], [1]!brca_metabric_clinical_data__2[Tumor Size])</f>
        <v>22</v>
      </c>
      <c r="O779" t="str">
        <f>_xlfn.XLOOKUP(A779,[1]!brca_metabric_clinical_data__2[Sample ID],[1]!brca_metabric_clinical_data__2[Tumor Stage])</f>
        <v>2</v>
      </c>
    </row>
    <row r="780" spans="1:15" x14ac:dyDescent="0.45">
      <c r="A780" t="s">
        <v>814</v>
      </c>
      <c r="B780">
        <v>71.03</v>
      </c>
      <c r="C780" t="s">
        <v>16</v>
      </c>
      <c r="D780" t="s">
        <v>17</v>
      </c>
      <c r="E780" t="s">
        <v>37</v>
      </c>
      <c r="F780" t="s">
        <v>43</v>
      </c>
      <c r="G780" t="s">
        <v>20</v>
      </c>
      <c r="H780" t="s">
        <v>20</v>
      </c>
      <c r="I780" t="s">
        <v>20</v>
      </c>
      <c r="J780" t="s">
        <v>45</v>
      </c>
      <c r="K780">
        <v>5</v>
      </c>
      <c r="L780">
        <v>113.666666666667</v>
      </c>
      <c r="M780" t="s">
        <v>24</v>
      </c>
      <c r="N780" t="str">
        <f>_xlfn.XLOOKUP(A780,[1]!brca_metabric_clinical_data__2[Patient ID], [1]!brca_metabric_clinical_data__2[Tumor Size])</f>
        <v>25</v>
      </c>
      <c r="O780" t="str">
        <f>_xlfn.XLOOKUP(A780,[1]!brca_metabric_clinical_data__2[Sample ID],[1]!brca_metabric_clinical_data__2[Tumor Stage])</f>
        <v>1</v>
      </c>
    </row>
    <row r="781" spans="1:15" x14ac:dyDescent="0.45">
      <c r="A781" t="s">
        <v>815</v>
      </c>
      <c r="B781">
        <v>70.94</v>
      </c>
      <c r="C781" t="s">
        <v>16</v>
      </c>
      <c r="D781" t="s">
        <v>17</v>
      </c>
      <c r="E781" t="s">
        <v>18</v>
      </c>
      <c r="F781" t="s">
        <v>19</v>
      </c>
      <c r="G781" t="s">
        <v>20</v>
      </c>
      <c r="H781" t="s">
        <v>21</v>
      </c>
      <c r="I781" t="s">
        <v>20</v>
      </c>
      <c r="J781" t="s">
        <v>45</v>
      </c>
      <c r="K781">
        <v>8</v>
      </c>
      <c r="L781">
        <v>112.966666666667</v>
      </c>
      <c r="M781" t="s">
        <v>30</v>
      </c>
      <c r="N781" t="str">
        <f>_xlfn.XLOOKUP(A781,[1]!brca_metabric_clinical_data__2[Patient ID], [1]!brca_metabric_clinical_data__2[Tumor Size])</f>
        <v>26</v>
      </c>
      <c r="O781" t="str">
        <f>_xlfn.XLOOKUP(A781,[1]!brca_metabric_clinical_data__2[Sample ID],[1]!brca_metabric_clinical_data__2[Tumor Stage])</f>
        <v>2</v>
      </c>
    </row>
    <row r="782" spans="1:15" x14ac:dyDescent="0.45">
      <c r="A782" t="s">
        <v>816</v>
      </c>
      <c r="B782">
        <v>48.12</v>
      </c>
      <c r="C782" t="s">
        <v>16</v>
      </c>
      <c r="D782" t="s">
        <v>26</v>
      </c>
      <c r="E782" t="s">
        <v>18</v>
      </c>
      <c r="F782" t="s">
        <v>817</v>
      </c>
      <c r="G782" t="s">
        <v>20</v>
      </c>
      <c r="H782" t="s">
        <v>21</v>
      </c>
      <c r="I782" t="s">
        <v>21</v>
      </c>
      <c r="J782" t="s">
        <v>38</v>
      </c>
      <c r="K782">
        <v>5</v>
      </c>
      <c r="L782">
        <v>86.233333333333306</v>
      </c>
      <c r="M782" t="s">
        <v>30</v>
      </c>
      <c r="N782" t="str">
        <f>_xlfn.XLOOKUP(A782,[1]!brca_metabric_clinical_data__2[Patient ID], [1]!brca_metabric_clinical_data__2[Tumor Size])</f>
        <v>15</v>
      </c>
      <c r="O782" t="str">
        <f>_xlfn.XLOOKUP(A782,[1]!brca_metabric_clinical_data__2[Sample ID],[1]!brca_metabric_clinical_data__2[Tumor Stage])</f>
        <v>3</v>
      </c>
    </row>
    <row r="783" spans="1:15" x14ac:dyDescent="0.45">
      <c r="A783" t="s">
        <v>818</v>
      </c>
      <c r="B783">
        <v>49.84</v>
      </c>
      <c r="C783" t="s">
        <v>16</v>
      </c>
      <c r="D783" t="s">
        <v>26</v>
      </c>
      <c r="E783" t="s">
        <v>18</v>
      </c>
      <c r="F783" t="s">
        <v>19</v>
      </c>
      <c r="G783" t="s">
        <v>20</v>
      </c>
      <c r="H783" t="s">
        <v>21</v>
      </c>
      <c r="I783" t="s">
        <v>21</v>
      </c>
      <c r="J783" t="s">
        <v>27</v>
      </c>
      <c r="K783">
        <v>7</v>
      </c>
      <c r="L783">
        <v>232.73333333333301</v>
      </c>
      <c r="M783" t="s">
        <v>30</v>
      </c>
      <c r="N783" t="str">
        <f>_xlfn.XLOOKUP(A783,[1]!brca_metabric_clinical_data__2[Patient ID], [1]!brca_metabric_clinical_data__2[Tumor Size])</f>
        <v>21</v>
      </c>
      <c r="O783" t="str">
        <f>_xlfn.XLOOKUP(A783,[1]!brca_metabric_clinical_data__2[Sample ID],[1]!brca_metabric_clinical_data__2[Tumor Stage])</f>
        <v>1</v>
      </c>
    </row>
    <row r="784" spans="1:15" x14ac:dyDescent="0.45">
      <c r="A784" t="s">
        <v>819</v>
      </c>
      <c r="B784">
        <v>68.13</v>
      </c>
      <c r="C784" t="s">
        <v>16</v>
      </c>
      <c r="D784" t="s">
        <v>17</v>
      </c>
      <c r="E784" t="s">
        <v>18</v>
      </c>
      <c r="F784" t="s">
        <v>19</v>
      </c>
      <c r="G784" t="s">
        <v>20</v>
      </c>
      <c r="H784" t="s">
        <v>20</v>
      </c>
      <c r="I784" t="s">
        <v>20</v>
      </c>
      <c r="J784" t="s">
        <v>27</v>
      </c>
      <c r="K784" t="s">
        <v>23</v>
      </c>
      <c r="L784">
        <v>33</v>
      </c>
      <c r="M784" t="s">
        <v>30</v>
      </c>
      <c r="N784" t="str">
        <f>_xlfn.XLOOKUP(A784,[1]!brca_metabric_clinical_data__2[Patient ID], [1]!brca_metabric_clinical_data__2[Tumor Size])</f>
        <v>40</v>
      </c>
      <c r="O784" t="str">
        <f>_xlfn.XLOOKUP(A784,[1]!brca_metabric_clinical_data__2[Sample ID],[1]!brca_metabric_clinical_data__2[Tumor Stage])</f>
        <v>1</v>
      </c>
    </row>
    <row r="785" spans="1:15" x14ac:dyDescent="0.45">
      <c r="A785" t="s">
        <v>820</v>
      </c>
      <c r="B785">
        <v>66.849999999999994</v>
      </c>
      <c r="C785" t="s">
        <v>16</v>
      </c>
      <c r="D785" t="s">
        <v>17</v>
      </c>
      <c r="E785" t="s">
        <v>18</v>
      </c>
      <c r="F785" t="s">
        <v>19</v>
      </c>
      <c r="G785" t="s">
        <v>20</v>
      </c>
      <c r="H785" t="s">
        <v>21</v>
      </c>
      <c r="I785" t="s">
        <v>20</v>
      </c>
      <c r="J785" t="s">
        <v>27</v>
      </c>
      <c r="K785">
        <v>3</v>
      </c>
      <c r="L785">
        <v>234.53333333333299</v>
      </c>
      <c r="M785" t="s">
        <v>30</v>
      </c>
      <c r="N785" t="str">
        <f>_xlfn.XLOOKUP(A785,[1]!brca_metabric_clinical_data__2[Patient ID], [1]!brca_metabric_clinical_data__2[Tumor Size])</f>
        <v>20</v>
      </c>
      <c r="O785" t="str">
        <f>_xlfn.XLOOKUP(A785,[1]!brca_metabric_clinical_data__2[Sample ID],[1]!brca_metabric_clinical_data__2[Tumor Stage])</f>
        <v>2</v>
      </c>
    </row>
    <row r="786" spans="1:15" x14ac:dyDescent="0.45">
      <c r="A786" t="s">
        <v>821</v>
      </c>
      <c r="B786">
        <v>51.76</v>
      </c>
      <c r="C786" t="s">
        <v>16</v>
      </c>
      <c r="D786" t="s">
        <v>17</v>
      </c>
      <c r="E786" t="s">
        <v>37</v>
      </c>
      <c r="F786" t="s">
        <v>43</v>
      </c>
      <c r="G786" t="s">
        <v>21</v>
      </c>
      <c r="H786" t="s">
        <v>20</v>
      </c>
      <c r="I786" t="s">
        <v>21</v>
      </c>
      <c r="J786" t="s">
        <v>45</v>
      </c>
      <c r="K786">
        <v>1</v>
      </c>
      <c r="L786">
        <v>38.033333333333303</v>
      </c>
      <c r="M786" t="s">
        <v>30</v>
      </c>
      <c r="N786" t="str">
        <f>_xlfn.XLOOKUP(A786,[1]!brca_metabric_clinical_data__2[Patient ID], [1]!brca_metabric_clinical_data__2[Tumor Size])</f>
        <v>80</v>
      </c>
      <c r="O786" t="str">
        <f>_xlfn.XLOOKUP(A786,[1]!brca_metabric_clinical_data__2[Sample ID],[1]!brca_metabric_clinical_data__2[Tumor Stage])</f>
        <v>2</v>
      </c>
    </row>
    <row r="787" spans="1:15" x14ac:dyDescent="0.45">
      <c r="A787" t="s">
        <v>822</v>
      </c>
      <c r="B787">
        <v>55.95</v>
      </c>
      <c r="C787" t="s">
        <v>16</v>
      </c>
      <c r="D787" t="s">
        <v>17</v>
      </c>
      <c r="E787" t="s">
        <v>37</v>
      </c>
      <c r="F787" t="s">
        <v>19</v>
      </c>
      <c r="G787" t="s">
        <v>21</v>
      </c>
      <c r="H787" t="s">
        <v>21</v>
      </c>
      <c r="I787" t="s">
        <v>21</v>
      </c>
      <c r="J787" t="s">
        <v>22</v>
      </c>
      <c r="K787">
        <v>1</v>
      </c>
      <c r="L787">
        <v>236.03333333333299</v>
      </c>
      <c r="M787" t="s">
        <v>24</v>
      </c>
      <c r="N787" t="str">
        <f>_xlfn.XLOOKUP(A787,[1]!brca_metabric_clinical_data__2[Patient ID], [1]!brca_metabric_clinical_data__2[Tumor Size])</f>
        <v>25</v>
      </c>
      <c r="O787" t="str">
        <f>_xlfn.XLOOKUP(A787,[1]!brca_metabric_clinical_data__2[Sample ID],[1]!brca_metabric_clinical_data__2[Tumor Stage])</f>
        <v>2</v>
      </c>
    </row>
    <row r="788" spans="1:15" x14ac:dyDescent="0.45">
      <c r="A788" t="s">
        <v>823</v>
      </c>
      <c r="B788">
        <v>53.04</v>
      </c>
      <c r="C788" t="s">
        <v>16</v>
      </c>
      <c r="D788" t="s">
        <v>17</v>
      </c>
      <c r="E788" t="s">
        <v>18</v>
      </c>
      <c r="F788" t="s">
        <v>19</v>
      </c>
      <c r="G788" t="s">
        <v>20</v>
      </c>
      <c r="H788" t="s">
        <v>21</v>
      </c>
      <c r="I788" t="s">
        <v>20</v>
      </c>
      <c r="J788" t="s">
        <v>45</v>
      </c>
      <c r="K788">
        <v>6</v>
      </c>
      <c r="L788">
        <v>24.866666666666699</v>
      </c>
      <c r="M788" t="s">
        <v>30</v>
      </c>
      <c r="N788" t="str">
        <f>_xlfn.XLOOKUP(A788,[1]!brca_metabric_clinical_data__2[Patient ID], [1]!brca_metabric_clinical_data__2[Tumor Size])</f>
        <v>37</v>
      </c>
      <c r="O788" t="str">
        <f>_xlfn.XLOOKUP(A788,[1]!brca_metabric_clinical_data__2[Sample ID],[1]!brca_metabric_clinical_data__2[Tumor Stage])</f>
        <v>1</v>
      </c>
    </row>
    <row r="789" spans="1:15" x14ac:dyDescent="0.45">
      <c r="A789" t="s">
        <v>824</v>
      </c>
      <c r="B789">
        <v>63.97</v>
      </c>
      <c r="C789" t="s">
        <v>16</v>
      </c>
      <c r="D789" t="s">
        <v>17</v>
      </c>
      <c r="E789" t="s">
        <v>37</v>
      </c>
      <c r="F789" t="s">
        <v>19</v>
      </c>
      <c r="G789" t="s">
        <v>20</v>
      </c>
      <c r="H789" t="s">
        <v>20</v>
      </c>
      <c r="I789" t="s">
        <v>20</v>
      </c>
      <c r="J789" t="s">
        <v>22</v>
      </c>
      <c r="K789" t="s">
        <v>39</v>
      </c>
      <c r="L789">
        <v>229.36666666666699</v>
      </c>
      <c r="M789" t="s">
        <v>30</v>
      </c>
      <c r="N789" t="str">
        <f>_xlfn.XLOOKUP(A789,[1]!brca_metabric_clinical_data__2[Patient ID], [1]!brca_metabric_clinical_data__2[Tumor Size])</f>
        <v>60</v>
      </c>
      <c r="O789" t="str">
        <f>_xlfn.XLOOKUP(A789,[1]!brca_metabric_clinical_data__2[Sample ID],[1]!brca_metabric_clinical_data__2[Tumor Stage])</f>
        <v>1</v>
      </c>
    </row>
    <row r="790" spans="1:15" x14ac:dyDescent="0.45">
      <c r="A790" t="s">
        <v>825</v>
      </c>
      <c r="B790">
        <v>60.15</v>
      </c>
      <c r="C790" t="s">
        <v>16</v>
      </c>
      <c r="D790" t="s">
        <v>17</v>
      </c>
      <c r="E790" t="s">
        <v>18</v>
      </c>
      <c r="F790" t="s">
        <v>19</v>
      </c>
      <c r="G790" t="s">
        <v>20</v>
      </c>
      <c r="H790" t="s">
        <v>21</v>
      </c>
      <c r="I790" t="s">
        <v>21</v>
      </c>
      <c r="J790" t="s">
        <v>29</v>
      </c>
      <c r="K790">
        <v>9</v>
      </c>
      <c r="L790">
        <v>214.7</v>
      </c>
      <c r="M790" t="s">
        <v>24</v>
      </c>
      <c r="N790" t="str">
        <f>_xlfn.XLOOKUP(A790,[1]!brca_metabric_clinical_data__2[Patient ID], [1]!brca_metabric_clinical_data__2[Tumor Size])</f>
        <v>12</v>
      </c>
      <c r="O790" t="str">
        <f>_xlfn.XLOOKUP(A790,[1]!brca_metabric_clinical_data__2[Sample ID],[1]!brca_metabric_clinical_data__2[Tumor Stage])</f>
        <v>2</v>
      </c>
    </row>
    <row r="791" spans="1:15" x14ac:dyDescent="0.45">
      <c r="A791" t="s">
        <v>826</v>
      </c>
      <c r="B791">
        <v>68.61</v>
      </c>
      <c r="C791" t="s">
        <v>16</v>
      </c>
      <c r="D791" t="s">
        <v>17</v>
      </c>
      <c r="E791" t="s">
        <v>37</v>
      </c>
      <c r="F791" t="s">
        <v>43</v>
      </c>
      <c r="G791" t="s">
        <v>20</v>
      </c>
      <c r="H791" t="s">
        <v>20</v>
      </c>
      <c r="I791" t="s">
        <v>21</v>
      </c>
      <c r="J791" t="s">
        <v>45</v>
      </c>
      <c r="K791">
        <v>5</v>
      </c>
      <c r="L791">
        <v>110.633333333333</v>
      </c>
      <c r="M791" t="s">
        <v>24</v>
      </c>
      <c r="N791" t="str">
        <f>_xlfn.XLOOKUP(A791,[1]!brca_metabric_clinical_data__2[Patient ID], [1]!brca_metabric_clinical_data__2[Tumor Size])</f>
        <v>40</v>
      </c>
      <c r="O791" t="str">
        <f>_xlfn.XLOOKUP(A791,[1]!brca_metabric_clinical_data__2[Sample ID],[1]!brca_metabric_clinical_data__2[Tumor Stage])</f>
        <v>1</v>
      </c>
    </row>
    <row r="792" spans="1:15" x14ac:dyDescent="0.45">
      <c r="A792" t="s">
        <v>827</v>
      </c>
      <c r="B792">
        <v>63.95</v>
      </c>
      <c r="C792" t="s">
        <v>16</v>
      </c>
      <c r="D792" t="s">
        <v>17</v>
      </c>
      <c r="E792" t="s">
        <v>18</v>
      </c>
      <c r="F792" t="s">
        <v>19</v>
      </c>
      <c r="G792" t="s">
        <v>20</v>
      </c>
      <c r="H792" t="s">
        <v>21</v>
      </c>
      <c r="I792" t="s">
        <v>21</v>
      </c>
      <c r="J792" t="s">
        <v>29</v>
      </c>
      <c r="K792">
        <v>1</v>
      </c>
      <c r="L792">
        <v>235.4</v>
      </c>
      <c r="M792" t="s">
        <v>24</v>
      </c>
      <c r="N792" t="str">
        <f>_xlfn.XLOOKUP(A792,[1]!brca_metabric_clinical_data__2[Patient ID], [1]!brca_metabric_clinical_data__2[Tumor Size])</f>
        <v>34</v>
      </c>
      <c r="O792" t="str">
        <f>_xlfn.XLOOKUP(A792,[1]!brca_metabric_clinical_data__2[Sample ID],[1]!brca_metabric_clinical_data__2[Tumor Stage])</f>
        <v>2</v>
      </c>
    </row>
    <row r="793" spans="1:15" x14ac:dyDescent="0.45">
      <c r="A793" t="s">
        <v>828</v>
      </c>
      <c r="B793">
        <v>37.159999999999997</v>
      </c>
      <c r="C793" t="s">
        <v>16</v>
      </c>
      <c r="D793" t="s">
        <v>26</v>
      </c>
      <c r="E793" t="s">
        <v>37</v>
      </c>
      <c r="F793" t="s">
        <v>19</v>
      </c>
      <c r="G793" t="s">
        <v>21</v>
      </c>
      <c r="H793" t="s">
        <v>20</v>
      </c>
      <c r="I793" t="s">
        <v>21</v>
      </c>
      <c r="J793" t="s">
        <v>22</v>
      </c>
      <c r="K793">
        <v>10</v>
      </c>
      <c r="L793">
        <v>230.46666666666701</v>
      </c>
      <c r="M793" t="s">
        <v>24</v>
      </c>
      <c r="N793" t="str">
        <f>_xlfn.XLOOKUP(A793,[1]!brca_metabric_clinical_data__2[Patient ID], [1]!brca_metabric_clinical_data__2[Tumor Size])</f>
        <v>5.5</v>
      </c>
      <c r="O793" t="str">
        <f>_xlfn.XLOOKUP(A793,[1]!brca_metabric_clinical_data__2[Sample ID],[1]!brca_metabric_clinical_data__2[Tumor Stage])</f>
        <v>2</v>
      </c>
    </row>
    <row r="794" spans="1:15" x14ac:dyDescent="0.45">
      <c r="A794" t="s">
        <v>829</v>
      </c>
      <c r="B794">
        <v>55.71</v>
      </c>
      <c r="C794" t="s">
        <v>16</v>
      </c>
      <c r="D794" t="s">
        <v>17</v>
      </c>
      <c r="E794" t="s">
        <v>37</v>
      </c>
      <c r="F794" t="s">
        <v>19</v>
      </c>
      <c r="G794" t="s">
        <v>20</v>
      </c>
      <c r="H794" t="s">
        <v>20</v>
      </c>
      <c r="I794" t="s">
        <v>21</v>
      </c>
      <c r="J794" t="s">
        <v>58</v>
      </c>
      <c r="K794">
        <v>10</v>
      </c>
      <c r="L794">
        <v>38.799999999999997</v>
      </c>
      <c r="M794" t="s">
        <v>30</v>
      </c>
      <c r="N794" t="str">
        <f>_xlfn.XLOOKUP(A794,[1]!brca_metabric_clinical_data__2[Patient ID], [1]!brca_metabric_clinical_data__2[Tumor Size])</f>
        <v>18</v>
      </c>
      <c r="O794" t="str">
        <f>_xlfn.XLOOKUP(A794,[1]!brca_metabric_clinical_data__2[Sample ID],[1]!brca_metabric_clinical_data__2[Tumor Stage])</f>
        <v>1</v>
      </c>
    </row>
    <row r="795" spans="1:15" x14ac:dyDescent="0.45">
      <c r="A795" t="s">
        <v>830</v>
      </c>
      <c r="B795">
        <v>70.77</v>
      </c>
      <c r="C795" t="s">
        <v>16</v>
      </c>
      <c r="D795" t="s">
        <v>17</v>
      </c>
      <c r="E795" t="s">
        <v>18</v>
      </c>
      <c r="F795" t="s">
        <v>19</v>
      </c>
      <c r="G795" t="s">
        <v>20</v>
      </c>
      <c r="H795" t="s">
        <v>21</v>
      </c>
      <c r="I795" t="s">
        <v>20</v>
      </c>
      <c r="J795" t="s">
        <v>22</v>
      </c>
      <c r="K795" t="s">
        <v>23</v>
      </c>
      <c r="L795">
        <v>228.76666666666699</v>
      </c>
      <c r="M795" t="s">
        <v>30</v>
      </c>
      <c r="N795" t="str">
        <f>_xlfn.XLOOKUP(A795,[1]!brca_metabric_clinical_data__2[Patient ID], [1]!brca_metabric_clinical_data__2[Tumor Size])</f>
        <v>25</v>
      </c>
      <c r="O795" t="str">
        <f>_xlfn.XLOOKUP(A795,[1]!brca_metabric_clinical_data__2[Sample ID],[1]!brca_metabric_clinical_data__2[Tumor Stage])</f>
        <v>2</v>
      </c>
    </row>
    <row r="796" spans="1:15" x14ac:dyDescent="0.45">
      <c r="A796" t="s">
        <v>831</v>
      </c>
      <c r="B796">
        <v>41.52</v>
      </c>
      <c r="C796" t="s">
        <v>16</v>
      </c>
      <c r="D796" t="s">
        <v>26</v>
      </c>
      <c r="E796" t="s">
        <v>18</v>
      </c>
      <c r="F796" t="s">
        <v>43</v>
      </c>
      <c r="G796" t="s">
        <v>20</v>
      </c>
      <c r="H796" t="s">
        <v>20</v>
      </c>
      <c r="I796" t="s">
        <v>20</v>
      </c>
      <c r="J796" t="s">
        <v>27</v>
      </c>
      <c r="K796">
        <v>3</v>
      </c>
      <c r="L796">
        <v>222.1</v>
      </c>
      <c r="M796" t="s">
        <v>24</v>
      </c>
      <c r="N796" t="str">
        <f>_xlfn.XLOOKUP(A796,[1]!brca_metabric_clinical_data__2[Patient ID], [1]!brca_metabric_clinical_data__2[Tumor Size])</f>
        <v>20</v>
      </c>
      <c r="O796" t="str">
        <f>_xlfn.XLOOKUP(A796,[1]!brca_metabric_clinical_data__2[Sample ID],[1]!brca_metabric_clinical_data__2[Tumor Stage])</f>
        <v>1</v>
      </c>
    </row>
    <row r="797" spans="1:15" x14ac:dyDescent="0.45">
      <c r="A797" t="s">
        <v>832</v>
      </c>
      <c r="B797">
        <v>51.01</v>
      </c>
      <c r="C797" t="s">
        <v>16</v>
      </c>
      <c r="D797" t="s">
        <v>17</v>
      </c>
      <c r="E797" t="s">
        <v>18</v>
      </c>
      <c r="F797" t="s">
        <v>19</v>
      </c>
      <c r="G797" t="s">
        <v>20</v>
      </c>
      <c r="H797" t="s">
        <v>21</v>
      </c>
      <c r="I797" t="s">
        <v>21</v>
      </c>
      <c r="J797" t="s">
        <v>27</v>
      </c>
      <c r="K797" t="s">
        <v>23</v>
      </c>
      <c r="L797">
        <v>228</v>
      </c>
      <c r="M797" t="s">
        <v>24</v>
      </c>
      <c r="N797" t="str">
        <f>_xlfn.XLOOKUP(A797,[1]!brca_metabric_clinical_data__2[Patient ID], [1]!brca_metabric_clinical_data__2[Tumor Size])</f>
        <v>15</v>
      </c>
      <c r="O797" t="str">
        <f>_xlfn.XLOOKUP(A797,[1]!brca_metabric_clinical_data__2[Sample ID],[1]!brca_metabric_clinical_data__2[Tumor Stage])</f>
        <v>1</v>
      </c>
    </row>
    <row r="798" spans="1:15" x14ac:dyDescent="0.45">
      <c r="A798" t="s">
        <v>833</v>
      </c>
      <c r="B798">
        <v>49.98</v>
      </c>
      <c r="C798" t="s">
        <v>16</v>
      </c>
      <c r="D798" t="s">
        <v>26</v>
      </c>
      <c r="E798" t="s">
        <v>37</v>
      </c>
      <c r="F798" t="s">
        <v>35</v>
      </c>
      <c r="G798" t="s">
        <v>20</v>
      </c>
      <c r="H798" t="s">
        <v>20</v>
      </c>
      <c r="I798" t="s">
        <v>21</v>
      </c>
      <c r="J798" t="s">
        <v>22</v>
      </c>
      <c r="K798" t="s">
        <v>39</v>
      </c>
      <c r="L798">
        <v>75.3333333333333</v>
      </c>
      <c r="M798" t="s">
        <v>30</v>
      </c>
      <c r="N798" t="str">
        <f>_xlfn.XLOOKUP(A798,[1]!brca_metabric_clinical_data__2[Patient ID], [1]!brca_metabric_clinical_data__2[Tumor Size])</f>
        <v>15</v>
      </c>
      <c r="O798" t="str">
        <f>_xlfn.XLOOKUP(A798,[1]!brca_metabric_clinical_data__2[Sample ID],[1]!brca_metabric_clinical_data__2[Tumor Stage])</f>
        <v>1</v>
      </c>
    </row>
    <row r="799" spans="1:15" x14ac:dyDescent="0.45">
      <c r="A799" t="s">
        <v>834</v>
      </c>
      <c r="B799">
        <v>57.01</v>
      </c>
      <c r="C799" t="s">
        <v>16</v>
      </c>
      <c r="D799" t="s">
        <v>17</v>
      </c>
      <c r="E799" t="s">
        <v>18</v>
      </c>
      <c r="F799" t="s">
        <v>19</v>
      </c>
      <c r="G799" t="s">
        <v>20</v>
      </c>
      <c r="H799" t="s">
        <v>21</v>
      </c>
      <c r="I799" t="s">
        <v>20</v>
      </c>
      <c r="J799" t="s">
        <v>29</v>
      </c>
      <c r="K799">
        <v>1</v>
      </c>
      <c r="L799">
        <v>92.733333333333306</v>
      </c>
      <c r="M799" t="s">
        <v>30</v>
      </c>
      <c r="N799" t="str">
        <f>_xlfn.XLOOKUP(A799,[1]!brca_metabric_clinical_data__2[Patient ID], [1]!brca_metabric_clinical_data__2[Tumor Size])</f>
        <v>25</v>
      </c>
      <c r="O799" t="str">
        <f>_xlfn.XLOOKUP(A799,[1]!brca_metabric_clinical_data__2[Sample ID],[1]!brca_metabric_clinical_data__2[Tumor Stage])</f>
        <v>1</v>
      </c>
    </row>
    <row r="800" spans="1:15" x14ac:dyDescent="0.45">
      <c r="A800" t="s">
        <v>835</v>
      </c>
      <c r="B800">
        <v>48.16</v>
      </c>
      <c r="C800" t="s">
        <v>16</v>
      </c>
      <c r="D800" t="s">
        <v>26</v>
      </c>
      <c r="E800" t="s">
        <v>18</v>
      </c>
      <c r="F800" t="s">
        <v>19</v>
      </c>
      <c r="G800" t="s">
        <v>20</v>
      </c>
      <c r="H800" t="s">
        <v>20</v>
      </c>
      <c r="I800" t="s">
        <v>21</v>
      </c>
      <c r="J800" t="s">
        <v>27</v>
      </c>
      <c r="K800">
        <v>8</v>
      </c>
      <c r="L800">
        <v>224.566666666667</v>
      </c>
      <c r="M800" t="s">
        <v>24</v>
      </c>
      <c r="N800" t="str">
        <f>_xlfn.XLOOKUP(A800,[1]!brca_metabric_clinical_data__2[Patient ID], [1]!brca_metabric_clinical_data__2[Tumor Size])</f>
        <v>18</v>
      </c>
      <c r="O800" t="str">
        <f>_xlfn.XLOOKUP(A800,[1]!brca_metabric_clinical_data__2[Sample ID],[1]!brca_metabric_clinical_data__2[Tumor Stage])</f>
        <v>1</v>
      </c>
    </row>
    <row r="801" spans="1:15" x14ac:dyDescent="0.45">
      <c r="A801" t="s">
        <v>836</v>
      </c>
      <c r="B801">
        <v>68.72</v>
      </c>
      <c r="C801" t="s">
        <v>16</v>
      </c>
      <c r="D801" t="s">
        <v>17</v>
      </c>
      <c r="E801" t="s">
        <v>18</v>
      </c>
      <c r="F801" t="s">
        <v>35</v>
      </c>
      <c r="G801" t="s">
        <v>20</v>
      </c>
      <c r="H801" t="s">
        <v>20</v>
      </c>
      <c r="I801" t="s">
        <v>20</v>
      </c>
      <c r="J801" t="s">
        <v>27</v>
      </c>
      <c r="K801">
        <v>8</v>
      </c>
      <c r="L801">
        <v>228.333333333333</v>
      </c>
      <c r="M801" t="s">
        <v>24</v>
      </c>
      <c r="N801" t="str">
        <f>_xlfn.XLOOKUP(A801,[1]!brca_metabric_clinical_data__2[Patient ID], [1]!brca_metabric_clinical_data__2[Tumor Size])</f>
        <v>24</v>
      </c>
      <c r="O801" t="str">
        <f>_xlfn.XLOOKUP(A801,[1]!brca_metabric_clinical_data__2[Sample ID],[1]!brca_metabric_clinical_data__2[Tumor Stage])</f>
        <v>1</v>
      </c>
    </row>
    <row r="802" spans="1:15" x14ac:dyDescent="0.45">
      <c r="A802" t="s">
        <v>837</v>
      </c>
      <c r="B802">
        <v>40.78</v>
      </c>
      <c r="C802" t="s">
        <v>16</v>
      </c>
      <c r="D802" t="s">
        <v>26</v>
      </c>
      <c r="E802" t="s">
        <v>18</v>
      </c>
      <c r="F802" t="s">
        <v>817</v>
      </c>
      <c r="G802" t="s">
        <v>20</v>
      </c>
      <c r="H802" t="s">
        <v>20</v>
      </c>
      <c r="I802" t="s">
        <v>20</v>
      </c>
      <c r="J802" t="s">
        <v>27</v>
      </c>
      <c r="K802">
        <v>3</v>
      </c>
      <c r="L802">
        <v>222.5</v>
      </c>
      <c r="M802" t="s">
        <v>24</v>
      </c>
      <c r="N802" t="str">
        <f>_xlfn.XLOOKUP(A802,[1]!brca_metabric_clinical_data__2[Patient ID], [1]!brca_metabric_clinical_data__2[Tumor Size])</f>
        <v>25</v>
      </c>
      <c r="O802" t="str">
        <f>_xlfn.XLOOKUP(A802,[1]!brca_metabric_clinical_data__2[Sample ID],[1]!brca_metabric_clinical_data__2[Tumor Stage])</f>
        <v>1</v>
      </c>
    </row>
    <row r="803" spans="1:15" x14ac:dyDescent="0.45">
      <c r="A803" t="s">
        <v>838</v>
      </c>
      <c r="B803">
        <v>49.45</v>
      </c>
      <c r="C803" t="s">
        <v>16</v>
      </c>
      <c r="D803" t="s">
        <v>26</v>
      </c>
      <c r="E803" t="s">
        <v>18</v>
      </c>
      <c r="F803" t="s">
        <v>19</v>
      </c>
      <c r="G803" t="s">
        <v>20</v>
      </c>
      <c r="H803" t="s">
        <v>21</v>
      </c>
      <c r="I803" t="s">
        <v>21</v>
      </c>
      <c r="J803" t="s">
        <v>29</v>
      </c>
      <c r="K803">
        <v>2</v>
      </c>
      <c r="L803">
        <v>126.466666666667</v>
      </c>
      <c r="M803" t="s">
        <v>30</v>
      </c>
      <c r="N803" t="str">
        <f>_xlfn.XLOOKUP(A803,[1]!brca_metabric_clinical_data__2[Patient ID], [1]!brca_metabric_clinical_data__2[Tumor Size])</f>
        <v>22</v>
      </c>
      <c r="O803" t="str">
        <f>_xlfn.XLOOKUP(A803,[1]!brca_metabric_clinical_data__2[Sample ID],[1]!brca_metabric_clinical_data__2[Tumor Stage])</f>
        <v>1</v>
      </c>
    </row>
    <row r="804" spans="1:15" x14ac:dyDescent="0.45">
      <c r="A804" t="s">
        <v>839</v>
      </c>
      <c r="B804">
        <v>60.45</v>
      </c>
      <c r="C804" t="s">
        <v>16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21</v>
      </c>
      <c r="J804" t="s">
        <v>29</v>
      </c>
      <c r="K804">
        <v>8</v>
      </c>
      <c r="L804">
        <v>134.46666666666701</v>
      </c>
      <c r="M804" t="s">
        <v>30</v>
      </c>
      <c r="N804" t="str">
        <f>_xlfn.XLOOKUP(A804,[1]!brca_metabric_clinical_data__2[Patient ID], [1]!brca_metabric_clinical_data__2[Tumor Size])</f>
        <v>23</v>
      </c>
      <c r="O804" t="str">
        <f>_xlfn.XLOOKUP(A804,[1]!brca_metabric_clinical_data__2[Sample ID],[1]!brca_metabric_clinical_data__2[Tumor Stage])</f>
        <v>1</v>
      </c>
    </row>
    <row r="805" spans="1:15" x14ac:dyDescent="0.45">
      <c r="A805" t="s">
        <v>840</v>
      </c>
      <c r="B805">
        <v>53.89</v>
      </c>
      <c r="C805" t="s">
        <v>16</v>
      </c>
      <c r="D805" t="s">
        <v>17</v>
      </c>
      <c r="E805" t="s">
        <v>18</v>
      </c>
      <c r="F805" t="s">
        <v>19</v>
      </c>
      <c r="G805" t="s">
        <v>20</v>
      </c>
      <c r="H805" t="s">
        <v>20</v>
      </c>
      <c r="I805" t="s">
        <v>21</v>
      </c>
      <c r="J805" t="s">
        <v>29</v>
      </c>
      <c r="K805">
        <v>6</v>
      </c>
      <c r="L805">
        <v>287.23333333333301</v>
      </c>
      <c r="M805" t="s">
        <v>24</v>
      </c>
      <c r="N805" t="str">
        <f>_xlfn.XLOOKUP(A805,[1]!brca_metabric_clinical_data__2[Patient ID], [1]!brca_metabric_clinical_data__2[Tumor Size])</f>
        <v>16</v>
      </c>
      <c r="O805" t="str">
        <f>_xlfn.XLOOKUP(A805,[1]!brca_metabric_clinical_data__2[Sample ID],[1]!brca_metabric_clinical_data__2[Tumor Stage])</f>
        <v>1</v>
      </c>
    </row>
    <row r="806" spans="1:15" x14ac:dyDescent="0.45">
      <c r="A806" t="s">
        <v>841</v>
      </c>
      <c r="B806">
        <v>54.6</v>
      </c>
      <c r="C806" t="s">
        <v>16</v>
      </c>
      <c r="D806" t="s">
        <v>17</v>
      </c>
      <c r="E806" t="s">
        <v>18</v>
      </c>
      <c r="F806" t="s">
        <v>19</v>
      </c>
      <c r="G806" t="s">
        <v>20</v>
      </c>
      <c r="H806" t="s">
        <v>21</v>
      </c>
      <c r="I806" t="s">
        <v>21</v>
      </c>
      <c r="J806" t="s">
        <v>29</v>
      </c>
      <c r="K806">
        <v>1</v>
      </c>
      <c r="L806">
        <v>226.066666666667</v>
      </c>
      <c r="M806" t="s">
        <v>24</v>
      </c>
      <c r="N806" t="str">
        <f>_xlfn.XLOOKUP(A806,[1]!brca_metabric_clinical_data__2[Patient ID], [1]!brca_metabric_clinical_data__2[Tumor Size])</f>
        <v>24</v>
      </c>
      <c r="O806" t="str">
        <f>_xlfn.XLOOKUP(A806,[1]!brca_metabric_clinical_data__2[Sample ID],[1]!brca_metabric_clinical_data__2[Tumor Stage])</f>
        <v>2</v>
      </c>
    </row>
    <row r="807" spans="1:15" x14ac:dyDescent="0.45">
      <c r="A807" t="s">
        <v>842</v>
      </c>
      <c r="B807">
        <v>65.89</v>
      </c>
      <c r="C807" t="s">
        <v>16</v>
      </c>
      <c r="D807" t="s">
        <v>17</v>
      </c>
      <c r="E807" t="s">
        <v>18</v>
      </c>
      <c r="F807" t="s">
        <v>43</v>
      </c>
      <c r="G807" t="s">
        <v>20</v>
      </c>
      <c r="H807" t="s">
        <v>20</v>
      </c>
      <c r="I807" t="s">
        <v>20</v>
      </c>
      <c r="J807" t="s">
        <v>27</v>
      </c>
      <c r="K807" t="s">
        <v>23</v>
      </c>
      <c r="L807">
        <v>72.3</v>
      </c>
      <c r="M807" t="s">
        <v>24</v>
      </c>
      <c r="N807" t="str">
        <f>_xlfn.XLOOKUP(A807,[1]!brca_metabric_clinical_data__2[Patient ID], [1]!brca_metabric_clinical_data__2[Tumor Size])</f>
        <v>20</v>
      </c>
      <c r="O807" t="str">
        <f>_xlfn.XLOOKUP(A807,[1]!brca_metabric_clinical_data__2[Sample ID],[1]!brca_metabric_clinical_data__2[Tumor Stage])</f>
        <v>1</v>
      </c>
    </row>
    <row r="808" spans="1:15" x14ac:dyDescent="0.45">
      <c r="A808" t="s">
        <v>843</v>
      </c>
      <c r="B808">
        <v>43.56</v>
      </c>
      <c r="C808" t="s">
        <v>16</v>
      </c>
      <c r="D808" t="s">
        <v>26</v>
      </c>
      <c r="E808" t="s">
        <v>18</v>
      </c>
      <c r="F808" t="s">
        <v>43</v>
      </c>
      <c r="G808" t="s">
        <v>20</v>
      </c>
      <c r="H808" t="s">
        <v>21</v>
      </c>
      <c r="I808" t="s">
        <v>21</v>
      </c>
      <c r="J808" t="s">
        <v>27</v>
      </c>
      <c r="K808" t="s">
        <v>23</v>
      </c>
      <c r="L808">
        <v>225.5</v>
      </c>
      <c r="M808" t="s">
        <v>24</v>
      </c>
      <c r="N808" t="str">
        <f>_xlfn.XLOOKUP(A808,[1]!brca_metabric_clinical_data__2[Patient ID], [1]!brca_metabric_clinical_data__2[Tumor Size])</f>
        <v>23</v>
      </c>
      <c r="O808" t="str">
        <f>_xlfn.XLOOKUP(A808,[1]!brca_metabric_clinical_data__2[Sample ID],[1]!brca_metabric_clinical_data__2[Tumor Stage])</f>
        <v>1</v>
      </c>
    </row>
    <row r="809" spans="1:15" x14ac:dyDescent="0.45">
      <c r="A809" t="s">
        <v>844</v>
      </c>
      <c r="B809">
        <v>63.82</v>
      </c>
      <c r="C809" t="s">
        <v>16</v>
      </c>
      <c r="D809" t="s">
        <v>17</v>
      </c>
      <c r="E809" t="s">
        <v>37</v>
      </c>
      <c r="F809" t="s">
        <v>19</v>
      </c>
      <c r="G809" t="s">
        <v>20</v>
      </c>
      <c r="H809" t="s">
        <v>20</v>
      </c>
      <c r="I809" t="s">
        <v>20</v>
      </c>
      <c r="J809" t="s">
        <v>27</v>
      </c>
      <c r="K809">
        <v>3</v>
      </c>
      <c r="L809">
        <v>99.233333333333306</v>
      </c>
      <c r="M809" t="s">
        <v>24</v>
      </c>
      <c r="N809" t="str">
        <f>_xlfn.XLOOKUP(A809,[1]!brca_metabric_clinical_data__2[Patient ID], [1]!brca_metabric_clinical_data__2[Tumor Size])</f>
        <v>12</v>
      </c>
      <c r="O809" t="str">
        <f>_xlfn.XLOOKUP(A809,[1]!brca_metabric_clinical_data__2[Sample ID],[1]!brca_metabric_clinical_data__2[Tumor Stage])</f>
        <v>1</v>
      </c>
    </row>
    <row r="810" spans="1:15" x14ac:dyDescent="0.45">
      <c r="A810" t="s">
        <v>845</v>
      </c>
      <c r="B810">
        <v>49.37</v>
      </c>
      <c r="C810" t="s">
        <v>16</v>
      </c>
      <c r="D810" t="s">
        <v>26</v>
      </c>
      <c r="E810" t="s">
        <v>18</v>
      </c>
      <c r="F810" t="s">
        <v>19</v>
      </c>
      <c r="G810" t="s">
        <v>20</v>
      </c>
      <c r="H810" t="s">
        <v>21</v>
      </c>
      <c r="I810" t="s">
        <v>21</v>
      </c>
      <c r="J810" t="s">
        <v>22</v>
      </c>
      <c r="K810">
        <v>3</v>
      </c>
      <c r="L810">
        <v>199.96666666666701</v>
      </c>
      <c r="M810" t="s">
        <v>24</v>
      </c>
      <c r="N810" t="str">
        <f>_xlfn.XLOOKUP(A810,[1]!brca_metabric_clinical_data__2[Patient ID], [1]!brca_metabric_clinical_data__2[Tumor Size])</f>
        <v>15</v>
      </c>
      <c r="O810" t="str">
        <f>_xlfn.XLOOKUP(A810,[1]!brca_metabric_clinical_data__2[Sample ID],[1]!brca_metabric_clinical_data__2[Tumor Stage])</f>
        <v>1</v>
      </c>
    </row>
    <row r="811" spans="1:15" x14ac:dyDescent="0.45">
      <c r="A811" t="s">
        <v>846</v>
      </c>
      <c r="B811">
        <v>54.29</v>
      </c>
      <c r="C811" t="s">
        <v>16</v>
      </c>
      <c r="D811" t="s">
        <v>17</v>
      </c>
      <c r="E811" t="s">
        <v>37</v>
      </c>
      <c r="F811" t="s">
        <v>43</v>
      </c>
      <c r="G811" t="s">
        <v>20</v>
      </c>
      <c r="H811" t="s">
        <v>20</v>
      </c>
      <c r="I811" t="s">
        <v>21</v>
      </c>
      <c r="J811" t="s">
        <v>45</v>
      </c>
      <c r="K811">
        <v>5</v>
      </c>
      <c r="L811">
        <v>225.5</v>
      </c>
      <c r="M811" t="s">
        <v>24</v>
      </c>
      <c r="N811" t="str">
        <f>_xlfn.XLOOKUP(A811,[1]!brca_metabric_clinical_data__2[Patient ID], [1]!brca_metabric_clinical_data__2[Tumor Size])</f>
        <v>12</v>
      </c>
      <c r="O811" t="str">
        <f>_xlfn.XLOOKUP(A811,[1]!brca_metabric_clinical_data__2[Sample ID],[1]!brca_metabric_clinical_data__2[Tumor Stage])</f>
        <v>1</v>
      </c>
    </row>
    <row r="812" spans="1:15" x14ac:dyDescent="0.45">
      <c r="A812" t="s">
        <v>847</v>
      </c>
      <c r="B812">
        <v>62.03</v>
      </c>
      <c r="C812" t="s">
        <v>16</v>
      </c>
      <c r="D812" t="s">
        <v>17</v>
      </c>
      <c r="E812" t="s">
        <v>18</v>
      </c>
      <c r="F812" t="s">
        <v>19</v>
      </c>
      <c r="G812" t="s">
        <v>20</v>
      </c>
      <c r="H812" t="s">
        <v>21</v>
      </c>
      <c r="I812" t="s">
        <v>20</v>
      </c>
      <c r="J812" t="s">
        <v>27</v>
      </c>
      <c r="K812">
        <v>8</v>
      </c>
      <c r="L812">
        <v>172.8</v>
      </c>
      <c r="M812" t="s">
        <v>30</v>
      </c>
      <c r="N812" t="str">
        <f>_xlfn.XLOOKUP(A812,[1]!brca_metabric_clinical_data__2[Patient ID], [1]!brca_metabric_clinical_data__2[Tumor Size])</f>
        <v>26</v>
      </c>
      <c r="O812" t="str">
        <f>_xlfn.XLOOKUP(A812,[1]!brca_metabric_clinical_data__2[Sample ID],[1]!brca_metabric_clinical_data__2[Tumor Stage])</f>
        <v>2</v>
      </c>
    </row>
    <row r="813" spans="1:15" x14ac:dyDescent="0.45">
      <c r="A813" t="s">
        <v>848</v>
      </c>
      <c r="B813">
        <v>35.5</v>
      </c>
      <c r="C813" t="s">
        <v>16</v>
      </c>
      <c r="D813" t="s">
        <v>26</v>
      </c>
      <c r="E813" t="s">
        <v>18</v>
      </c>
      <c r="F813" t="s">
        <v>19</v>
      </c>
      <c r="G813" t="s">
        <v>20</v>
      </c>
      <c r="H813" t="s">
        <v>20</v>
      </c>
      <c r="I813" t="s">
        <v>21</v>
      </c>
      <c r="J813" t="s">
        <v>27</v>
      </c>
      <c r="K813">
        <v>7</v>
      </c>
      <c r="L813">
        <v>186.433333333333</v>
      </c>
      <c r="M813" t="s">
        <v>24</v>
      </c>
      <c r="N813" t="str">
        <f>_xlfn.XLOOKUP(A813,[1]!brca_metabric_clinical_data__2[Patient ID], [1]!brca_metabric_clinical_data__2[Tumor Size])</f>
        <v>15</v>
      </c>
      <c r="O813" t="str">
        <f>_xlfn.XLOOKUP(A813,[1]!brca_metabric_clinical_data__2[Sample ID],[1]!brca_metabric_clinical_data__2[Tumor Stage])</f>
        <v>1</v>
      </c>
    </row>
    <row r="814" spans="1:15" x14ac:dyDescent="0.45">
      <c r="A814" t="s">
        <v>849</v>
      </c>
      <c r="B814">
        <v>57.91</v>
      </c>
      <c r="C814" t="s">
        <v>16</v>
      </c>
      <c r="D814" t="s">
        <v>17</v>
      </c>
      <c r="E814" t="s">
        <v>37</v>
      </c>
      <c r="F814" t="s">
        <v>43</v>
      </c>
      <c r="G814" t="s">
        <v>20</v>
      </c>
      <c r="H814" t="s">
        <v>20</v>
      </c>
      <c r="I814" t="s">
        <v>21</v>
      </c>
      <c r="J814" t="s">
        <v>45</v>
      </c>
      <c r="K814">
        <v>5</v>
      </c>
      <c r="L814">
        <v>100.866666666667</v>
      </c>
      <c r="M814" t="s">
        <v>30</v>
      </c>
      <c r="N814" t="str">
        <f>_xlfn.XLOOKUP(A814,[1]!brca_metabric_clinical_data__2[Patient ID], [1]!brca_metabric_clinical_data__2[Tumor Size])</f>
        <v>13</v>
      </c>
      <c r="O814" t="str">
        <f>_xlfn.XLOOKUP(A814,[1]!brca_metabric_clinical_data__2[Sample ID],[1]!brca_metabric_clinical_data__2[Tumor Stage])</f>
        <v>1</v>
      </c>
    </row>
    <row r="815" spans="1:15" x14ac:dyDescent="0.45">
      <c r="A815" t="s">
        <v>850</v>
      </c>
      <c r="B815">
        <v>76.959999999999994</v>
      </c>
      <c r="C815" t="s">
        <v>16</v>
      </c>
      <c r="D815" t="s">
        <v>17</v>
      </c>
      <c r="E815" t="s">
        <v>18</v>
      </c>
      <c r="F815" t="s">
        <v>19</v>
      </c>
      <c r="G815" t="s">
        <v>20</v>
      </c>
      <c r="H815" t="s">
        <v>20</v>
      </c>
      <c r="I815" t="s">
        <v>21</v>
      </c>
      <c r="J815" t="s">
        <v>27</v>
      </c>
      <c r="K815" t="s">
        <v>23</v>
      </c>
      <c r="L815">
        <v>28.066666666666698</v>
      </c>
      <c r="M815" t="s">
        <v>30</v>
      </c>
      <c r="N815" t="str">
        <f>_xlfn.XLOOKUP(A815,[1]!brca_metabric_clinical_data__2[Patient ID], [1]!brca_metabric_clinical_data__2[Tumor Size])</f>
        <v>20</v>
      </c>
      <c r="O815" t="str">
        <f>_xlfn.XLOOKUP(A815,[1]!brca_metabric_clinical_data__2[Sample ID],[1]!brca_metabric_clinical_data__2[Tumor Stage])</f>
        <v>1</v>
      </c>
    </row>
    <row r="816" spans="1:15" x14ac:dyDescent="0.45">
      <c r="A816" t="s">
        <v>851</v>
      </c>
      <c r="B816">
        <v>74.510000000000005</v>
      </c>
      <c r="C816" t="s">
        <v>16</v>
      </c>
      <c r="D816" t="s">
        <v>17</v>
      </c>
      <c r="E816" t="s">
        <v>18</v>
      </c>
      <c r="F816" t="s">
        <v>19</v>
      </c>
      <c r="G816" t="s">
        <v>20</v>
      </c>
      <c r="H816" t="s">
        <v>21</v>
      </c>
      <c r="I816" t="s">
        <v>21</v>
      </c>
      <c r="J816" t="s">
        <v>27</v>
      </c>
      <c r="K816">
        <v>7</v>
      </c>
      <c r="L816">
        <v>49.6666666666667</v>
      </c>
      <c r="M816" t="s">
        <v>30</v>
      </c>
      <c r="N816" t="str">
        <f>_xlfn.XLOOKUP(A816,[1]!brca_metabric_clinical_data__2[Patient ID], [1]!brca_metabric_clinical_data__2[Tumor Size])</f>
        <v>40</v>
      </c>
      <c r="O816" t="str">
        <f>_xlfn.XLOOKUP(A816,[1]!brca_metabric_clinical_data__2[Sample ID],[1]!brca_metabric_clinical_data__2[Tumor Stage])</f>
        <v>2</v>
      </c>
    </row>
    <row r="817" spans="1:15" x14ac:dyDescent="0.45">
      <c r="A817" t="s">
        <v>852</v>
      </c>
      <c r="B817">
        <v>70.31</v>
      </c>
      <c r="C817" t="s">
        <v>16</v>
      </c>
      <c r="D817" t="s">
        <v>17</v>
      </c>
      <c r="E817" t="s">
        <v>18</v>
      </c>
      <c r="F817" t="s">
        <v>19</v>
      </c>
      <c r="G817" t="s">
        <v>20</v>
      </c>
      <c r="H817" t="s">
        <v>20</v>
      </c>
      <c r="I817" t="s">
        <v>21</v>
      </c>
      <c r="J817" t="s">
        <v>45</v>
      </c>
      <c r="K817">
        <v>6</v>
      </c>
      <c r="L817">
        <v>106.566666666667</v>
      </c>
      <c r="M817" t="s">
        <v>30</v>
      </c>
      <c r="N817" t="str">
        <f>_xlfn.XLOOKUP(A817,[1]!brca_metabric_clinical_data__2[Patient ID], [1]!brca_metabric_clinical_data__2[Tumor Size])</f>
        <v>20</v>
      </c>
      <c r="O817" t="str">
        <f>_xlfn.XLOOKUP(A817,[1]!brca_metabric_clinical_data__2[Sample ID],[1]!brca_metabric_clinical_data__2[Tumor Stage])</f>
        <v>1</v>
      </c>
    </row>
    <row r="818" spans="1:15" x14ac:dyDescent="0.45">
      <c r="A818" t="s">
        <v>853</v>
      </c>
      <c r="B818">
        <v>61.16</v>
      </c>
      <c r="C818" t="s">
        <v>16</v>
      </c>
      <c r="D818" t="s">
        <v>17</v>
      </c>
      <c r="E818" t="s">
        <v>18</v>
      </c>
      <c r="F818" t="s">
        <v>19</v>
      </c>
      <c r="G818" t="s">
        <v>20</v>
      </c>
      <c r="H818" t="s">
        <v>21</v>
      </c>
      <c r="I818" t="s">
        <v>21</v>
      </c>
      <c r="J818" t="s">
        <v>29</v>
      </c>
      <c r="K818">
        <v>9</v>
      </c>
      <c r="L818">
        <v>256.86666666666702</v>
      </c>
      <c r="M818" t="s">
        <v>30</v>
      </c>
      <c r="N818" t="str">
        <f>_xlfn.XLOOKUP(A818,[1]!brca_metabric_clinical_data__2[Patient ID], [1]!brca_metabric_clinical_data__2[Tumor Size])</f>
        <v>15</v>
      </c>
      <c r="O818" t="str">
        <f>_xlfn.XLOOKUP(A818,[1]!brca_metabric_clinical_data__2[Sample ID],[1]!brca_metabric_clinical_data__2[Tumor Stage])</f>
        <v>1</v>
      </c>
    </row>
    <row r="819" spans="1:15" x14ac:dyDescent="0.45">
      <c r="A819" t="s">
        <v>854</v>
      </c>
      <c r="B819">
        <v>66.37</v>
      </c>
      <c r="C819" t="s">
        <v>16</v>
      </c>
      <c r="D819" t="s">
        <v>17</v>
      </c>
      <c r="E819" t="s">
        <v>18</v>
      </c>
      <c r="F819" t="s">
        <v>19</v>
      </c>
      <c r="G819" t="s">
        <v>20</v>
      </c>
      <c r="H819" t="s">
        <v>21</v>
      </c>
      <c r="I819" t="s">
        <v>21</v>
      </c>
      <c r="J819" t="s">
        <v>22</v>
      </c>
      <c r="K819">
        <v>3</v>
      </c>
      <c r="L819">
        <v>188.36666666666699</v>
      </c>
      <c r="M819" t="s">
        <v>24</v>
      </c>
      <c r="N819" t="str">
        <f>_xlfn.XLOOKUP(A819,[1]!brca_metabric_clinical_data__2[Patient ID], [1]!brca_metabric_clinical_data__2[Tumor Size])</f>
        <v>18</v>
      </c>
      <c r="O819" t="str">
        <f>_xlfn.XLOOKUP(A819,[1]!brca_metabric_clinical_data__2[Sample ID],[1]!brca_metabric_clinical_data__2[Tumor Stage])</f>
        <v>1</v>
      </c>
    </row>
    <row r="820" spans="1:15" x14ac:dyDescent="0.45">
      <c r="A820" t="s">
        <v>855</v>
      </c>
      <c r="B820">
        <v>64.91</v>
      </c>
      <c r="C820" t="s">
        <v>16</v>
      </c>
      <c r="D820" t="s">
        <v>17</v>
      </c>
      <c r="E820" t="s">
        <v>18</v>
      </c>
      <c r="F820" t="s">
        <v>43</v>
      </c>
      <c r="G820" t="s">
        <v>20</v>
      </c>
      <c r="H820" t="s">
        <v>21</v>
      </c>
      <c r="I820" t="s">
        <v>20</v>
      </c>
      <c r="J820" t="s">
        <v>29</v>
      </c>
      <c r="K820">
        <v>2</v>
      </c>
      <c r="L820">
        <v>44.733333333333299</v>
      </c>
      <c r="M820" t="s">
        <v>30</v>
      </c>
      <c r="N820" t="str">
        <f>_xlfn.XLOOKUP(A820,[1]!brca_metabric_clinical_data__2[Patient ID], [1]!brca_metabric_clinical_data__2[Tumor Size])</f>
        <v>35</v>
      </c>
      <c r="O820" t="str">
        <f>_xlfn.XLOOKUP(A820,[1]!brca_metabric_clinical_data__2[Sample ID],[1]!brca_metabric_clinical_data__2[Tumor Stage])</f>
        <v>2</v>
      </c>
    </row>
    <row r="821" spans="1:15" x14ac:dyDescent="0.45">
      <c r="A821" t="s">
        <v>856</v>
      </c>
      <c r="B821">
        <v>73.150000000000006</v>
      </c>
      <c r="C821" t="s">
        <v>16</v>
      </c>
      <c r="D821" t="s">
        <v>17</v>
      </c>
      <c r="E821" t="s">
        <v>18</v>
      </c>
      <c r="F821" t="s">
        <v>19</v>
      </c>
      <c r="G821" t="s">
        <v>20</v>
      </c>
      <c r="H821" t="s">
        <v>20</v>
      </c>
      <c r="I821" t="s">
        <v>20</v>
      </c>
      <c r="J821" t="s">
        <v>45</v>
      </c>
      <c r="K821">
        <v>6</v>
      </c>
      <c r="L821">
        <v>11.7</v>
      </c>
      <c r="M821" t="s">
        <v>30</v>
      </c>
      <c r="N821" t="str">
        <f>_xlfn.XLOOKUP(A821,[1]!brca_metabric_clinical_data__2[Patient ID], [1]!brca_metabric_clinical_data__2[Tumor Size])</f>
        <v>25</v>
      </c>
      <c r="O821" t="str">
        <f>_xlfn.XLOOKUP(A821,[1]!brca_metabric_clinical_data__2[Sample ID],[1]!brca_metabric_clinical_data__2[Tumor Stage])</f>
        <v>2</v>
      </c>
    </row>
    <row r="822" spans="1:15" x14ac:dyDescent="0.45">
      <c r="A822" t="s">
        <v>857</v>
      </c>
      <c r="B822">
        <v>72.36</v>
      </c>
      <c r="C822" t="s">
        <v>16</v>
      </c>
      <c r="D822" t="s">
        <v>17</v>
      </c>
      <c r="E822" t="s">
        <v>18</v>
      </c>
      <c r="F822" t="s">
        <v>817</v>
      </c>
      <c r="G822" t="s">
        <v>20</v>
      </c>
      <c r="H822" t="s">
        <v>21</v>
      </c>
      <c r="I822" t="s">
        <v>21</v>
      </c>
      <c r="J822" t="s">
        <v>27</v>
      </c>
      <c r="K822">
        <v>8</v>
      </c>
      <c r="L822">
        <v>193.166666666667</v>
      </c>
      <c r="M822" t="s">
        <v>24</v>
      </c>
      <c r="N822" t="str">
        <f>_xlfn.XLOOKUP(A822,[1]!brca_metabric_clinical_data__2[Patient ID], [1]!brca_metabric_clinical_data__2[Tumor Size])</f>
        <v>22</v>
      </c>
      <c r="O822" t="str">
        <f>_xlfn.XLOOKUP(A822,[1]!brca_metabric_clinical_data__2[Sample ID],[1]!brca_metabric_clinical_data__2[Tumor Stage])</f>
        <v>NA</v>
      </c>
    </row>
    <row r="823" spans="1:15" x14ac:dyDescent="0.45">
      <c r="A823" t="s">
        <v>858</v>
      </c>
      <c r="B823">
        <v>63.23</v>
      </c>
      <c r="C823" t="s">
        <v>16</v>
      </c>
      <c r="D823" t="s">
        <v>17</v>
      </c>
      <c r="E823" t="s">
        <v>37</v>
      </c>
      <c r="F823" t="s">
        <v>19</v>
      </c>
      <c r="G823" t="s">
        <v>20</v>
      </c>
      <c r="H823" t="s">
        <v>20</v>
      </c>
      <c r="I823" t="s">
        <v>21</v>
      </c>
      <c r="J823" t="s">
        <v>45</v>
      </c>
      <c r="K823">
        <v>8</v>
      </c>
      <c r="L823">
        <v>277.36666666666702</v>
      </c>
      <c r="M823" t="s">
        <v>30</v>
      </c>
      <c r="N823" t="str">
        <f>_xlfn.XLOOKUP(A823,[1]!brca_metabric_clinical_data__2[Patient ID], [1]!brca_metabric_clinical_data__2[Tumor Size])</f>
        <v>25</v>
      </c>
      <c r="O823" t="str">
        <f>_xlfn.XLOOKUP(A823,[1]!brca_metabric_clinical_data__2[Sample ID],[1]!brca_metabric_clinical_data__2[Tumor Stage])</f>
        <v>2</v>
      </c>
    </row>
    <row r="824" spans="1:15" x14ac:dyDescent="0.45">
      <c r="A824" t="s">
        <v>859</v>
      </c>
      <c r="B824">
        <v>76.13</v>
      </c>
      <c r="C824" t="s">
        <v>16</v>
      </c>
      <c r="D824" t="s">
        <v>17</v>
      </c>
      <c r="E824" t="s">
        <v>37</v>
      </c>
      <c r="F824" t="s">
        <v>35</v>
      </c>
      <c r="G824" t="s">
        <v>20</v>
      </c>
      <c r="H824" t="s">
        <v>20</v>
      </c>
      <c r="I824" t="s">
        <v>20</v>
      </c>
      <c r="J824" t="s">
        <v>45</v>
      </c>
      <c r="K824" t="s">
        <v>39</v>
      </c>
      <c r="L824">
        <v>11.3</v>
      </c>
      <c r="M824" t="s">
        <v>30</v>
      </c>
      <c r="N824" t="str">
        <f>_xlfn.XLOOKUP(A824,[1]!brca_metabric_clinical_data__2[Patient ID], [1]!brca_metabric_clinical_data__2[Tumor Size])</f>
        <v>30</v>
      </c>
      <c r="O824" t="str">
        <f>_xlfn.XLOOKUP(A824,[1]!brca_metabric_clinical_data__2[Sample ID],[1]!brca_metabric_clinical_data__2[Tumor Stage])</f>
        <v>NA</v>
      </c>
    </row>
    <row r="825" spans="1:15" x14ac:dyDescent="0.45">
      <c r="A825" t="s">
        <v>860</v>
      </c>
      <c r="B825">
        <v>76.17</v>
      </c>
      <c r="C825" t="s">
        <v>16</v>
      </c>
      <c r="D825" t="s">
        <v>17</v>
      </c>
      <c r="E825" t="s">
        <v>18</v>
      </c>
      <c r="F825" t="s">
        <v>19</v>
      </c>
      <c r="G825" t="s">
        <v>20</v>
      </c>
      <c r="H825" t="s">
        <v>21</v>
      </c>
      <c r="I825" t="s">
        <v>20</v>
      </c>
      <c r="J825" t="s">
        <v>29</v>
      </c>
      <c r="K825">
        <v>6</v>
      </c>
      <c r="L825">
        <v>139.30000000000001</v>
      </c>
      <c r="M825" t="s">
        <v>30</v>
      </c>
      <c r="N825" t="str">
        <f>_xlfn.XLOOKUP(A825,[1]!brca_metabric_clinical_data__2[Patient ID], [1]!brca_metabric_clinical_data__2[Tumor Size])</f>
        <v>40</v>
      </c>
      <c r="O825" t="str">
        <f>_xlfn.XLOOKUP(A825,[1]!brca_metabric_clinical_data__2[Sample ID],[1]!brca_metabric_clinical_data__2[Tumor Stage])</f>
        <v>2</v>
      </c>
    </row>
    <row r="826" spans="1:15" x14ac:dyDescent="0.45">
      <c r="A826" t="s">
        <v>861</v>
      </c>
      <c r="B826">
        <v>71.319999999999993</v>
      </c>
      <c r="C826" t="s">
        <v>16</v>
      </c>
      <c r="D826" t="s">
        <v>17</v>
      </c>
      <c r="E826" t="s">
        <v>18</v>
      </c>
      <c r="F826" t="s">
        <v>19</v>
      </c>
      <c r="G826" t="s">
        <v>20</v>
      </c>
      <c r="H826" t="s">
        <v>21</v>
      </c>
      <c r="I826" t="s">
        <v>20</v>
      </c>
      <c r="J826" t="s">
        <v>27</v>
      </c>
      <c r="K826">
        <v>7</v>
      </c>
      <c r="L826">
        <v>105.666666666667</v>
      </c>
      <c r="M826" t="s">
        <v>30</v>
      </c>
      <c r="N826" t="str">
        <f>_xlfn.XLOOKUP(A826,[1]!brca_metabric_clinical_data__2[Patient ID], [1]!brca_metabric_clinical_data__2[Tumor Size])</f>
        <v>20</v>
      </c>
      <c r="O826" t="str">
        <f>_xlfn.XLOOKUP(A826,[1]!brca_metabric_clinical_data__2[Sample ID],[1]!brca_metabric_clinical_data__2[Tumor Stage])</f>
        <v>NA</v>
      </c>
    </row>
    <row r="827" spans="1:15" x14ac:dyDescent="0.45">
      <c r="A827" t="s">
        <v>862</v>
      </c>
      <c r="B827">
        <v>56.14</v>
      </c>
      <c r="C827" t="s">
        <v>16</v>
      </c>
      <c r="D827" t="s">
        <v>17</v>
      </c>
      <c r="E827" t="s">
        <v>37</v>
      </c>
      <c r="F827" t="s">
        <v>35</v>
      </c>
      <c r="G827" t="s">
        <v>20</v>
      </c>
      <c r="H827" t="s">
        <v>21</v>
      </c>
      <c r="I827" t="s">
        <v>21</v>
      </c>
      <c r="J827" t="s">
        <v>58</v>
      </c>
      <c r="K827">
        <v>1</v>
      </c>
      <c r="L827">
        <v>124.1</v>
      </c>
      <c r="M827" t="s">
        <v>24</v>
      </c>
      <c r="N827" t="str">
        <f>_xlfn.XLOOKUP(A827,[1]!brca_metabric_clinical_data__2[Patient ID], [1]!brca_metabric_clinical_data__2[Tumor Size])</f>
        <v>25</v>
      </c>
      <c r="O827" t="str">
        <f>_xlfn.XLOOKUP(A827,[1]!brca_metabric_clinical_data__2[Sample ID],[1]!brca_metabric_clinical_data__2[Tumor Stage])</f>
        <v>2</v>
      </c>
    </row>
    <row r="828" spans="1:15" x14ac:dyDescent="0.45">
      <c r="A828" t="s">
        <v>863</v>
      </c>
      <c r="B828">
        <v>82.17</v>
      </c>
      <c r="C828" t="s">
        <v>16</v>
      </c>
      <c r="D828" t="s">
        <v>17</v>
      </c>
      <c r="E828" t="s">
        <v>18</v>
      </c>
      <c r="F828" t="s">
        <v>19</v>
      </c>
      <c r="G828" t="s">
        <v>20</v>
      </c>
      <c r="H828" t="s">
        <v>21</v>
      </c>
      <c r="I828" t="s">
        <v>21</v>
      </c>
      <c r="J828" t="s">
        <v>27</v>
      </c>
      <c r="K828" t="s">
        <v>23</v>
      </c>
      <c r="L828">
        <v>15.2</v>
      </c>
      <c r="M828" t="s">
        <v>30</v>
      </c>
      <c r="N828" t="str">
        <f>_xlfn.XLOOKUP(A828,[1]!brca_metabric_clinical_data__2[Patient ID], [1]!brca_metabric_clinical_data__2[Tumor Size])</f>
        <v>22</v>
      </c>
      <c r="O828" t="str">
        <f>_xlfn.XLOOKUP(A828,[1]!brca_metabric_clinical_data__2[Sample ID],[1]!brca_metabric_clinical_data__2[Tumor Stage])</f>
        <v>3</v>
      </c>
    </row>
    <row r="829" spans="1:15" x14ac:dyDescent="0.45">
      <c r="A829" t="s">
        <v>864</v>
      </c>
      <c r="B829">
        <v>59.24</v>
      </c>
      <c r="C829" t="s">
        <v>16</v>
      </c>
      <c r="D829" t="s">
        <v>17</v>
      </c>
      <c r="E829" t="s">
        <v>18</v>
      </c>
      <c r="F829" t="s">
        <v>19</v>
      </c>
      <c r="G829" t="s">
        <v>20</v>
      </c>
      <c r="H829" t="s">
        <v>20</v>
      </c>
      <c r="I829" t="s">
        <v>20</v>
      </c>
      <c r="J829" t="s">
        <v>45</v>
      </c>
      <c r="K829">
        <v>8</v>
      </c>
      <c r="L829">
        <v>298.03333333333302</v>
      </c>
      <c r="M829" t="s">
        <v>30</v>
      </c>
      <c r="N829" t="str">
        <f>_xlfn.XLOOKUP(A829,[1]!brca_metabric_clinical_data__2[Patient ID], [1]!brca_metabric_clinical_data__2[Tumor Size])</f>
        <v>13</v>
      </c>
      <c r="O829" t="str">
        <f>_xlfn.XLOOKUP(A829,[1]!brca_metabric_clinical_data__2[Sample ID],[1]!brca_metabric_clinical_data__2[Tumor Stage])</f>
        <v>1</v>
      </c>
    </row>
    <row r="830" spans="1:15" x14ac:dyDescent="0.45">
      <c r="A830" t="s">
        <v>865</v>
      </c>
      <c r="B830">
        <v>50.23</v>
      </c>
      <c r="C830" t="s">
        <v>16</v>
      </c>
      <c r="D830" t="s">
        <v>17</v>
      </c>
      <c r="E830" t="s">
        <v>18</v>
      </c>
      <c r="F830" t="s">
        <v>19</v>
      </c>
      <c r="G830" t="s">
        <v>20</v>
      </c>
      <c r="H830" t="s">
        <v>21</v>
      </c>
      <c r="I830" t="s">
        <v>21</v>
      </c>
      <c r="J830" t="s">
        <v>38</v>
      </c>
      <c r="K830">
        <v>3</v>
      </c>
      <c r="L830">
        <v>172</v>
      </c>
      <c r="M830" t="s">
        <v>30</v>
      </c>
      <c r="N830" t="str">
        <f>_xlfn.XLOOKUP(A830,[1]!brca_metabric_clinical_data__2[Patient ID], [1]!brca_metabric_clinical_data__2[Tumor Size])</f>
        <v>25</v>
      </c>
      <c r="O830" t="str">
        <f>_xlfn.XLOOKUP(A830,[1]!brca_metabric_clinical_data__2[Sample ID],[1]!brca_metabric_clinical_data__2[Tumor Stage])</f>
        <v>2</v>
      </c>
    </row>
    <row r="831" spans="1:15" x14ac:dyDescent="0.45">
      <c r="A831" t="s">
        <v>866</v>
      </c>
      <c r="B831">
        <v>63.17</v>
      </c>
      <c r="C831" t="s">
        <v>16</v>
      </c>
      <c r="D831" t="s">
        <v>17</v>
      </c>
      <c r="E831" t="s">
        <v>18</v>
      </c>
      <c r="F831" t="s">
        <v>19</v>
      </c>
      <c r="G831" t="s">
        <v>20</v>
      </c>
      <c r="H831" t="s">
        <v>20</v>
      </c>
      <c r="I831" t="s">
        <v>21</v>
      </c>
      <c r="J831" t="s">
        <v>45</v>
      </c>
      <c r="K831">
        <v>7</v>
      </c>
      <c r="L831">
        <v>351</v>
      </c>
      <c r="M831" t="s">
        <v>30</v>
      </c>
      <c r="N831" t="str">
        <f>_xlfn.XLOOKUP(A831,[1]!brca_metabric_clinical_data__2[Patient ID], [1]!brca_metabric_clinical_data__2[Tumor Size])</f>
        <v>22</v>
      </c>
      <c r="O831" t="str">
        <f>_xlfn.XLOOKUP(A831,[1]!brca_metabric_clinical_data__2[Sample ID],[1]!brca_metabric_clinical_data__2[Tumor Stage])</f>
        <v>2</v>
      </c>
    </row>
    <row r="832" spans="1:15" x14ac:dyDescent="0.45">
      <c r="A832" t="s">
        <v>867</v>
      </c>
      <c r="B832">
        <v>74.45</v>
      </c>
      <c r="C832" t="s">
        <v>16</v>
      </c>
      <c r="D832" t="s">
        <v>17</v>
      </c>
      <c r="E832" t="s">
        <v>18</v>
      </c>
      <c r="F832" t="s">
        <v>19</v>
      </c>
      <c r="G832" t="s">
        <v>20</v>
      </c>
      <c r="H832" t="s">
        <v>20</v>
      </c>
      <c r="I832" t="s">
        <v>20</v>
      </c>
      <c r="J832" t="s">
        <v>27</v>
      </c>
      <c r="K832" t="s">
        <v>23</v>
      </c>
      <c r="L832">
        <v>281.36666666666702</v>
      </c>
      <c r="M832" t="s">
        <v>30</v>
      </c>
      <c r="N832" t="str">
        <f>_xlfn.XLOOKUP(A832,[1]!brca_metabric_clinical_data__2[Patient ID], [1]!brca_metabric_clinical_data__2[Tumor Size])</f>
        <v>30</v>
      </c>
      <c r="O832" t="str">
        <f>_xlfn.XLOOKUP(A832,[1]!brca_metabric_clinical_data__2[Sample ID],[1]!brca_metabric_clinical_data__2[Tumor Stage])</f>
        <v>2</v>
      </c>
    </row>
    <row r="833" spans="1:15" x14ac:dyDescent="0.45">
      <c r="A833" t="s">
        <v>868</v>
      </c>
      <c r="B833">
        <v>68.55</v>
      </c>
      <c r="C833" t="s">
        <v>16</v>
      </c>
      <c r="D833" t="s">
        <v>17</v>
      </c>
      <c r="E833" t="s">
        <v>18</v>
      </c>
      <c r="F833" t="s">
        <v>19</v>
      </c>
      <c r="G833" t="s">
        <v>20</v>
      </c>
      <c r="H833" t="s">
        <v>20</v>
      </c>
      <c r="I833" t="s">
        <v>20</v>
      </c>
      <c r="J833" t="s">
        <v>45</v>
      </c>
      <c r="K833">
        <v>7</v>
      </c>
      <c r="L833">
        <v>176.36666666666699</v>
      </c>
      <c r="M833" t="s">
        <v>24</v>
      </c>
      <c r="N833" t="str">
        <f>_xlfn.XLOOKUP(A833,[1]!brca_metabric_clinical_data__2[Patient ID], [1]!brca_metabric_clinical_data__2[Tumor Size])</f>
        <v>50</v>
      </c>
      <c r="O833" t="str">
        <f>_xlfn.XLOOKUP(A833,[1]!brca_metabric_clinical_data__2[Sample ID],[1]!brca_metabric_clinical_data__2[Tumor Stage])</f>
        <v>NA</v>
      </c>
    </row>
    <row r="834" spans="1:15" x14ac:dyDescent="0.45">
      <c r="A834" t="s">
        <v>869</v>
      </c>
      <c r="B834">
        <v>65.459999999999994</v>
      </c>
      <c r="C834" t="s">
        <v>16</v>
      </c>
      <c r="D834" t="s">
        <v>17</v>
      </c>
      <c r="E834" t="s">
        <v>18</v>
      </c>
      <c r="F834" t="s">
        <v>19</v>
      </c>
      <c r="G834" t="s">
        <v>20</v>
      </c>
      <c r="H834" t="s">
        <v>21</v>
      </c>
      <c r="I834" t="s">
        <v>21</v>
      </c>
      <c r="J834" t="s">
        <v>45</v>
      </c>
      <c r="K834">
        <v>7</v>
      </c>
      <c r="L834">
        <v>67.8</v>
      </c>
      <c r="M834" t="s">
        <v>30</v>
      </c>
      <c r="N834" t="str">
        <f>_xlfn.XLOOKUP(A834,[1]!brca_metabric_clinical_data__2[Patient ID], [1]!brca_metabric_clinical_data__2[Tumor Size])</f>
        <v>20</v>
      </c>
      <c r="O834" t="str">
        <f>_xlfn.XLOOKUP(A834,[1]!brca_metabric_clinical_data__2[Sample ID],[1]!brca_metabric_clinical_data__2[Tumor Stage])</f>
        <v>2</v>
      </c>
    </row>
    <row r="835" spans="1:15" x14ac:dyDescent="0.45">
      <c r="A835" t="s">
        <v>870</v>
      </c>
      <c r="B835">
        <v>56.19</v>
      </c>
      <c r="C835" t="s">
        <v>16</v>
      </c>
      <c r="D835" t="s">
        <v>17</v>
      </c>
      <c r="E835" t="s">
        <v>18</v>
      </c>
      <c r="F835" t="s">
        <v>19</v>
      </c>
      <c r="G835" t="s">
        <v>20</v>
      </c>
      <c r="H835" t="s">
        <v>20</v>
      </c>
      <c r="I835" t="s">
        <v>20</v>
      </c>
      <c r="J835" t="s">
        <v>27</v>
      </c>
      <c r="K835">
        <v>8</v>
      </c>
      <c r="L835">
        <v>217.1</v>
      </c>
      <c r="M835" t="s">
        <v>30</v>
      </c>
      <c r="N835" t="str">
        <f>_xlfn.XLOOKUP(A835,[1]!brca_metabric_clinical_data__2[Patient ID], [1]!brca_metabric_clinical_data__2[Tumor Size])</f>
        <v>10</v>
      </c>
      <c r="O835" t="str">
        <f>_xlfn.XLOOKUP(A835,[1]!brca_metabric_clinical_data__2[Sample ID],[1]!brca_metabric_clinical_data__2[Tumor Stage])</f>
        <v>NA</v>
      </c>
    </row>
    <row r="836" spans="1:15" x14ac:dyDescent="0.45">
      <c r="A836" t="s">
        <v>871</v>
      </c>
      <c r="B836">
        <v>73.2</v>
      </c>
      <c r="C836" t="s">
        <v>16</v>
      </c>
      <c r="D836" t="s">
        <v>17</v>
      </c>
      <c r="E836" t="s">
        <v>18</v>
      </c>
      <c r="F836" t="s">
        <v>19</v>
      </c>
      <c r="G836" t="s">
        <v>20</v>
      </c>
      <c r="H836" t="s">
        <v>20</v>
      </c>
      <c r="I836" t="s">
        <v>21</v>
      </c>
      <c r="J836" t="s">
        <v>45</v>
      </c>
      <c r="K836">
        <v>7</v>
      </c>
      <c r="L836">
        <v>174.8</v>
      </c>
      <c r="M836" t="s">
        <v>30</v>
      </c>
      <c r="N836" t="str">
        <f>_xlfn.XLOOKUP(A836,[1]!brca_metabric_clinical_data__2[Patient ID], [1]!brca_metabric_clinical_data__2[Tumor Size])</f>
        <v>30</v>
      </c>
      <c r="O836" t="str">
        <f>_xlfn.XLOOKUP(A836,[1]!brca_metabric_clinical_data__2[Sample ID],[1]!brca_metabric_clinical_data__2[Tumor Stage])</f>
        <v>2</v>
      </c>
    </row>
    <row r="837" spans="1:15" x14ac:dyDescent="0.45">
      <c r="A837" t="s">
        <v>872</v>
      </c>
      <c r="B837">
        <v>54.35</v>
      </c>
      <c r="C837" t="s">
        <v>16</v>
      </c>
      <c r="D837" t="s">
        <v>17</v>
      </c>
      <c r="E837" t="s">
        <v>37</v>
      </c>
      <c r="F837" t="s">
        <v>43</v>
      </c>
      <c r="G837" t="s">
        <v>21</v>
      </c>
      <c r="H837" t="s">
        <v>21</v>
      </c>
      <c r="I837" t="s">
        <v>21</v>
      </c>
      <c r="J837" t="s">
        <v>45</v>
      </c>
      <c r="K837">
        <v>5</v>
      </c>
      <c r="L837">
        <v>258.16666666666703</v>
      </c>
      <c r="M837" t="s">
        <v>30</v>
      </c>
      <c r="N837" t="str">
        <f>_xlfn.XLOOKUP(A837,[1]!brca_metabric_clinical_data__2[Patient ID], [1]!brca_metabric_clinical_data__2[Tumor Size])</f>
        <v>40</v>
      </c>
      <c r="O837" t="str">
        <f>_xlfn.XLOOKUP(A837,[1]!brca_metabric_clinical_data__2[Sample ID],[1]!brca_metabric_clinical_data__2[Tumor Stage])</f>
        <v>3</v>
      </c>
    </row>
    <row r="838" spans="1:15" x14ac:dyDescent="0.45">
      <c r="A838" t="s">
        <v>873</v>
      </c>
      <c r="B838">
        <v>63.05</v>
      </c>
      <c r="C838" t="s">
        <v>16</v>
      </c>
      <c r="D838" t="s">
        <v>17</v>
      </c>
      <c r="E838" t="s">
        <v>18</v>
      </c>
      <c r="F838" t="s">
        <v>19</v>
      </c>
      <c r="G838" t="s">
        <v>20</v>
      </c>
      <c r="H838" t="s">
        <v>20</v>
      </c>
      <c r="I838" t="s">
        <v>20</v>
      </c>
      <c r="J838" t="s">
        <v>29</v>
      </c>
      <c r="K838">
        <v>8</v>
      </c>
      <c r="L838">
        <v>165.4</v>
      </c>
      <c r="M838" t="s">
        <v>30</v>
      </c>
      <c r="N838" t="str">
        <f>_xlfn.XLOOKUP(A838,[1]!brca_metabric_clinical_data__2[Patient ID], [1]!brca_metabric_clinical_data__2[Tumor Size])</f>
        <v>20</v>
      </c>
      <c r="O838" t="str">
        <f>_xlfn.XLOOKUP(A838,[1]!brca_metabric_clinical_data__2[Sample ID],[1]!brca_metabric_clinical_data__2[Tumor Stage])</f>
        <v>1</v>
      </c>
    </row>
    <row r="839" spans="1:15" x14ac:dyDescent="0.45">
      <c r="A839" t="s">
        <v>874</v>
      </c>
      <c r="B839">
        <v>71.17</v>
      </c>
      <c r="C839" t="s">
        <v>16</v>
      </c>
      <c r="D839" t="s">
        <v>17</v>
      </c>
      <c r="E839" t="s">
        <v>18</v>
      </c>
      <c r="F839" t="s">
        <v>19</v>
      </c>
      <c r="G839" t="s">
        <v>20</v>
      </c>
      <c r="H839" t="s">
        <v>20</v>
      </c>
      <c r="I839" t="s">
        <v>21</v>
      </c>
      <c r="J839" t="s">
        <v>27</v>
      </c>
      <c r="K839">
        <v>8</v>
      </c>
      <c r="L839">
        <v>114.5</v>
      </c>
      <c r="M839" t="s">
        <v>30</v>
      </c>
      <c r="N839" t="str">
        <f>_xlfn.XLOOKUP(A839,[1]!brca_metabric_clinical_data__2[Patient ID], [1]!brca_metabric_clinical_data__2[Tumor Size])</f>
        <v>23</v>
      </c>
      <c r="O839" t="str">
        <f>_xlfn.XLOOKUP(A839,[1]!brca_metabric_clinical_data__2[Sample ID],[1]!brca_metabric_clinical_data__2[Tumor Stage])</f>
        <v>2</v>
      </c>
    </row>
    <row r="840" spans="1:15" x14ac:dyDescent="0.45">
      <c r="A840" t="s">
        <v>875</v>
      </c>
      <c r="B840">
        <v>58.32</v>
      </c>
      <c r="C840" t="s">
        <v>16</v>
      </c>
      <c r="D840" t="s">
        <v>17</v>
      </c>
      <c r="E840" t="s">
        <v>18</v>
      </c>
      <c r="F840" t="s">
        <v>19</v>
      </c>
      <c r="G840" t="s">
        <v>20</v>
      </c>
      <c r="H840" t="s">
        <v>20</v>
      </c>
      <c r="I840" t="s">
        <v>21</v>
      </c>
      <c r="J840" t="s">
        <v>45</v>
      </c>
      <c r="K840">
        <v>7</v>
      </c>
      <c r="L840">
        <v>147.833333333333</v>
      </c>
      <c r="M840" t="s">
        <v>30</v>
      </c>
      <c r="N840" t="str">
        <f>_xlfn.XLOOKUP(A840,[1]!brca_metabric_clinical_data__2[Patient ID], [1]!brca_metabric_clinical_data__2[Tumor Size])</f>
        <v>15</v>
      </c>
      <c r="O840" t="str">
        <f>_xlfn.XLOOKUP(A840,[1]!brca_metabric_clinical_data__2[Sample ID],[1]!brca_metabric_clinical_data__2[Tumor Stage])</f>
        <v>NA</v>
      </c>
    </row>
    <row r="841" spans="1:15" x14ac:dyDescent="0.45">
      <c r="A841" t="s">
        <v>876</v>
      </c>
      <c r="B841">
        <v>60.33</v>
      </c>
      <c r="C841" t="s">
        <v>16</v>
      </c>
      <c r="D841" t="s">
        <v>17</v>
      </c>
      <c r="E841" t="s">
        <v>18</v>
      </c>
      <c r="F841" t="s">
        <v>19</v>
      </c>
      <c r="G841" t="s">
        <v>20</v>
      </c>
      <c r="H841" t="s">
        <v>20</v>
      </c>
      <c r="I841" t="s">
        <v>21</v>
      </c>
      <c r="J841" t="s">
        <v>45</v>
      </c>
      <c r="K841" t="s">
        <v>23</v>
      </c>
      <c r="L841">
        <v>217.63333333333301</v>
      </c>
      <c r="M841" t="s">
        <v>30</v>
      </c>
      <c r="N841" t="str">
        <f>_xlfn.XLOOKUP(A841,[1]!brca_metabric_clinical_data__2[Patient ID], [1]!brca_metabric_clinical_data__2[Tumor Size])</f>
        <v>20</v>
      </c>
      <c r="O841" t="str">
        <f>_xlfn.XLOOKUP(A841,[1]!brca_metabric_clinical_data__2[Sample ID],[1]!brca_metabric_clinical_data__2[Tumor Stage])</f>
        <v>1</v>
      </c>
    </row>
    <row r="842" spans="1:15" x14ac:dyDescent="0.45">
      <c r="A842" t="s">
        <v>877</v>
      </c>
      <c r="B842">
        <v>43.06</v>
      </c>
      <c r="C842" t="s">
        <v>16</v>
      </c>
      <c r="D842" t="s">
        <v>26</v>
      </c>
      <c r="E842" t="s">
        <v>37</v>
      </c>
      <c r="F842" t="s">
        <v>19</v>
      </c>
      <c r="G842" t="s">
        <v>21</v>
      </c>
      <c r="H842" t="s">
        <v>20</v>
      </c>
      <c r="I842" t="s">
        <v>21</v>
      </c>
      <c r="J842" t="s">
        <v>58</v>
      </c>
      <c r="K842" t="s">
        <v>39</v>
      </c>
      <c r="L842">
        <v>15.633333333333301</v>
      </c>
      <c r="M842" t="s">
        <v>30</v>
      </c>
      <c r="N842" t="str">
        <f>_xlfn.XLOOKUP(A842,[1]!brca_metabric_clinical_data__2[Patient ID], [1]!brca_metabric_clinical_data__2[Tumor Size])</f>
        <v>20</v>
      </c>
      <c r="O842" t="str">
        <f>_xlfn.XLOOKUP(A842,[1]!brca_metabric_clinical_data__2[Sample ID],[1]!brca_metabric_clinical_data__2[Tumor Stage])</f>
        <v>2</v>
      </c>
    </row>
    <row r="843" spans="1:15" x14ac:dyDescent="0.45">
      <c r="A843" t="s">
        <v>878</v>
      </c>
      <c r="B843">
        <v>57.85</v>
      </c>
      <c r="C843" t="s">
        <v>16</v>
      </c>
      <c r="D843" t="s">
        <v>17</v>
      </c>
      <c r="E843" t="s">
        <v>18</v>
      </c>
      <c r="F843" t="s">
        <v>19</v>
      </c>
      <c r="G843" t="s">
        <v>20</v>
      </c>
      <c r="H843" t="s">
        <v>21</v>
      </c>
      <c r="I843" t="s">
        <v>20</v>
      </c>
      <c r="J843" t="s">
        <v>29</v>
      </c>
      <c r="K843">
        <v>9</v>
      </c>
      <c r="L843">
        <v>63.033333333333303</v>
      </c>
      <c r="M843" t="s">
        <v>30</v>
      </c>
      <c r="N843" t="str">
        <f>_xlfn.XLOOKUP(A843,[1]!brca_metabric_clinical_data__2[Patient ID], [1]!brca_metabric_clinical_data__2[Tumor Size])</f>
        <v>35</v>
      </c>
      <c r="O843" t="str">
        <f>_xlfn.XLOOKUP(A843,[1]!brca_metabric_clinical_data__2[Sample ID],[1]!brca_metabric_clinical_data__2[Tumor Stage])</f>
        <v>NA</v>
      </c>
    </row>
    <row r="844" spans="1:15" x14ac:dyDescent="0.45">
      <c r="A844" t="s">
        <v>879</v>
      </c>
      <c r="B844">
        <v>54.22</v>
      </c>
      <c r="C844" t="s">
        <v>16</v>
      </c>
      <c r="D844" t="s">
        <v>17</v>
      </c>
      <c r="E844" t="s">
        <v>18</v>
      </c>
      <c r="F844" t="s">
        <v>19</v>
      </c>
      <c r="G844" t="s">
        <v>20</v>
      </c>
      <c r="H844" t="s">
        <v>20</v>
      </c>
      <c r="I844" t="s">
        <v>21</v>
      </c>
      <c r="J844" t="s">
        <v>29</v>
      </c>
      <c r="K844" t="s">
        <v>23</v>
      </c>
      <c r="L844">
        <v>49.566666666666698</v>
      </c>
      <c r="M844" t="s">
        <v>30</v>
      </c>
      <c r="N844" t="str">
        <f>_xlfn.XLOOKUP(A844,[1]!brca_metabric_clinical_data__2[Patient ID], [1]!brca_metabric_clinical_data__2[Tumor Size])</f>
        <v>30</v>
      </c>
      <c r="O844" t="str">
        <f>_xlfn.XLOOKUP(A844,[1]!brca_metabric_clinical_data__2[Sample ID],[1]!brca_metabric_clinical_data__2[Tumor Stage])</f>
        <v>2</v>
      </c>
    </row>
    <row r="845" spans="1:15" x14ac:dyDescent="0.45">
      <c r="A845" t="s">
        <v>880</v>
      </c>
      <c r="B845">
        <v>64.209999999999994</v>
      </c>
      <c r="C845" t="s">
        <v>16</v>
      </c>
      <c r="D845" t="s">
        <v>17</v>
      </c>
      <c r="E845" t="s">
        <v>18</v>
      </c>
      <c r="F845" t="s">
        <v>43</v>
      </c>
      <c r="G845" t="s">
        <v>20</v>
      </c>
      <c r="H845" t="s">
        <v>20</v>
      </c>
      <c r="I845" t="s">
        <v>20</v>
      </c>
      <c r="J845" t="s">
        <v>45</v>
      </c>
      <c r="K845">
        <v>9</v>
      </c>
      <c r="L845">
        <v>184.7</v>
      </c>
      <c r="M845" t="s">
        <v>30</v>
      </c>
      <c r="N845" t="str">
        <f>_xlfn.XLOOKUP(A845,[1]!brca_metabric_clinical_data__2[Patient ID], [1]!brca_metabric_clinical_data__2[Tumor Size])</f>
        <v>43</v>
      </c>
      <c r="O845" t="str">
        <f>_xlfn.XLOOKUP(A845,[1]!brca_metabric_clinical_data__2[Sample ID],[1]!brca_metabric_clinical_data__2[Tumor Stage])</f>
        <v>2</v>
      </c>
    </row>
    <row r="846" spans="1:15" x14ac:dyDescent="0.45">
      <c r="A846" t="s">
        <v>881</v>
      </c>
      <c r="B846">
        <v>74.31</v>
      </c>
      <c r="C846" t="s">
        <v>16</v>
      </c>
      <c r="D846" t="s">
        <v>17</v>
      </c>
      <c r="E846" t="s">
        <v>18</v>
      </c>
      <c r="F846" t="s">
        <v>19</v>
      </c>
      <c r="G846" t="s">
        <v>20</v>
      </c>
      <c r="H846" t="s">
        <v>21</v>
      </c>
      <c r="I846" t="s">
        <v>21</v>
      </c>
      <c r="J846" t="s">
        <v>27</v>
      </c>
      <c r="K846">
        <v>7</v>
      </c>
      <c r="L846">
        <v>160.333333333333</v>
      </c>
      <c r="M846" t="s">
        <v>30</v>
      </c>
      <c r="N846" t="str">
        <f>_xlfn.XLOOKUP(A846,[1]!brca_metabric_clinical_data__2[Patient ID], [1]!brca_metabric_clinical_data__2[Tumor Size])</f>
        <v>10</v>
      </c>
      <c r="O846" t="str">
        <f>_xlfn.XLOOKUP(A846,[1]!brca_metabric_clinical_data__2[Sample ID],[1]!brca_metabric_clinical_data__2[Tumor Stage])</f>
        <v>2</v>
      </c>
    </row>
    <row r="847" spans="1:15" x14ac:dyDescent="0.45">
      <c r="A847" t="s">
        <v>882</v>
      </c>
      <c r="B847">
        <v>60.99</v>
      </c>
      <c r="C847" t="s">
        <v>16</v>
      </c>
      <c r="D847" t="s">
        <v>17</v>
      </c>
      <c r="E847" t="s">
        <v>18</v>
      </c>
      <c r="F847" t="s">
        <v>19</v>
      </c>
      <c r="G847" t="s">
        <v>20</v>
      </c>
      <c r="H847" t="s">
        <v>21</v>
      </c>
      <c r="I847" t="s">
        <v>21</v>
      </c>
      <c r="J847" t="s">
        <v>45</v>
      </c>
      <c r="K847">
        <v>2</v>
      </c>
      <c r="L847">
        <v>355.2</v>
      </c>
      <c r="M847" t="s">
        <v>30</v>
      </c>
      <c r="N847" t="str">
        <f>_xlfn.XLOOKUP(A847,[1]!brca_metabric_clinical_data__2[Patient ID], [1]!brca_metabric_clinical_data__2[Tumor Size])</f>
        <v>NA</v>
      </c>
      <c r="O847" t="str">
        <f>_xlfn.XLOOKUP(A847,[1]!brca_metabric_clinical_data__2[Sample ID],[1]!brca_metabric_clinical_data__2[Tumor Stage])</f>
        <v>NA</v>
      </c>
    </row>
    <row r="848" spans="1:15" x14ac:dyDescent="0.45">
      <c r="A848" t="s">
        <v>883</v>
      </c>
      <c r="B848">
        <v>45.5</v>
      </c>
      <c r="C848" t="s">
        <v>16</v>
      </c>
      <c r="D848" t="s">
        <v>26</v>
      </c>
      <c r="E848" t="s">
        <v>18</v>
      </c>
      <c r="F848" t="s">
        <v>19</v>
      </c>
      <c r="G848" t="s">
        <v>20</v>
      </c>
      <c r="H848" t="s">
        <v>20</v>
      </c>
      <c r="I848" t="s">
        <v>20</v>
      </c>
      <c r="J848" t="s">
        <v>27</v>
      </c>
      <c r="K848" t="s">
        <v>23</v>
      </c>
      <c r="L848">
        <v>330.36666666666702</v>
      </c>
      <c r="M848" t="s">
        <v>24</v>
      </c>
      <c r="N848" t="str">
        <f>_xlfn.XLOOKUP(A848,[1]!brca_metabric_clinical_data__2[Patient ID], [1]!brca_metabric_clinical_data__2[Tumor Size])</f>
        <v>20</v>
      </c>
      <c r="O848" t="str">
        <f>_xlfn.XLOOKUP(A848,[1]!brca_metabric_clinical_data__2[Sample ID],[1]!brca_metabric_clinical_data__2[Tumor Stage])</f>
        <v>NA</v>
      </c>
    </row>
    <row r="849" spans="1:15" x14ac:dyDescent="0.45">
      <c r="A849" t="s">
        <v>884</v>
      </c>
      <c r="B849">
        <v>67.02</v>
      </c>
      <c r="C849" t="s">
        <v>16</v>
      </c>
      <c r="D849" t="s">
        <v>17</v>
      </c>
      <c r="E849" t="s">
        <v>18</v>
      </c>
      <c r="F849" t="s">
        <v>19</v>
      </c>
      <c r="G849" t="s">
        <v>20</v>
      </c>
      <c r="H849" t="s">
        <v>21</v>
      </c>
      <c r="I849" t="s">
        <v>21</v>
      </c>
      <c r="J849" t="s">
        <v>29</v>
      </c>
      <c r="K849" t="s">
        <v>23</v>
      </c>
      <c r="L849">
        <v>84.5</v>
      </c>
      <c r="M849" t="s">
        <v>30</v>
      </c>
      <c r="N849" t="str">
        <f>_xlfn.XLOOKUP(A849,[1]!brca_metabric_clinical_data__2[Patient ID], [1]!brca_metabric_clinical_data__2[Tumor Size])</f>
        <v>30</v>
      </c>
      <c r="O849" t="str">
        <f>_xlfn.XLOOKUP(A849,[1]!brca_metabric_clinical_data__2[Sample ID],[1]!brca_metabric_clinical_data__2[Tumor Stage])</f>
        <v>2</v>
      </c>
    </row>
    <row r="850" spans="1:15" x14ac:dyDescent="0.45">
      <c r="A850" t="s">
        <v>885</v>
      </c>
      <c r="B850">
        <v>58.8</v>
      </c>
      <c r="C850" t="s">
        <v>16</v>
      </c>
      <c r="D850" t="s">
        <v>17</v>
      </c>
      <c r="E850" t="s">
        <v>18</v>
      </c>
      <c r="F850" t="s">
        <v>35</v>
      </c>
      <c r="G850" t="s">
        <v>20</v>
      </c>
      <c r="H850" t="s">
        <v>20</v>
      </c>
      <c r="I850" t="s">
        <v>20</v>
      </c>
      <c r="J850" t="s">
        <v>45</v>
      </c>
      <c r="K850">
        <v>8</v>
      </c>
      <c r="L850">
        <v>55.233333333333299</v>
      </c>
      <c r="M850" t="s">
        <v>30</v>
      </c>
      <c r="N850" t="str">
        <f>_xlfn.XLOOKUP(A850,[1]!brca_metabric_clinical_data__2[Patient ID], [1]!brca_metabric_clinical_data__2[Tumor Size])</f>
        <v>40</v>
      </c>
      <c r="O850" t="str">
        <f>_xlfn.XLOOKUP(A850,[1]!brca_metabric_clinical_data__2[Sample ID],[1]!brca_metabric_clinical_data__2[Tumor Stage])</f>
        <v>2</v>
      </c>
    </row>
    <row r="851" spans="1:15" x14ac:dyDescent="0.45">
      <c r="A851" t="s">
        <v>886</v>
      </c>
      <c r="B851">
        <v>72.39</v>
      </c>
      <c r="C851" t="s">
        <v>16</v>
      </c>
      <c r="D851" t="s">
        <v>17</v>
      </c>
      <c r="E851" t="s">
        <v>18</v>
      </c>
      <c r="F851" t="s">
        <v>19</v>
      </c>
      <c r="G851" t="s">
        <v>20</v>
      </c>
      <c r="H851" t="s">
        <v>21</v>
      </c>
      <c r="I851" t="s">
        <v>21</v>
      </c>
      <c r="J851" t="s">
        <v>613</v>
      </c>
      <c r="K851" t="s">
        <v>23</v>
      </c>
      <c r="L851">
        <v>65.5</v>
      </c>
      <c r="M851" t="s">
        <v>30</v>
      </c>
      <c r="N851" t="str">
        <f>_xlfn.XLOOKUP(A851,[1]!brca_metabric_clinical_data__2[Patient ID], [1]!brca_metabric_clinical_data__2[Tumor Size])</f>
        <v>35</v>
      </c>
      <c r="O851" t="str">
        <f>_xlfn.XLOOKUP(A851,[1]!brca_metabric_clinical_data__2[Sample ID],[1]!brca_metabric_clinical_data__2[Tumor Stage])</f>
        <v>2</v>
      </c>
    </row>
    <row r="852" spans="1:15" x14ac:dyDescent="0.45">
      <c r="A852" t="s">
        <v>887</v>
      </c>
      <c r="B852">
        <v>75.87</v>
      </c>
      <c r="C852" t="s">
        <v>16</v>
      </c>
      <c r="D852" t="s">
        <v>17</v>
      </c>
      <c r="E852" t="s">
        <v>18</v>
      </c>
      <c r="F852" t="s">
        <v>19</v>
      </c>
      <c r="G852" t="s">
        <v>20</v>
      </c>
      <c r="H852" t="s">
        <v>21</v>
      </c>
      <c r="I852" t="s">
        <v>21</v>
      </c>
      <c r="J852" t="s">
        <v>27</v>
      </c>
      <c r="K852">
        <v>7</v>
      </c>
      <c r="L852">
        <v>115.6</v>
      </c>
      <c r="M852" t="s">
        <v>30</v>
      </c>
      <c r="N852" t="str">
        <f>_xlfn.XLOOKUP(A852,[1]!brca_metabric_clinical_data__2[Patient ID], [1]!brca_metabric_clinical_data__2[Tumor Size])</f>
        <v>50</v>
      </c>
      <c r="O852" t="str">
        <f>_xlfn.XLOOKUP(A852,[1]!brca_metabric_clinical_data__2[Sample ID],[1]!brca_metabric_clinical_data__2[Tumor Stage])</f>
        <v>2</v>
      </c>
    </row>
    <row r="853" spans="1:15" x14ac:dyDescent="0.45">
      <c r="A853" t="s">
        <v>888</v>
      </c>
      <c r="B853">
        <v>54.01</v>
      </c>
      <c r="C853" t="s">
        <v>16</v>
      </c>
      <c r="D853" t="s">
        <v>17</v>
      </c>
      <c r="E853" t="s">
        <v>18</v>
      </c>
      <c r="F853" t="s">
        <v>19</v>
      </c>
      <c r="G853" t="s">
        <v>20</v>
      </c>
      <c r="H853" t="s">
        <v>21</v>
      </c>
      <c r="I853" t="s">
        <v>21</v>
      </c>
      <c r="J853" t="s">
        <v>29</v>
      </c>
      <c r="K853">
        <v>9</v>
      </c>
      <c r="L853">
        <v>36.366666666666703</v>
      </c>
      <c r="M853" t="s">
        <v>30</v>
      </c>
      <c r="N853" t="str">
        <f>_xlfn.XLOOKUP(A853,[1]!brca_metabric_clinical_data__2[Patient ID], [1]!brca_metabric_clinical_data__2[Tumor Size])</f>
        <v>30</v>
      </c>
      <c r="O853" t="str">
        <f>_xlfn.XLOOKUP(A853,[1]!brca_metabric_clinical_data__2[Sample ID],[1]!brca_metabric_clinical_data__2[Tumor Stage])</f>
        <v>2</v>
      </c>
    </row>
    <row r="854" spans="1:15" x14ac:dyDescent="0.45">
      <c r="A854" t="s">
        <v>889</v>
      </c>
      <c r="B854">
        <v>68.25</v>
      </c>
      <c r="C854" t="s">
        <v>16</v>
      </c>
      <c r="D854" t="s">
        <v>17</v>
      </c>
      <c r="E854" t="s">
        <v>18</v>
      </c>
      <c r="F854" t="s">
        <v>19</v>
      </c>
      <c r="G854" t="s">
        <v>20</v>
      </c>
      <c r="H854" t="s">
        <v>20</v>
      </c>
      <c r="I854" t="s">
        <v>20</v>
      </c>
      <c r="J854" t="s">
        <v>27</v>
      </c>
      <c r="K854" t="s">
        <v>23</v>
      </c>
      <c r="L854">
        <v>253.53333333333299</v>
      </c>
      <c r="M854" t="s">
        <v>30</v>
      </c>
      <c r="N854" t="str">
        <f>_xlfn.XLOOKUP(A854,[1]!brca_metabric_clinical_data__2[Patient ID], [1]!brca_metabric_clinical_data__2[Tumor Size])</f>
        <v>40</v>
      </c>
      <c r="O854" t="str">
        <f>_xlfn.XLOOKUP(A854,[1]!brca_metabric_clinical_data__2[Sample ID],[1]!brca_metabric_clinical_data__2[Tumor Stage])</f>
        <v>2</v>
      </c>
    </row>
    <row r="855" spans="1:15" x14ac:dyDescent="0.45">
      <c r="A855" t="s">
        <v>890</v>
      </c>
      <c r="B855">
        <v>67.459999999999994</v>
      </c>
      <c r="C855" t="s">
        <v>16</v>
      </c>
      <c r="D855" t="s">
        <v>17</v>
      </c>
      <c r="E855" t="s">
        <v>18</v>
      </c>
      <c r="F855" t="s">
        <v>19</v>
      </c>
      <c r="G855" t="s">
        <v>20</v>
      </c>
      <c r="H855" t="s">
        <v>20</v>
      </c>
      <c r="I855" t="s">
        <v>20</v>
      </c>
      <c r="J855" t="s">
        <v>58</v>
      </c>
      <c r="K855">
        <v>10</v>
      </c>
      <c r="L855">
        <v>335.73333333333301</v>
      </c>
      <c r="M855" t="s">
        <v>30</v>
      </c>
      <c r="N855" t="str">
        <f>_xlfn.XLOOKUP(A855,[1]!brca_metabric_clinical_data__2[Patient ID], [1]!brca_metabric_clinical_data__2[Tumor Size])</f>
        <v>20</v>
      </c>
      <c r="O855" t="str">
        <f>_xlfn.XLOOKUP(A855,[1]!brca_metabric_clinical_data__2[Sample ID],[1]!brca_metabric_clinical_data__2[Tumor Stage])</f>
        <v>1</v>
      </c>
    </row>
    <row r="856" spans="1:15" x14ac:dyDescent="0.45">
      <c r="A856" t="s">
        <v>891</v>
      </c>
      <c r="B856">
        <v>73.91</v>
      </c>
      <c r="C856" t="s">
        <v>16</v>
      </c>
      <c r="D856" t="s">
        <v>17</v>
      </c>
      <c r="E856" t="s">
        <v>18</v>
      </c>
      <c r="F856" t="s">
        <v>19</v>
      </c>
      <c r="G856" t="s">
        <v>20</v>
      </c>
      <c r="H856" t="s">
        <v>21</v>
      </c>
      <c r="I856" t="s">
        <v>21</v>
      </c>
      <c r="J856" t="s">
        <v>45</v>
      </c>
      <c r="K856">
        <v>9</v>
      </c>
      <c r="L856">
        <v>203.7</v>
      </c>
      <c r="M856" t="s">
        <v>30</v>
      </c>
      <c r="N856" t="str">
        <f>_xlfn.XLOOKUP(A856,[1]!brca_metabric_clinical_data__2[Patient ID], [1]!brca_metabric_clinical_data__2[Tumor Size])</f>
        <v>18</v>
      </c>
      <c r="O856" t="str">
        <f>_xlfn.XLOOKUP(A856,[1]!brca_metabric_clinical_data__2[Sample ID],[1]!brca_metabric_clinical_data__2[Tumor Stage])</f>
        <v>2</v>
      </c>
    </row>
    <row r="857" spans="1:15" x14ac:dyDescent="0.45">
      <c r="A857" t="s">
        <v>892</v>
      </c>
      <c r="B857">
        <v>80.81</v>
      </c>
      <c r="C857" t="s">
        <v>16</v>
      </c>
      <c r="D857" t="s">
        <v>17</v>
      </c>
      <c r="E857" t="s">
        <v>18</v>
      </c>
      <c r="F857" t="s">
        <v>35</v>
      </c>
      <c r="G857" t="s">
        <v>20</v>
      </c>
      <c r="H857" t="s">
        <v>21</v>
      </c>
      <c r="I857" t="s">
        <v>20</v>
      </c>
      <c r="J857" t="s">
        <v>27</v>
      </c>
      <c r="K857">
        <v>3</v>
      </c>
      <c r="L857">
        <v>100.166666666667</v>
      </c>
      <c r="M857" t="s">
        <v>30</v>
      </c>
      <c r="N857" t="str">
        <f>_xlfn.XLOOKUP(A857,[1]!brca_metabric_clinical_data__2[Patient ID], [1]!brca_metabric_clinical_data__2[Tumor Size])</f>
        <v>55</v>
      </c>
      <c r="O857" t="str">
        <f>_xlfn.XLOOKUP(A857,[1]!brca_metabric_clinical_data__2[Sample ID],[1]!brca_metabric_clinical_data__2[Tumor Stage])</f>
        <v>3</v>
      </c>
    </row>
    <row r="858" spans="1:15" x14ac:dyDescent="0.45">
      <c r="A858" t="s">
        <v>893</v>
      </c>
      <c r="B858">
        <v>68.7</v>
      </c>
      <c r="C858" t="s">
        <v>16</v>
      </c>
      <c r="D858" t="s">
        <v>17</v>
      </c>
      <c r="E858" t="s">
        <v>37</v>
      </c>
      <c r="F858" t="s">
        <v>19</v>
      </c>
      <c r="G858" t="s">
        <v>20</v>
      </c>
      <c r="H858" t="s">
        <v>21</v>
      </c>
      <c r="I858" t="s">
        <v>20</v>
      </c>
      <c r="J858" t="s">
        <v>58</v>
      </c>
      <c r="K858">
        <v>10</v>
      </c>
      <c r="L858">
        <v>178.4</v>
      </c>
      <c r="M858" t="s">
        <v>24</v>
      </c>
      <c r="N858" t="str">
        <f>_xlfn.XLOOKUP(A858,[1]!brca_metabric_clinical_data__2[Patient ID], [1]!brca_metabric_clinical_data__2[Tumor Size])</f>
        <v>30</v>
      </c>
      <c r="O858" t="str">
        <f>_xlfn.XLOOKUP(A858,[1]!brca_metabric_clinical_data__2[Sample ID],[1]!brca_metabric_clinical_data__2[Tumor Stage])</f>
        <v>NA</v>
      </c>
    </row>
    <row r="859" spans="1:15" x14ac:dyDescent="0.45">
      <c r="A859" t="s">
        <v>894</v>
      </c>
      <c r="B859">
        <v>72.17</v>
      </c>
      <c r="C859" t="s">
        <v>16</v>
      </c>
      <c r="D859" t="s">
        <v>17</v>
      </c>
      <c r="E859" t="s">
        <v>18</v>
      </c>
      <c r="F859" t="s">
        <v>43</v>
      </c>
      <c r="G859" t="s">
        <v>20</v>
      </c>
      <c r="H859" t="s">
        <v>21</v>
      </c>
      <c r="I859" t="s">
        <v>21</v>
      </c>
      <c r="J859" t="s">
        <v>27</v>
      </c>
      <c r="K859">
        <v>7</v>
      </c>
      <c r="L859">
        <v>163.19999999999999</v>
      </c>
      <c r="M859" t="s">
        <v>30</v>
      </c>
      <c r="N859" t="str">
        <f>_xlfn.XLOOKUP(A859,[1]!brca_metabric_clinical_data__2[Patient ID], [1]!brca_metabric_clinical_data__2[Tumor Size])</f>
        <v>20</v>
      </c>
      <c r="O859" t="str">
        <f>_xlfn.XLOOKUP(A859,[1]!brca_metabric_clinical_data__2[Sample ID],[1]!brca_metabric_clinical_data__2[Tumor Stage])</f>
        <v>NA</v>
      </c>
    </row>
    <row r="860" spans="1:15" x14ac:dyDescent="0.45">
      <c r="A860" t="s">
        <v>895</v>
      </c>
      <c r="B860">
        <v>28.04</v>
      </c>
      <c r="C860" t="s">
        <v>16</v>
      </c>
      <c r="D860" t="s">
        <v>26</v>
      </c>
      <c r="E860" t="s">
        <v>37</v>
      </c>
      <c r="F860" t="s">
        <v>19</v>
      </c>
      <c r="G860" t="s">
        <v>20</v>
      </c>
      <c r="H860" t="s">
        <v>20</v>
      </c>
      <c r="I860" t="s">
        <v>20</v>
      </c>
      <c r="J860" t="s">
        <v>27</v>
      </c>
      <c r="K860">
        <v>6</v>
      </c>
      <c r="L860">
        <v>33.9</v>
      </c>
      <c r="M860" t="s">
        <v>30</v>
      </c>
      <c r="N860" t="str">
        <f>_xlfn.XLOOKUP(A860,[1]!brca_metabric_clinical_data__2[Patient ID], [1]!brca_metabric_clinical_data__2[Tumor Size])</f>
        <v>45</v>
      </c>
      <c r="O860" t="str">
        <f>_xlfn.XLOOKUP(A860,[1]!brca_metabric_clinical_data__2[Sample ID],[1]!brca_metabric_clinical_data__2[Tumor Stage])</f>
        <v>2</v>
      </c>
    </row>
    <row r="861" spans="1:15" x14ac:dyDescent="0.45">
      <c r="A861" t="s">
        <v>896</v>
      </c>
      <c r="B861">
        <v>37.85</v>
      </c>
      <c r="C861" t="s">
        <v>16</v>
      </c>
      <c r="D861" t="s">
        <v>26</v>
      </c>
      <c r="E861" t="s">
        <v>37</v>
      </c>
      <c r="F861" t="s">
        <v>43</v>
      </c>
      <c r="G861" t="s">
        <v>21</v>
      </c>
      <c r="H861" t="s">
        <v>20</v>
      </c>
      <c r="I861" t="s">
        <v>21</v>
      </c>
      <c r="J861" t="s">
        <v>45</v>
      </c>
      <c r="K861">
        <v>9</v>
      </c>
      <c r="L861">
        <v>98.7</v>
      </c>
      <c r="M861" t="s">
        <v>30</v>
      </c>
      <c r="N861" t="str">
        <f>_xlfn.XLOOKUP(A861,[1]!brca_metabric_clinical_data__2[Patient ID], [1]!brca_metabric_clinical_data__2[Tumor Size])</f>
        <v>18</v>
      </c>
      <c r="O861" t="str">
        <f>_xlfn.XLOOKUP(A861,[1]!brca_metabric_clinical_data__2[Sample ID],[1]!brca_metabric_clinical_data__2[Tumor Stage])</f>
        <v>2</v>
      </c>
    </row>
    <row r="862" spans="1:15" x14ac:dyDescent="0.45">
      <c r="A862" t="s">
        <v>897</v>
      </c>
      <c r="B862">
        <v>74.319999999999993</v>
      </c>
      <c r="C862" t="s">
        <v>16</v>
      </c>
      <c r="D862" t="s">
        <v>17</v>
      </c>
      <c r="E862" t="s">
        <v>18</v>
      </c>
      <c r="F862" t="s">
        <v>19</v>
      </c>
      <c r="G862" t="s">
        <v>20</v>
      </c>
      <c r="H862" t="s">
        <v>21</v>
      </c>
      <c r="I862" t="s">
        <v>21</v>
      </c>
      <c r="J862" t="s">
        <v>29</v>
      </c>
      <c r="K862">
        <v>8</v>
      </c>
      <c r="L862">
        <v>59.933333333333302</v>
      </c>
      <c r="M862" t="s">
        <v>30</v>
      </c>
      <c r="N862" t="str">
        <f>_xlfn.XLOOKUP(A862,[1]!brca_metabric_clinical_data__2[Patient ID], [1]!brca_metabric_clinical_data__2[Tumor Size])</f>
        <v>20</v>
      </c>
      <c r="O862" t="str">
        <f>_xlfn.XLOOKUP(A862,[1]!brca_metabric_clinical_data__2[Sample ID],[1]!brca_metabric_clinical_data__2[Tumor Stage])</f>
        <v>2</v>
      </c>
    </row>
    <row r="863" spans="1:15" x14ac:dyDescent="0.45">
      <c r="A863" t="s">
        <v>898</v>
      </c>
      <c r="B863">
        <v>55.07</v>
      </c>
      <c r="C863" t="s">
        <v>16</v>
      </c>
      <c r="D863" t="s">
        <v>17</v>
      </c>
      <c r="E863" t="s">
        <v>18</v>
      </c>
      <c r="F863" t="s">
        <v>43</v>
      </c>
      <c r="G863" t="s">
        <v>20</v>
      </c>
      <c r="H863" t="s">
        <v>21</v>
      </c>
      <c r="I863" t="s">
        <v>21</v>
      </c>
      <c r="J863" t="s">
        <v>45</v>
      </c>
      <c r="K863">
        <v>5</v>
      </c>
      <c r="L863">
        <v>132.19999999999999</v>
      </c>
      <c r="M863" t="s">
        <v>30</v>
      </c>
      <c r="N863" t="str">
        <f>_xlfn.XLOOKUP(A863,[1]!brca_metabric_clinical_data__2[Patient ID], [1]!brca_metabric_clinical_data__2[Tumor Size])</f>
        <v>35</v>
      </c>
      <c r="O863" t="str">
        <f>_xlfn.XLOOKUP(A863,[1]!brca_metabric_clinical_data__2[Sample ID],[1]!brca_metabric_clinical_data__2[Tumor Stage])</f>
        <v>2</v>
      </c>
    </row>
    <row r="864" spans="1:15" x14ac:dyDescent="0.45">
      <c r="A864" t="s">
        <v>899</v>
      </c>
      <c r="B864">
        <v>68.319999999999993</v>
      </c>
      <c r="C864" t="s">
        <v>16</v>
      </c>
      <c r="D864" t="s">
        <v>17</v>
      </c>
      <c r="E864" t="s">
        <v>18</v>
      </c>
      <c r="F864" t="s">
        <v>19</v>
      </c>
      <c r="G864" t="s">
        <v>20</v>
      </c>
      <c r="H864" t="s">
        <v>20</v>
      </c>
      <c r="I864" t="s">
        <v>20</v>
      </c>
      <c r="J864" t="s">
        <v>45</v>
      </c>
      <c r="K864">
        <v>3</v>
      </c>
      <c r="L864">
        <v>244.2</v>
      </c>
      <c r="M864" t="s">
        <v>30</v>
      </c>
      <c r="N864" t="str">
        <f>_xlfn.XLOOKUP(A864,[1]!brca_metabric_clinical_data__2[Patient ID], [1]!brca_metabric_clinical_data__2[Tumor Size])</f>
        <v>30</v>
      </c>
      <c r="O864" t="str">
        <f>_xlfn.XLOOKUP(A864,[1]!brca_metabric_clinical_data__2[Sample ID],[1]!brca_metabric_clinical_data__2[Tumor Stage])</f>
        <v>2</v>
      </c>
    </row>
    <row r="865" spans="1:15" x14ac:dyDescent="0.45">
      <c r="A865" t="s">
        <v>900</v>
      </c>
      <c r="B865">
        <v>60</v>
      </c>
      <c r="C865" t="s">
        <v>16</v>
      </c>
      <c r="D865" t="s">
        <v>17</v>
      </c>
      <c r="E865" t="s">
        <v>18</v>
      </c>
      <c r="F865" t="s">
        <v>43</v>
      </c>
      <c r="G865" t="s">
        <v>20</v>
      </c>
      <c r="H865" t="s">
        <v>21</v>
      </c>
      <c r="I865" t="s">
        <v>21</v>
      </c>
      <c r="J865" t="s">
        <v>45</v>
      </c>
      <c r="K865">
        <v>9</v>
      </c>
      <c r="L865">
        <v>260.03333333333302</v>
      </c>
      <c r="M865" t="s">
        <v>30</v>
      </c>
      <c r="N865" t="str">
        <f>_xlfn.XLOOKUP(A865,[1]!brca_metabric_clinical_data__2[Patient ID], [1]!brca_metabric_clinical_data__2[Tumor Size])</f>
        <v>23</v>
      </c>
      <c r="O865" t="str">
        <f>_xlfn.XLOOKUP(A865,[1]!brca_metabric_clinical_data__2[Sample ID],[1]!brca_metabric_clinical_data__2[Tumor Stage])</f>
        <v>2</v>
      </c>
    </row>
    <row r="866" spans="1:15" x14ac:dyDescent="0.45">
      <c r="A866" t="s">
        <v>901</v>
      </c>
      <c r="B866">
        <v>49.61</v>
      </c>
      <c r="C866" t="s">
        <v>16</v>
      </c>
      <c r="D866" t="s">
        <v>26</v>
      </c>
      <c r="E866" t="s">
        <v>18</v>
      </c>
      <c r="F866" t="s">
        <v>19</v>
      </c>
      <c r="G866" t="s">
        <v>20</v>
      </c>
      <c r="H866" t="s">
        <v>20</v>
      </c>
      <c r="I866" t="s">
        <v>21</v>
      </c>
      <c r="J866" t="s">
        <v>27</v>
      </c>
      <c r="K866">
        <v>9</v>
      </c>
      <c r="L866">
        <v>34.1</v>
      </c>
      <c r="M866" t="s">
        <v>24</v>
      </c>
      <c r="N866" t="str">
        <f>_xlfn.XLOOKUP(A866,[1]!brca_metabric_clinical_data__2[Patient ID], [1]!brca_metabric_clinical_data__2[Tumor Size])</f>
        <v>10</v>
      </c>
      <c r="O866" t="str">
        <f>_xlfn.XLOOKUP(A866,[1]!brca_metabric_clinical_data__2[Sample ID],[1]!brca_metabric_clinical_data__2[Tumor Stage])</f>
        <v>1</v>
      </c>
    </row>
    <row r="867" spans="1:15" x14ac:dyDescent="0.45">
      <c r="A867" t="s">
        <v>902</v>
      </c>
      <c r="B867">
        <v>55.62</v>
      </c>
      <c r="C867" t="s">
        <v>16</v>
      </c>
      <c r="D867" t="s">
        <v>17</v>
      </c>
      <c r="E867" t="s">
        <v>18</v>
      </c>
      <c r="F867" t="s">
        <v>19</v>
      </c>
      <c r="G867" t="s">
        <v>20</v>
      </c>
      <c r="H867" t="s">
        <v>21</v>
      </c>
      <c r="I867" t="s">
        <v>21</v>
      </c>
      <c r="J867" t="s">
        <v>27</v>
      </c>
      <c r="K867">
        <v>8</v>
      </c>
      <c r="L867">
        <v>174.833333333333</v>
      </c>
      <c r="M867" t="s">
        <v>24</v>
      </c>
      <c r="N867" t="str">
        <f>_xlfn.XLOOKUP(A867,[1]!brca_metabric_clinical_data__2[Patient ID], [1]!brca_metabric_clinical_data__2[Tumor Size])</f>
        <v>40</v>
      </c>
      <c r="O867" t="str">
        <f>_xlfn.XLOOKUP(A867,[1]!brca_metabric_clinical_data__2[Sample ID],[1]!brca_metabric_clinical_data__2[Tumor Stage])</f>
        <v>2</v>
      </c>
    </row>
    <row r="868" spans="1:15" x14ac:dyDescent="0.45">
      <c r="A868" t="s">
        <v>903</v>
      </c>
      <c r="B868">
        <v>65.489999999999995</v>
      </c>
      <c r="C868" t="s">
        <v>16</v>
      </c>
      <c r="D868" t="s">
        <v>17</v>
      </c>
      <c r="E868" t="s">
        <v>18</v>
      </c>
      <c r="F868" t="s">
        <v>43</v>
      </c>
      <c r="G868" t="s">
        <v>20</v>
      </c>
      <c r="H868" t="s">
        <v>21</v>
      </c>
      <c r="I868" t="s">
        <v>21</v>
      </c>
      <c r="J868" t="s">
        <v>45</v>
      </c>
      <c r="K868">
        <v>2</v>
      </c>
      <c r="L868">
        <v>96.8333333333333</v>
      </c>
      <c r="M868" t="s">
        <v>30</v>
      </c>
      <c r="N868" t="str">
        <f>_xlfn.XLOOKUP(A868,[1]!brca_metabric_clinical_data__2[Patient ID], [1]!brca_metabric_clinical_data__2[Tumor Size])</f>
        <v>20</v>
      </c>
      <c r="O868" t="str">
        <f>_xlfn.XLOOKUP(A868,[1]!brca_metabric_clinical_data__2[Sample ID],[1]!brca_metabric_clinical_data__2[Tumor Stage])</f>
        <v>1</v>
      </c>
    </row>
    <row r="869" spans="1:15" x14ac:dyDescent="0.45">
      <c r="A869" t="s">
        <v>904</v>
      </c>
      <c r="B869">
        <v>58.8</v>
      </c>
      <c r="C869" t="s">
        <v>16</v>
      </c>
      <c r="D869" t="s">
        <v>17</v>
      </c>
      <c r="E869" t="s">
        <v>18</v>
      </c>
      <c r="F869" t="s">
        <v>19</v>
      </c>
      <c r="G869" t="s">
        <v>20</v>
      </c>
      <c r="H869" t="s">
        <v>20</v>
      </c>
      <c r="I869" t="s">
        <v>21</v>
      </c>
      <c r="J869" t="s">
        <v>27</v>
      </c>
      <c r="K869">
        <v>8</v>
      </c>
      <c r="L869">
        <v>335.6</v>
      </c>
      <c r="M869" t="s">
        <v>30</v>
      </c>
      <c r="N869" t="str">
        <f>_xlfn.XLOOKUP(A869,[1]!brca_metabric_clinical_data__2[Patient ID], [1]!brca_metabric_clinical_data__2[Tumor Size])</f>
        <v>25</v>
      </c>
      <c r="O869" t="str">
        <f>_xlfn.XLOOKUP(A869,[1]!brca_metabric_clinical_data__2[Sample ID],[1]!brca_metabric_clinical_data__2[Tumor Stage])</f>
        <v>NA</v>
      </c>
    </row>
    <row r="870" spans="1:15" x14ac:dyDescent="0.45">
      <c r="A870" t="s">
        <v>905</v>
      </c>
      <c r="B870">
        <v>54.16</v>
      </c>
      <c r="C870" t="s">
        <v>16</v>
      </c>
      <c r="D870" t="s">
        <v>17</v>
      </c>
      <c r="E870" t="s">
        <v>18</v>
      </c>
      <c r="F870" t="s">
        <v>19</v>
      </c>
      <c r="G870" t="s">
        <v>20</v>
      </c>
      <c r="H870" t="s">
        <v>20</v>
      </c>
      <c r="I870" t="s">
        <v>21</v>
      </c>
      <c r="J870" t="s">
        <v>27</v>
      </c>
      <c r="K870">
        <v>8</v>
      </c>
      <c r="L870">
        <v>219.166666666667</v>
      </c>
      <c r="M870" t="s">
        <v>30</v>
      </c>
      <c r="N870" t="str">
        <f>_xlfn.XLOOKUP(A870,[1]!brca_metabric_clinical_data__2[Patient ID], [1]!brca_metabric_clinical_data__2[Tumor Size])</f>
        <v>30</v>
      </c>
      <c r="O870" t="str">
        <f>_xlfn.XLOOKUP(A870,[1]!brca_metabric_clinical_data__2[Sample ID],[1]!brca_metabric_clinical_data__2[Tumor Stage])</f>
        <v>2</v>
      </c>
    </row>
    <row r="871" spans="1:15" x14ac:dyDescent="0.45">
      <c r="A871" t="s">
        <v>906</v>
      </c>
      <c r="B871">
        <v>70.239999999999995</v>
      </c>
      <c r="C871" t="s">
        <v>16</v>
      </c>
      <c r="D871" t="s">
        <v>17</v>
      </c>
      <c r="E871" t="s">
        <v>18</v>
      </c>
      <c r="F871" t="s">
        <v>19</v>
      </c>
      <c r="G871" t="s">
        <v>20</v>
      </c>
      <c r="H871" t="s">
        <v>21</v>
      </c>
      <c r="I871" t="s">
        <v>21</v>
      </c>
      <c r="J871" t="s">
        <v>29</v>
      </c>
      <c r="K871">
        <v>9</v>
      </c>
      <c r="L871">
        <v>55.1</v>
      </c>
      <c r="M871" t="s">
        <v>30</v>
      </c>
      <c r="N871" t="str">
        <f>_xlfn.XLOOKUP(A871,[1]!brca_metabric_clinical_data__2[Patient ID], [1]!brca_metabric_clinical_data__2[Tumor Size])</f>
        <v>20</v>
      </c>
      <c r="O871" t="str">
        <f>_xlfn.XLOOKUP(A871,[1]!brca_metabric_clinical_data__2[Sample ID],[1]!brca_metabric_clinical_data__2[Tumor Stage])</f>
        <v>2</v>
      </c>
    </row>
    <row r="872" spans="1:15" x14ac:dyDescent="0.45">
      <c r="A872" t="s">
        <v>907</v>
      </c>
      <c r="B872">
        <v>70.58</v>
      </c>
      <c r="C872" t="s">
        <v>16</v>
      </c>
      <c r="D872" t="s">
        <v>17</v>
      </c>
      <c r="E872" t="s">
        <v>18</v>
      </c>
      <c r="F872" t="s">
        <v>19</v>
      </c>
      <c r="G872" t="s">
        <v>20</v>
      </c>
      <c r="H872" t="s">
        <v>21</v>
      </c>
      <c r="I872" t="s">
        <v>21</v>
      </c>
      <c r="J872" t="s">
        <v>45</v>
      </c>
      <c r="K872">
        <v>6</v>
      </c>
      <c r="L872">
        <v>189.03333333333299</v>
      </c>
      <c r="M872" t="s">
        <v>24</v>
      </c>
      <c r="N872" t="str">
        <f>_xlfn.XLOOKUP(A872,[1]!brca_metabric_clinical_data__2[Patient ID], [1]!brca_metabric_clinical_data__2[Tumor Size])</f>
        <v>30</v>
      </c>
      <c r="O872" t="str">
        <f>_xlfn.XLOOKUP(A872,[1]!brca_metabric_clinical_data__2[Sample ID],[1]!brca_metabric_clinical_data__2[Tumor Stage])</f>
        <v>2</v>
      </c>
    </row>
    <row r="873" spans="1:15" x14ac:dyDescent="0.45">
      <c r="A873" t="s">
        <v>908</v>
      </c>
      <c r="B873">
        <v>66.91</v>
      </c>
      <c r="C873" t="s">
        <v>16</v>
      </c>
      <c r="D873" t="s">
        <v>17</v>
      </c>
      <c r="E873" t="s">
        <v>37</v>
      </c>
      <c r="F873" t="s">
        <v>19</v>
      </c>
      <c r="G873" t="s">
        <v>20</v>
      </c>
      <c r="H873" t="s">
        <v>20</v>
      </c>
      <c r="I873" t="s">
        <v>21</v>
      </c>
      <c r="J873" t="s">
        <v>58</v>
      </c>
      <c r="K873" t="s">
        <v>39</v>
      </c>
      <c r="L873">
        <v>89.033333333333303</v>
      </c>
      <c r="M873" t="s">
        <v>30</v>
      </c>
      <c r="N873" t="str">
        <f>_xlfn.XLOOKUP(A873,[1]!brca_metabric_clinical_data__2[Patient ID], [1]!brca_metabric_clinical_data__2[Tumor Size])</f>
        <v>15</v>
      </c>
      <c r="O873" t="str">
        <f>_xlfn.XLOOKUP(A873,[1]!brca_metabric_clinical_data__2[Sample ID],[1]!brca_metabric_clinical_data__2[Tumor Stage])</f>
        <v>1</v>
      </c>
    </row>
    <row r="874" spans="1:15" x14ac:dyDescent="0.45">
      <c r="A874" t="s">
        <v>909</v>
      </c>
      <c r="B874">
        <v>69.19</v>
      </c>
      <c r="C874" t="s">
        <v>16</v>
      </c>
      <c r="D874" t="s">
        <v>17</v>
      </c>
      <c r="E874" t="s">
        <v>18</v>
      </c>
      <c r="F874" t="s">
        <v>19</v>
      </c>
      <c r="G874" t="s">
        <v>20</v>
      </c>
      <c r="H874" t="s">
        <v>20</v>
      </c>
      <c r="I874" t="s">
        <v>20</v>
      </c>
      <c r="J874" t="s">
        <v>27</v>
      </c>
      <c r="K874">
        <v>3</v>
      </c>
      <c r="L874">
        <v>234.7</v>
      </c>
      <c r="M874" t="s">
        <v>30</v>
      </c>
      <c r="N874" t="str">
        <f>_xlfn.XLOOKUP(A874,[1]!brca_metabric_clinical_data__2[Patient ID], [1]!brca_metabric_clinical_data__2[Tumor Size])</f>
        <v>21</v>
      </c>
      <c r="O874" t="str">
        <f>_xlfn.XLOOKUP(A874,[1]!brca_metabric_clinical_data__2[Sample ID],[1]!brca_metabric_clinical_data__2[Tumor Stage])</f>
        <v>2</v>
      </c>
    </row>
    <row r="875" spans="1:15" x14ac:dyDescent="0.45">
      <c r="A875" t="s">
        <v>910</v>
      </c>
      <c r="B875">
        <v>76.510000000000005</v>
      </c>
      <c r="C875" t="s">
        <v>16</v>
      </c>
      <c r="D875" t="s">
        <v>17</v>
      </c>
      <c r="E875" t="s">
        <v>18</v>
      </c>
      <c r="F875" t="s">
        <v>19</v>
      </c>
      <c r="G875" t="s">
        <v>20</v>
      </c>
      <c r="H875" t="s">
        <v>20</v>
      </c>
      <c r="I875" t="s">
        <v>21</v>
      </c>
      <c r="J875" t="s">
        <v>27</v>
      </c>
      <c r="K875">
        <v>7</v>
      </c>
      <c r="L875">
        <v>265.566666666667</v>
      </c>
      <c r="M875" t="s">
        <v>30</v>
      </c>
      <c r="N875" t="str">
        <f>_xlfn.XLOOKUP(A875,[1]!brca_metabric_clinical_data__2[Patient ID], [1]!brca_metabric_clinical_data__2[Tumor Size])</f>
        <v>50</v>
      </c>
      <c r="O875" t="str">
        <f>_xlfn.XLOOKUP(A875,[1]!brca_metabric_clinical_data__2[Sample ID],[1]!brca_metabric_clinical_data__2[Tumor Stage])</f>
        <v>NA</v>
      </c>
    </row>
    <row r="876" spans="1:15" x14ac:dyDescent="0.45">
      <c r="A876" t="s">
        <v>911</v>
      </c>
      <c r="B876">
        <v>58.02</v>
      </c>
      <c r="C876" t="s">
        <v>16</v>
      </c>
      <c r="D876" t="s">
        <v>17</v>
      </c>
      <c r="E876" t="s">
        <v>18</v>
      </c>
      <c r="F876" t="s">
        <v>19</v>
      </c>
      <c r="G876" t="s">
        <v>20</v>
      </c>
      <c r="H876" t="s">
        <v>21</v>
      </c>
      <c r="I876" t="s">
        <v>21</v>
      </c>
      <c r="J876" t="s">
        <v>27</v>
      </c>
      <c r="K876" t="s">
        <v>23</v>
      </c>
      <c r="L876">
        <v>300.7</v>
      </c>
      <c r="M876" t="s">
        <v>30</v>
      </c>
      <c r="N876" t="str">
        <f>_xlfn.XLOOKUP(A876,[1]!brca_metabric_clinical_data__2[Patient ID], [1]!brca_metabric_clinical_data__2[Tumor Size])</f>
        <v>40</v>
      </c>
      <c r="O876" t="str">
        <f>_xlfn.XLOOKUP(A876,[1]!brca_metabric_clinical_data__2[Sample ID],[1]!brca_metabric_clinical_data__2[Tumor Stage])</f>
        <v>2</v>
      </c>
    </row>
    <row r="877" spans="1:15" x14ac:dyDescent="0.45">
      <c r="A877" t="s">
        <v>912</v>
      </c>
      <c r="B877">
        <v>51.93</v>
      </c>
      <c r="C877" t="s">
        <v>16</v>
      </c>
      <c r="D877" t="s">
        <v>17</v>
      </c>
      <c r="E877" t="s">
        <v>18</v>
      </c>
      <c r="F877" t="s">
        <v>43</v>
      </c>
      <c r="G877" t="s">
        <v>20</v>
      </c>
      <c r="H877" t="s">
        <v>21</v>
      </c>
      <c r="I877" t="s">
        <v>20</v>
      </c>
      <c r="J877" t="s">
        <v>45</v>
      </c>
      <c r="K877">
        <v>5</v>
      </c>
      <c r="L877">
        <v>177.9</v>
      </c>
      <c r="M877" t="s">
        <v>24</v>
      </c>
      <c r="N877" t="str">
        <f>_xlfn.XLOOKUP(A877,[1]!brca_metabric_clinical_data__2[Patient ID], [1]!brca_metabric_clinical_data__2[Tumor Size])</f>
        <v>50</v>
      </c>
      <c r="O877" t="str">
        <f>_xlfn.XLOOKUP(A877,[1]!brca_metabric_clinical_data__2[Sample ID],[1]!brca_metabric_clinical_data__2[Tumor Stage])</f>
        <v>2</v>
      </c>
    </row>
    <row r="878" spans="1:15" x14ac:dyDescent="0.45">
      <c r="A878" t="s">
        <v>913</v>
      </c>
      <c r="B878">
        <v>72.44</v>
      </c>
      <c r="C878" t="s">
        <v>16</v>
      </c>
      <c r="D878" t="s">
        <v>17</v>
      </c>
      <c r="E878" t="s">
        <v>18</v>
      </c>
      <c r="F878" t="s">
        <v>19</v>
      </c>
      <c r="G878" t="s">
        <v>20</v>
      </c>
      <c r="H878" t="s">
        <v>21</v>
      </c>
      <c r="I878" t="s">
        <v>21</v>
      </c>
      <c r="J878" t="s">
        <v>29</v>
      </c>
      <c r="K878">
        <v>1</v>
      </c>
      <c r="L878">
        <v>17.133333333333301</v>
      </c>
      <c r="M878" t="s">
        <v>30</v>
      </c>
      <c r="N878" t="str">
        <f>_xlfn.XLOOKUP(A878,[1]!brca_metabric_clinical_data__2[Patient ID], [1]!brca_metabric_clinical_data__2[Tumor Size])</f>
        <v>20</v>
      </c>
      <c r="O878" t="str">
        <f>_xlfn.XLOOKUP(A878,[1]!brca_metabric_clinical_data__2[Sample ID],[1]!brca_metabric_clinical_data__2[Tumor Stage])</f>
        <v>2</v>
      </c>
    </row>
    <row r="879" spans="1:15" x14ac:dyDescent="0.45">
      <c r="A879" t="s">
        <v>914</v>
      </c>
      <c r="B879">
        <v>63.39</v>
      </c>
      <c r="C879" t="s">
        <v>16</v>
      </c>
      <c r="D879" t="s">
        <v>17</v>
      </c>
      <c r="E879" t="s">
        <v>18</v>
      </c>
      <c r="F879" t="s">
        <v>35</v>
      </c>
      <c r="G879" t="s">
        <v>20</v>
      </c>
      <c r="H879" t="s">
        <v>21</v>
      </c>
      <c r="I879" t="s">
        <v>21</v>
      </c>
      <c r="J879" t="s">
        <v>27</v>
      </c>
      <c r="K879">
        <v>7</v>
      </c>
      <c r="L879">
        <v>196.46666666666701</v>
      </c>
      <c r="M879" t="s">
        <v>30</v>
      </c>
      <c r="N879" t="str">
        <f>_xlfn.XLOOKUP(A879,[1]!brca_metabric_clinical_data__2[Patient ID], [1]!brca_metabric_clinical_data__2[Tumor Size])</f>
        <v>30</v>
      </c>
      <c r="O879" t="str">
        <f>_xlfn.XLOOKUP(A879,[1]!brca_metabric_clinical_data__2[Sample ID],[1]!brca_metabric_clinical_data__2[Tumor Stage])</f>
        <v>2</v>
      </c>
    </row>
    <row r="880" spans="1:15" x14ac:dyDescent="0.45">
      <c r="A880" t="s">
        <v>915</v>
      </c>
      <c r="B880">
        <v>80.040000000000006</v>
      </c>
      <c r="C880" t="s">
        <v>16</v>
      </c>
      <c r="D880" t="s">
        <v>17</v>
      </c>
      <c r="E880" t="s">
        <v>18</v>
      </c>
      <c r="F880" t="s">
        <v>19</v>
      </c>
      <c r="G880" t="s">
        <v>20</v>
      </c>
      <c r="H880" t="s">
        <v>21</v>
      </c>
      <c r="I880" t="s">
        <v>20</v>
      </c>
      <c r="J880" t="s">
        <v>27</v>
      </c>
      <c r="K880">
        <v>8</v>
      </c>
      <c r="L880">
        <v>126.633333333333</v>
      </c>
      <c r="M880" t="s">
        <v>30</v>
      </c>
      <c r="N880" t="str">
        <f>_xlfn.XLOOKUP(A880,[1]!brca_metabric_clinical_data__2[Patient ID], [1]!brca_metabric_clinical_data__2[Tumor Size])</f>
        <v>30</v>
      </c>
      <c r="O880" t="str">
        <f>_xlfn.XLOOKUP(A880,[1]!brca_metabric_clinical_data__2[Sample ID],[1]!brca_metabric_clinical_data__2[Tumor Stage])</f>
        <v>NA</v>
      </c>
    </row>
    <row r="881" spans="1:15" x14ac:dyDescent="0.45">
      <c r="A881" t="s">
        <v>916</v>
      </c>
      <c r="B881">
        <v>61.22</v>
      </c>
      <c r="C881" t="s">
        <v>16</v>
      </c>
      <c r="D881" t="s">
        <v>17</v>
      </c>
      <c r="E881" t="s">
        <v>18</v>
      </c>
      <c r="F881" t="s">
        <v>19</v>
      </c>
      <c r="G881" t="s">
        <v>20</v>
      </c>
      <c r="H881" t="s">
        <v>21</v>
      </c>
      <c r="I881" t="s">
        <v>21</v>
      </c>
      <c r="J881" t="s">
        <v>45</v>
      </c>
      <c r="K881">
        <v>6</v>
      </c>
      <c r="L881">
        <v>87.233333333333306</v>
      </c>
      <c r="M881" t="s">
        <v>30</v>
      </c>
      <c r="N881" t="str">
        <f>_xlfn.XLOOKUP(A881,[1]!brca_metabric_clinical_data__2[Patient ID], [1]!brca_metabric_clinical_data__2[Tumor Size])</f>
        <v>50</v>
      </c>
      <c r="O881" t="str">
        <f>_xlfn.XLOOKUP(A881,[1]!brca_metabric_clinical_data__2[Sample ID],[1]!brca_metabric_clinical_data__2[Tumor Stage])</f>
        <v>2</v>
      </c>
    </row>
    <row r="882" spans="1:15" x14ac:dyDescent="0.45">
      <c r="A882" t="s">
        <v>917</v>
      </c>
      <c r="B882">
        <v>64.12</v>
      </c>
      <c r="C882" t="s">
        <v>16</v>
      </c>
      <c r="D882" t="s">
        <v>17</v>
      </c>
      <c r="E882" t="s">
        <v>18</v>
      </c>
      <c r="F882" t="s">
        <v>19</v>
      </c>
      <c r="G882" t="s">
        <v>20</v>
      </c>
      <c r="H882" t="s">
        <v>21</v>
      </c>
      <c r="I882" t="s">
        <v>21</v>
      </c>
      <c r="J882" t="s">
        <v>27</v>
      </c>
      <c r="K882">
        <v>7</v>
      </c>
      <c r="L882">
        <v>199.26666666666699</v>
      </c>
      <c r="M882" t="s">
        <v>30</v>
      </c>
      <c r="N882" t="str">
        <f>_xlfn.XLOOKUP(A882,[1]!brca_metabric_clinical_data__2[Patient ID], [1]!brca_metabric_clinical_data__2[Tumor Size])</f>
        <v>30</v>
      </c>
      <c r="O882" t="str">
        <f>_xlfn.XLOOKUP(A882,[1]!brca_metabric_clinical_data__2[Sample ID],[1]!brca_metabric_clinical_data__2[Tumor Stage])</f>
        <v>NA</v>
      </c>
    </row>
    <row r="883" spans="1:15" x14ac:dyDescent="0.45">
      <c r="A883" t="s">
        <v>918</v>
      </c>
      <c r="B883">
        <v>70.75</v>
      </c>
      <c r="C883" t="s">
        <v>16</v>
      </c>
      <c r="D883" t="s">
        <v>17</v>
      </c>
      <c r="E883" t="s">
        <v>18</v>
      </c>
      <c r="F883" t="s">
        <v>19</v>
      </c>
      <c r="G883" t="s">
        <v>20</v>
      </c>
      <c r="H883" t="s">
        <v>21</v>
      </c>
      <c r="I883" t="s">
        <v>20</v>
      </c>
      <c r="J883" t="s">
        <v>27</v>
      </c>
      <c r="K883">
        <v>7</v>
      </c>
      <c r="L883">
        <v>168.26666666666699</v>
      </c>
      <c r="M883" t="s">
        <v>30</v>
      </c>
      <c r="N883" t="str">
        <f>_xlfn.XLOOKUP(A883,[1]!brca_metabric_clinical_data__2[Patient ID], [1]!brca_metabric_clinical_data__2[Tumor Size])</f>
        <v>29</v>
      </c>
      <c r="O883" t="str">
        <f>_xlfn.XLOOKUP(A883,[1]!brca_metabric_clinical_data__2[Sample ID],[1]!brca_metabric_clinical_data__2[Tumor Stage])</f>
        <v>2</v>
      </c>
    </row>
    <row r="884" spans="1:15" x14ac:dyDescent="0.45">
      <c r="A884" t="s">
        <v>919</v>
      </c>
      <c r="B884">
        <v>63.34</v>
      </c>
      <c r="C884" t="s">
        <v>16</v>
      </c>
      <c r="D884" t="s">
        <v>17</v>
      </c>
      <c r="E884" t="s">
        <v>18</v>
      </c>
      <c r="F884" t="s">
        <v>43</v>
      </c>
      <c r="G884" t="s">
        <v>20</v>
      </c>
      <c r="H884" t="s">
        <v>21</v>
      </c>
      <c r="I884" t="s">
        <v>21</v>
      </c>
      <c r="J884" t="s">
        <v>45</v>
      </c>
      <c r="K884">
        <v>1</v>
      </c>
      <c r="L884">
        <v>235.566666666667</v>
      </c>
      <c r="M884" t="s">
        <v>30</v>
      </c>
      <c r="N884" t="str">
        <f>_xlfn.XLOOKUP(A884,[1]!brca_metabric_clinical_data__2[Patient ID], [1]!brca_metabric_clinical_data__2[Tumor Size])</f>
        <v>20</v>
      </c>
      <c r="O884" t="str">
        <f>_xlfn.XLOOKUP(A884,[1]!brca_metabric_clinical_data__2[Sample ID],[1]!brca_metabric_clinical_data__2[Tumor Stage])</f>
        <v>2</v>
      </c>
    </row>
    <row r="885" spans="1:15" x14ac:dyDescent="0.45">
      <c r="A885" t="s">
        <v>920</v>
      </c>
      <c r="B885">
        <v>34.36</v>
      </c>
      <c r="C885" t="s">
        <v>16</v>
      </c>
      <c r="D885" t="s">
        <v>26</v>
      </c>
      <c r="E885" t="s">
        <v>37</v>
      </c>
      <c r="F885" t="s">
        <v>19</v>
      </c>
      <c r="G885" t="s">
        <v>20</v>
      </c>
      <c r="H885" t="s">
        <v>20</v>
      </c>
      <c r="I885" t="s">
        <v>21</v>
      </c>
      <c r="J885" t="s">
        <v>58</v>
      </c>
      <c r="K885">
        <v>10</v>
      </c>
      <c r="L885">
        <v>307.933333333333</v>
      </c>
      <c r="M885" t="s">
        <v>24</v>
      </c>
      <c r="N885" t="str">
        <f>_xlfn.XLOOKUP(A885,[1]!brca_metabric_clinical_data__2[Patient ID], [1]!brca_metabric_clinical_data__2[Tumor Size])</f>
        <v>20</v>
      </c>
      <c r="O885" t="str">
        <f>_xlfn.XLOOKUP(A885,[1]!brca_metabric_clinical_data__2[Sample ID],[1]!brca_metabric_clinical_data__2[Tumor Stage])</f>
        <v>1</v>
      </c>
    </row>
    <row r="886" spans="1:15" x14ac:dyDescent="0.45">
      <c r="A886" t="s">
        <v>921</v>
      </c>
      <c r="B886">
        <v>64.5</v>
      </c>
      <c r="C886" t="s">
        <v>16</v>
      </c>
      <c r="D886" t="s">
        <v>17</v>
      </c>
      <c r="E886" t="s">
        <v>18</v>
      </c>
      <c r="F886" t="s">
        <v>19</v>
      </c>
      <c r="G886" t="s">
        <v>20</v>
      </c>
      <c r="H886" t="s">
        <v>20</v>
      </c>
      <c r="I886" t="s">
        <v>20</v>
      </c>
      <c r="J886" t="s">
        <v>27</v>
      </c>
      <c r="K886">
        <v>3</v>
      </c>
      <c r="L886">
        <v>207.96666666666701</v>
      </c>
      <c r="M886" t="s">
        <v>30</v>
      </c>
      <c r="N886" t="str">
        <f>_xlfn.XLOOKUP(A886,[1]!brca_metabric_clinical_data__2[Patient ID], [1]!brca_metabric_clinical_data__2[Tumor Size])</f>
        <v>25</v>
      </c>
      <c r="O886" t="str">
        <f>_xlfn.XLOOKUP(A886,[1]!brca_metabric_clinical_data__2[Sample ID],[1]!brca_metabric_clinical_data__2[Tumor Stage])</f>
        <v>2</v>
      </c>
    </row>
    <row r="887" spans="1:15" x14ac:dyDescent="0.45">
      <c r="A887" t="s">
        <v>922</v>
      </c>
      <c r="B887">
        <v>74.98</v>
      </c>
      <c r="C887" t="s">
        <v>16</v>
      </c>
      <c r="D887" t="s">
        <v>17</v>
      </c>
      <c r="E887" t="s">
        <v>18</v>
      </c>
      <c r="F887" t="s">
        <v>19</v>
      </c>
      <c r="G887" t="s">
        <v>20</v>
      </c>
      <c r="H887" t="s">
        <v>20</v>
      </c>
      <c r="I887" t="s">
        <v>21</v>
      </c>
      <c r="J887" t="s">
        <v>29</v>
      </c>
      <c r="K887">
        <v>8</v>
      </c>
      <c r="L887">
        <v>173.6</v>
      </c>
      <c r="M887" t="s">
        <v>30</v>
      </c>
      <c r="N887" t="str">
        <f>_xlfn.XLOOKUP(A887,[1]!brca_metabric_clinical_data__2[Patient ID], [1]!brca_metabric_clinical_data__2[Tumor Size])</f>
        <v>20</v>
      </c>
      <c r="O887" t="str">
        <f>_xlfn.XLOOKUP(A887,[1]!brca_metabric_clinical_data__2[Sample ID],[1]!brca_metabric_clinical_data__2[Tumor Stage])</f>
        <v>1</v>
      </c>
    </row>
    <row r="888" spans="1:15" x14ac:dyDescent="0.45">
      <c r="A888" t="s">
        <v>923</v>
      </c>
      <c r="B888">
        <v>35.14</v>
      </c>
      <c r="C888" t="s">
        <v>16</v>
      </c>
      <c r="D888" t="s">
        <v>26</v>
      </c>
      <c r="E888" t="s">
        <v>37</v>
      </c>
      <c r="F888" t="s">
        <v>43</v>
      </c>
      <c r="G888" t="s">
        <v>21</v>
      </c>
      <c r="H888" t="s">
        <v>20</v>
      </c>
      <c r="I888" t="s">
        <v>21</v>
      </c>
      <c r="J888" t="s">
        <v>45</v>
      </c>
      <c r="K888">
        <v>5</v>
      </c>
      <c r="L888">
        <v>33.700000000000003</v>
      </c>
      <c r="M888" t="s">
        <v>30</v>
      </c>
      <c r="N888" t="str">
        <f>_xlfn.XLOOKUP(A888,[1]!brca_metabric_clinical_data__2[Patient ID], [1]!brca_metabric_clinical_data__2[Tumor Size])</f>
        <v>40</v>
      </c>
      <c r="O888" t="str">
        <f>_xlfn.XLOOKUP(A888,[1]!brca_metabric_clinical_data__2[Sample ID],[1]!brca_metabric_clinical_data__2[Tumor Stage])</f>
        <v>2</v>
      </c>
    </row>
    <row r="889" spans="1:15" x14ac:dyDescent="0.45">
      <c r="A889" t="s">
        <v>924</v>
      </c>
      <c r="B889">
        <v>73.2</v>
      </c>
      <c r="C889" t="s">
        <v>16</v>
      </c>
      <c r="D889" t="s">
        <v>17</v>
      </c>
      <c r="E889" t="s">
        <v>18</v>
      </c>
      <c r="F889" t="s">
        <v>19</v>
      </c>
      <c r="G889" t="s">
        <v>20</v>
      </c>
      <c r="H889" t="s">
        <v>21</v>
      </c>
      <c r="I889" t="s">
        <v>21</v>
      </c>
      <c r="J889" t="s">
        <v>27</v>
      </c>
      <c r="K889" t="s">
        <v>23</v>
      </c>
      <c r="L889">
        <v>232.76666666666699</v>
      </c>
      <c r="M889" t="s">
        <v>30</v>
      </c>
      <c r="N889" t="str">
        <f>_xlfn.XLOOKUP(A889,[1]!brca_metabric_clinical_data__2[Patient ID], [1]!brca_metabric_clinical_data__2[Tumor Size])</f>
        <v>62</v>
      </c>
      <c r="O889" t="str">
        <f>_xlfn.XLOOKUP(A889,[1]!brca_metabric_clinical_data__2[Sample ID],[1]!brca_metabric_clinical_data__2[Tumor Stage])</f>
        <v>3</v>
      </c>
    </row>
    <row r="890" spans="1:15" x14ac:dyDescent="0.45">
      <c r="A890" t="s">
        <v>925</v>
      </c>
      <c r="B890">
        <v>68.09</v>
      </c>
      <c r="C890" t="s">
        <v>16</v>
      </c>
      <c r="D890" t="s">
        <v>17</v>
      </c>
      <c r="F890" t="s">
        <v>19</v>
      </c>
      <c r="G890" t="s">
        <v>20</v>
      </c>
      <c r="H890" t="s">
        <v>20</v>
      </c>
      <c r="I890" t="s">
        <v>20</v>
      </c>
      <c r="J890" t="s">
        <v>45</v>
      </c>
      <c r="K890" t="s">
        <v>23</v>
      </c>
      <c r="L890">
        <v>198.6</v>
      </c>
      <c r="M890" t="s">
        <v>30</v>
      </c>
      <c r="N890" t="str">
        <f>_xlfn.XLOOKUP(A890,[1]!brca_metabric_clinical_data__2[Patient ID], [1]!brca_metabric_clinical_data__2[Tumor Size])</f>
        <v>25</v>
      </c>
      <c r="O890" t="str">
        <f>_xlfn.XLOOKUP(A890,[1]!brca_metabric_clinical_data__2[Sample ID],[1]!brca_metabric_clinical_data__2[Tumor Stage])</f>
        <v>2</v>
      </c>
    </row>
    <row r="891" spans="1:15" x14ac:dyDescent="0.45">
      <c r="A891" t="s">
        <v>926</v>
      </c>
      <c r="B891">
        <v>61.57</v>
      </c>
      <c r="C891" t="s">
        <v>16</v>
      </c>
      <c r="D891" t="s">
        <v>17</v>
      </c>
      <c r="E891" t="s">
        <v>18</v>
      </c>
      <c r="F891" t="s">
        <v>43</v>
      </c>
      <c r="G891" t="s">
        <v>20</v>
      </c>
      <c r="H891" t="s">
        <v>21</v>
      </c>
      <c r="I891" t="s">
        <v>21</v>
      </c>
      <c r="J891" t="s">
        <v>45</v>
      </c>
      <c r="K891">
        <v>5</v>
      </c>
      <c r="L891">
        <v>226.2</v>
      </c>
      <c r="M891" t="s">
        <v>30</v>
      </c>
      <c r="N891" t="str">
        <f>_xlfn.XLOOKUP(A891,[1]!brca_metabric_clinical_data__2[Patient ID], [1]!brca_metabric_clinical_data__2[Tumor Size])</f>
        <v>40</v>
      </c>
      <c r="O891" t="str">
        <f>_xlfn.XLOOKUP(A891,[1]!brca_metabric_clinical_data__2[Sample ID],[1]!brca_metabric_clinical_data__2[Tumor Stage])</f>
        <v>2</v>
      </c>
    </row>
    <row r="892" spans="1:15" x14ac:dyDescent="0.45">
      <c r="A892" t="s">
        <v>927</v>
      </c>
      <c r="B892">
        <v>35.64</v>
      </c>
      <c r="C892" t="s">
        <v>16</v>
      </c>
      <c r="D892" t="s">
        <v>26</v>
      </c>
      <c r="E892" t="s">
        <v>37</v>
      </c>
      <c r="F892" t="s">
        <v>43</v>
      </c>
      <c r="G892" t="s">
        <v>21</v>
      </c>
      <c r="H892" t="s">
        <v>20</v>
      </c>
      <c r="I892" t="s">
        <v>21</v>
      </c>
      <c r="J892" t="s">
        <v>45</v>
      </c>
      <c r="K892">
        <v>5</v>
      </c>
      <c r="L892">
        <v>31.066666666666698</v>
      </c>
      <c r="M892" t="s">
        <v>30</v>
      </c>
      <c r="N892" t="str">
        <f>_xlfn.XLOOKUP(A892,[1]!brca_metabric_clinical_data__2[Patient ID], [1]!brca_metabric_clinical_data__2[Tumor Size])</f>
        <v>15</v>
      </c>
      <c r="O892" t="str">
        <f>_xlfn.XLOOKUP(A892,[1]!brca_metabric_clinical_data__2[Sample ID],[1]!brca_metabric_clinical_data__2[Tumor Stage])</f>
        <v>2</v>
      </c>
    </row>
    <row r="893" spans="1:15" x14ac:dyDescent="0.45">
      <c r="A893" t="s">
        <v>928</v>
      </c>
      <c r="B893">
        <v>70.27</v>
      </c>
      <c r="C893" t="s">
        <v>16</v>
      </c>
      <c r="D893" t="s">
        <v>17</v>
      </c>
      <c r="E893" t="s">
        <v>18</v>
      </c>
      <c r="F893" t="s">
        <v>19</v>
      </c>
      <c r="G893" t="s">
        <v>20</v>
      </c>
      <c r="H893" t="s">
        <v>20</v>
      </c>
      <c r="I893" t="s">
        <v>21</v>
      </c>
      <c r="J893" t="s">
        <v>45</v>
      </c>
      <c r="K893">
        <v>1</v>
      </c>
      <c r="L893">
        <v>68.133333333333297</v>
      </c>
      <c r="M893" t="s">
        <v>30</v>
      </c>
      <c r="N893" t="str">
        <f>_xlfn.XLOOKUP(A893,[1]!brca_metabric_clinical_data__2[Patient ID], [1]!brca_metabric_clinical_data__2[Tumor Size])</f>
        <v>20</v>
      </c>
      <c r="O893" t="str">
        <f>_xlfn.XLOOKUP(A893,[1]!brca_metabric_clinical_data__2[Sample ID],[1]!brca_metabric_clinical_data__2[Tumor Stage])</f>
        <v>1</v>
      </c>
    </row>
    <row r="894" spans="1:15" x14ac:dyDescent="0.45">
      <c r="A894" t="s">
        <v>929</v>
      </c>
      <c r="B894">
        <v>59.23</v>
      </c>
      <c r="C894" t="s">
        <v>16</v>
      </c>
      <c r="D894" t="s">
        <v>17</v>
      </c>
      <c r="E894" t="s">
        <v>18</v>
      </c>
      <c r="F894" t="s">
        <v>19</v>
      </c>
      <c r="G894" t="s">
        <v>20</v>
      </c>
      <c r="H894" t="s">
        <v>21</v>
      </c>
      <c r="I894" t="s">
        <v>20</v>
      </c>
      <c r="J894" t="s">
        <v>29</v>
      </c>
      <c r="K894">
        <v>8</v>
      </c>
      <c r="L894">
        <v>128.53333333333299</v>
      </c>
      <c r="M894" t="s">
        <v>30</v>
      </c>
      <c r="N894" t="str">
        <f>_xlfn.XLOOKUP(A894,[1]!brca_metabric_clinical_data__2[Patient ID], [1]!brca_metabric_clinical_data__2[Tumor Size])</f>
        <v>30</v>
      </c>
      <c r="O894" t="str">
        <f>_xlfn.XLOOKUP(A894,[1]!brca_metabric_clinical_data__2[Sample ID],[1]!brca_metabric_clinical_data__2[Tumor Stage])</f>
        <v>2</v>
      </c>
    </row>
    <row r="895" spans="1:15" x14ac:dyDescent="0.45">
      <c r="A895" t="s">
        <v>930</v>
      </c>
      <c r="B895">
        <v>55.01</v>
      </c>
      <c r="C895" t="s">
        <v>16</v>
      </c>
      <c r="D895" t="s">
        <v>17</v>
      </c>
      <c r="E895" t="s">
        <v>18</v>
      </c>
      <c r="F895" t="s">
        <v>19</v>
      </c>
      <c r="G895" t="s">
        <v>20</v>
      </c>
      <c r="H895" t="s">
        <v>21</v>
      </c>
      <c r="I895" t="s">
        <v>21</v>
      </c>
      <c r="J895" t="s">
        <v>45</v>
      </c>
      <c r="K895">
        <v>1</v>
      </c>
      <c r="L895">
        <v>15.366666666666699</v>
      </c>
      <c r="M895" t="s">
        <v>30</v>
      </c>
      <c r="N895" t="str">
        <f>_xlfn.XLOOKUP(A895,[1]!brca_metabric_clinical_data__2[Patient ID], [1]!brca_metabric_clinical_data__2[Tumor Size])</f>
        <v>35</v>
      </c>
      <c r="O895" t="str">
        <f>_xlfn.XLOOKUP(A895,[1]!brca_metabric_clinical_data__2[Sample ID],[1]!brca_metabric_clinical_data__2[Tumor Stage])</f>
        <v>NA</v>
      </c>
    </row>
    <row r="896" spans="1:15" x14ac:dyDescent="0.45">
      <c r="A896" t="s">
        <v>931</v>
      </c>
      <c r="B896">
        <v>77.12</v>
      </c>
      <c r="C896" t="s">
        <v>16</v>
      </c>
      <c r="D896" t="s">
        <v>17</v>
      </c>
      <c r="E896" t="s">
        <v>18</v>
      </c>
      <c r="F896" t="s">
        <v>19</v>
      </c>
      <c r="G896" t="s">
        <v>20</v>
      </c>
      <c r="H896" t="s">
        <v>21</v>
      </c>
      <c r="I896" t="s">
        <v>21</v>
      </c>
      <c r="J896" t="s">
        <v>27</v>
      </c>
      <c r="K896" t="s">
        <v>23</v>
      </c>
      <c r="L896">
        <v>114.033333333333</v>
      </c>
      <c r="M896" t="s">
        <v>30</v>
      </c>
      <c r="N896" t="str">
        <f>_xlfn.XLOOKUP(A896,[1]!brca_metabric_clinical_data__2[Patient ID], [1]!brca_metabric_clinical_data__2[Tumor Size])</f>
        <v>20</v>
      </c>
      <c r="O896" t="str">
        <f>_xlfn.XLOOKUP(A896,[1]!brca_metabric_clinical_data__2[Sample ID],[1]!brca_metabric_clinical_data__2[Tumor Stage])</f>
        <v>NA</v>
      </c>
    </row>
    <row r="897" spans="1:15" x14ac:dyDescent="0.45">
      <c r="A897" t="s">
        <v>932</v>
      </c>
      <c r="B897">
        <v>59.16</v>
      </c>
      <c r="C897" t="s">
        <v>16</v>
      </c>
      <c r="D897" t="s">
        <v>17</v>
      </c>
      <c r="E897" t="s">
        <v>37</v>
      </c>
      <c r="F897" t="s">
        <v>43</v>
      </c>
      <c r="G897" t="s">
        <v>21</v>
      </c>
      <c r="H897" t="s">
        <v>20</v>
      </c>
      <c r="I897" t="s">
        <v>21</v>
      </c>
      <c r="J897" t="s">
        <v>45</v>
      </c>
      <c r="K897">
        <v>5</v>
      </c>
      <c r="L897">
        <v>11.866666666666699</v>
      </c>
      <c r="M897" t="s">
        <v>30</v>
      </c>
      <c r="N897" t="str">
        <f>_xlfn.XLOOKUP(A897,[1]!brca_metabric_clinical_data__2[Patient ID], [1]!brca_metabric_clinical_data__2[Tumor Size])</f>
        <v>8</v>
      </c>
      <c r="O897" t="str">
        <f>_xlfn.XLOOKUP(A897,[1]!brca_metabric_clinical_data__2[Sample ID],[1]!brca_metabric_clinical_data__2[Tumor Stage])</f>
        <v>3</v>
      </c>
    </row>
    <row r="898" spans="1:15" x14ac:dyDescent="0.45">
      <c r="A898" t="s">
        <v>933</v>
      </c>
      <c r="B898">
        <v>50.08</v>
      </c>
      <c r="C898" t="s">
        <v>16</v>
      </c>
      <c r="D898" t="s">
        <v>17</v>
      </c>
      <c r="E898" t="s">
        <v>18</v>
      </c>
      <c r="F898" t="s">
        <v>35</v>
      </c>
      <c r="G898" t="s">
        <v>20</v>
      </c>
      <c r="H898" t="s">
        <v>20</v>
      </c>
      <c r="I898" t="s">
        <v>21</v>
      </c>
      <c r="J898" t="s">
        <v>38</v>
      </c>
      <c r="K898" t="s">
        <v>23</v>
      </c>
      <c r="L898">
        <v>267.26666666666699</v>
      </c>
      <c r="M898" t="s">
        <v>24</v>
      </c>
      <c r="N898" t="str">
        <f>_xlfn.XLOOKUP(A898,[1]!brca_metabric_clinical_data__2[Patient ID], [1]!brca_metabric_clinical_data__2[Tumor Size])</f>
        <v>20</v>
      </c>
      <c r="O898" t="str">
        <f>_xlfn.XLOOKUP(A898,[1]!brca_metabric_clinical_data__2[Sample ID],[1]!brca_metabric_clinical_data__2[Tumor Stage])</f>
        <v>1</v>
      </c>
    </row>
    <row r="899" spans="1:15" x14ac:dyDescent="0.45">
      <c r="A899" t="s">
        <v>934</v>
      </c>
      <c r="B899">
        <v>74.599999999999994</v>
      </c>
      <c r="C899" t="s">
        <v>16</v>
      </c>
      <c r="D899" t="s">
        <v>17</v>
      </c>
      <c r="E899" t="s">
        <v>18</v>
      </c>
      <c r="F899" t="s">
        <v>19</v>
      </c>
      <c r="G899" t="s">
        <v>20</v>
      </c>
      <c r="H899" t="s">
        <v>21</v>
      </c>
      <c r="I899" t="s">
        <v>21</v>
      </c>
      <c r="J899" t="s">
        <v>27</v>
      </c>
      <c r="K899">
        <v>8</v>
      </c>
      <c r="L899">
        <v>119.466666666667</v>
      </c>
      <c r="M899" t="s">
        <v>30</v>
      </c>
      <c r="N899" t="str">
        <f>_xlfn.XLOOKUP(A899,[1]!brca_metabric_clinical_data__2[Patient ID], [1]!brca_metabric_clinical_data__2[Tumor Size])</f>
        <v>25</v>
      </c>
      <c r="O899" t="str">
        <f>_xlfn.XLOOKUP(A899,[1]!brca_metabric_clinical_data__2[Sample ID],[1]!brca_metabric_clinical_data__2[Tumor Stage])</f>
        <v>2</v>
      </c>
    </row>
    <row r="900" spans="1:15" x14ac:dyDescent="0.45">
      <c r="A900" t="s">
        <v>935</v>
      </c>
      <c r="B900">
        <v>77.510000000000005</v>
      </c>
      <c r="C900" t="s">
        <v>16</v>
      </c>
      <c r="D900" t="s">
        <v>17</v>
      </c>
      <c r="E900" t="s">
        <v>18</v>
      </c>
      <c r="F900" t="s">
        <v>19</v>
      </c>
      <c r="G900" t="s">
        <v>20</v>
      </c>
      <c r="H900" t="s">
        <v>21</v>
      </c>
      <c r="I900" t="s">
        <v>21</v>
      </c>
      <c r="J900" t="s">
        <v>27</v>
      </c>
      <c r="K900">
        <v>7</v>
      </c>
      <c r="L900">
        <v>42.566666666666698</v>
      </c>
      <c r="M900" t="s">
        <v>30</v>
      </c>
      <c r="N900" t="str">
        <f>_xlfn.XLOOKUP(A900,[1]!brca_metabric_clinical_data__2[Patient ID], [1]!brca_metabric_clinical_data__2[Tumor Size])</f>
        <v>30</v>
      </c>
      <c r="O900" t="str">
        <f>_xlfn.XLOOKUP(A900,[1]!brca_metabric_clinical_data__2[Sample ID],[1]!brca_metabric_clinical_data__2[Tumor Stage])</f>
        <v>2</v>
      </c>
    </row>
    <row r="901" spans="1:15" x14ac:dyDescent="0.45">
      <c r="A901" t="s">
        <v>936</v>
      </c>
      <c r="B901">
        <v>40.04</v>
      </c>
      <c r="C901" t="s">
        <v>16</v>
      </c>
      <c r="D901" t="s">
        <v>26</v>
      </c>
      <c r="E901" t="s">
        <v>18</v>
      </c>
      <c r="F901" t="s">
        <v>19</v>
      </c>
      <c r="G901" t="s">
        <v>20</v>
      </c>
      <c r="H901" t="s">
        <v>20</v>
      </c>
      <c r="I901" t="s">
        <v>20</v>
      </c>
      <c r="J901" t="s">
        <v>38</v>
      </c>
      <c r="K901">
        <v>3</v>
      </c>
      <c r="L901">
        <v>291.16666666666703</v>
      </c>
      <c r="M901" t="s">
        <v>24</v>
      </c>
      <c r="N901" t="str">
        <f>_xlfn.XLOOKUP(A901,[1]!brca_metabric_clinical_data__2[Patient ID], [1]!brca_metabric_clinical_data__2[Tumor Size])</f>
        <v>16</v>
      </c>
      <c r="O901" t="str">
        <f>_xlfn.XLOOKUP(A901,[1]!brca_metabric_clinical_data__2[Sample ID],[1]!brca_metabric_clinical_data__2[Tumor Stage])</f>
        <v>1</v>
      </c>
    </row>
    <row r="902" spans="1:15" x14ac:dyDescent="0.45">
      <c r="A902" t="s">
        <v>937</v>
      </c>
      <c r="B902">
        <v>59.75</v>
      </c>
      <c r="C902" t="s">
        <v>16</v>
      </c>
      <c r="D902" t="s">
        <v>17</v>
      </c>
      <c r="E902" t="s">
        <v>18</v>
      </c>
      <c r="F902" t="s">
        <v>19</v>
      </c>
      <c r="G902" t="s">
        <v>20</v>
      </c>
      <c r="H902" t="s">
        <v>21</v>
      </c>
      <c r="I902" t="s">
        <v>21</v>
      </c>
      <c r="J902" t="s">
        <v>38</v>
      </c>
      <c r="K902">
        <v>7</v>
      </c>
      <c r="L902">
        <v>61.466666666666697</v>
      </c>
      <c r="M902" t="s">
        <v>30</v>
      </c>
      <c r="N902" t="str">
        <f>_xlfn.XLOOKUP(A902,[1]!brca_metabric_clinical_data__2[Patient ID], [1]!brca_metabric_clinical_data__2[Tumor Size])</f>
        <v>20</v>
      </c>
      <c r="O902" t="str">
        <f>_xlfn.XLOOKUP(A902,[1]!brca_metabric_clinical_data__2[Sample ID],[1]!brca_metabric_clinical_data__2[Tumor Stage])</f>
        <v>2</v>
      </c>
    </row>
    <row r="903" spans="1:15" x14ac:dyDescent="0.45">
      <c r="A903" t="s">
        <v>938</v>
      </c>
      <c r="B903">
        <v>68.489999999999995</v>
      </c>
      <c r="C903" t="s">
        <v>16</v>
      </c>
      <c r="D903" t="s">
        <v>17</v>
      </c>
      <c r="E903" t="s">
        <v>18</v>
      </c>
      <c r="F903" t="s">
        <v>19</v>
      </c>
      <c r="G903" t="s">
        <v>20</v>
      </c>
      <c r="H903" t="s">
        <v>21</v>
      </c>
      <c r="I903" t="s">
        <v>21</v>
      </c>
      <c r="J903" t="s">
        <v>27</v>
      </c>
      <c r="K903">
        <v>8</v>
      </c>
      <c r="L903">
        <v>164.333333333333</v>
      </c>
      <c r="M903" t="s">
        <v>30</v>
      </c>
      <c r="N903" t="str">
        <f>_xlfn.XLOOKUP(A903,[1]!brca_metabric_clinical_data__2[Patient ID], [1]!brca_metabric_clinical_data__2[Tumor Size])</f>
        <v>30</v>
      </c>
      <c r="O903" t="str">
        <f>_xlfn.XLOOKUP(A903,[1]!brca_metabric_clinical_data__2[Sample ID],[1]!brca_metabric_clinical_data__2[Tumor Stage])</f>
        <v>2</v>
      </c>
    </row>
    <row r="904" spans="1:15" x14ac:dyDescent="0.45">
      <c r="A904" t="s">
        <v>939</v>
      </c>
      <c r="B904">
        <v>45.21</v>
      </c>
      <c r="C904" t="s">
        <v>16</v>
      </c>
      <c r="D904" t="s">
        <v>26</v>
      </c>
      <c r="E904" t="s">
        <v>18</v>
      </c>
      <c r="F904" t="s">
        <v>19</v>
      </c>
      <c r="G904" t="s">
        <v>20</v>
      </c>
      <c r="H904" t="s">
        <v>21</v>
      </c>
      <c r="I904" t="s">
        <v>20</v>
      </c>
      <c r="J904" t="s">
        <v>45</v>
      </c>
      <c r="K904">
        <v>1</v>
      </c>
      <c r="L904">
        <v>139.6</v>
      </c>
      <c r="M904" t="s">
        <v>30</v>
      </c>
      <c r="N904" t="str">
        <f>_xlfn.XLOOKUP(A904,[1]!brca_metabric_clinical_data__2[Patient ID], [1]!brca_metabric_clinical_data__2[Tumor Size])</f>
        <v>30</v>
      </c>
      <c r="O904" t="str">
        <f>_xlfn.XLOOKUP(A904,[1]!brca_metabric_clinical_data__2[Sample ID],[1]!brca_metabric_clinical_data__2[Tumor Stage])</f>
        <v>NA</v>
      </c>
    </row>
    <row r="905" spans="1:15" x14ac:dyDescent="0.45">
      <c r="A905" t="s">
        <v>940</v>
      </c>
      <c r="B905">
        <v>44.4</v>
      </c>
      <c r="C905" t="s">
        <v>16</v>
      </c>
      <c r="D905" t="s">
        <v>26</v>
      </c>
      <c r="E905" t="s">
        <v>37</v>
      </c>
      <c r="F905" t="s">
        <v>19</v>
      </c>
      <c r="G905" t="s">
        <v>20</v>
      </c>
      <c r="H905" t="s">
        <v>20</v>
      </c>
      <c r="I905" t="s">
        <v>21</v>
      </c>
      <c r="J905" t="s">
        <v>58</v>
      </c>
      <c r="K905">
        <v>10</v>
      </c>
      <c r="L905">
        <v>83.366666666666703</v>
      </c>
      <c r="M905" t="s">
        <v>30</v>
      </c>
      <c r="N905" t="str">
        <f>_xlfn.XLOOKUP(A905,[1]!brca_metabric_clinical_data__2[Patient ID], [1]!brca_metabric_clinical_data__2[Tumor Size])</f>
        <v>10</v>
      </c>
      <c r="O905" t="str">
        <f>_xlfn.XLOOKUP(A905,[1]!brca_metabric_clinical_data__2[Sample ID],[1]!brca_metabric_clinical_data__2[Tumor Stage])</f>
        <v>1</v>
      </c>
    </row>
    <row r="906" spans="1:15" x14ac:dyDescent="0.45">
      <c r="A906" t="s">
        <v>941</v>
      </c>
      <c r="B906">
        <v>71.66</v>
      </c>
      <c r="C906" t="s">
        <v>16</v>
      </c>
      <c r="D906" t="s">
        <v>17</v>
      </c>
      <c r="E906" t="s">
        <v>37</v>
      </c>
      <c r="F906" t="s">
        <v>19</v>
      </c>
      <c r="G906" t="s">
        <v>20</v>
      </c>
      <c r="H906" t="s">
        <v>20</v>
      </c>
      <c r="I906" t="s">
        <v>20</v>
      </c>
      <c r="J906" t="s">
        <v>58</v>
      </c>
      <c r="K906">
        <v>9</v>
      </c>
      <c r="L906">
        <v>206.566666666667</v>
      </c>
      <c r="M906" t="s">
        <v>30</v>
      </c>
      <c r="N906" t="str">
        <f>_xlfn.XLOOKUP(A906,[1]!brca_metabric_clinical_data__2[Patient ID], [1]!brca_metabric_clinical_data__2[Tumor Size])</f>
        <v>20</v>
      </c>
      <c r="O906" t="str">
        <f>_xlfn.XLOOKUP(A906,[1]!brca_metabric_clinical_data__2[Sample ID],[1]!brca_metabric_clinical_data__2[Tumor Stage])</f>
        <v>NA</v>
      </c>
    </row>
    <row r="907" spans="1:15" x14ac:dyDescent="0.45">
      <c r="A907" t="s">
        <v>942</v>
      </c>
      <c r="B907">
        <v>44.89</v>
      </c>
      <c r="C907" t="s">
        <v>16</v>
      </c>
      <c r="D907" t="s">
        <v>26</v>
      </c>
      <c r="E907" t="s">
        <v>37</v>
      </c>
      <c r="F907" t="s">
        <v>19</v>
      </c>
      <c r="G907" t="s">
        <v>21</v>
      </c>
      <c r="H907" t="s">
        <v>20</v>
      </c>
      <c r="I907" t="s">
        <v>21</v>
      </c>
      <c r="J907" t="s">
        <v>22</v>
      </c>
      <c r="K907" t="s">
        <v>39</v>
      </c>
      <c r="L907">
        <v>241.6</v>
      </c>
      <c r="M907" t="s">
        <v>30</v>
      </c>
      <c r="N907" t="str">
        <f>_xlfn.XLOOKUP(A907,[1]!brca_metabric_clinical_data__2[Patient ID], [1]!brca_metabric_clinical_data__2[Tumor Size])</f>
        <v>25</v>
      </c>
      <c r="O907" t="str">
        <f>_xlfn.XLOOKUP(A907,[1]!brca_metabric_clinical_data__2[Sample ID],[1]!brca_metabric_clinical_data__2[Tumor Stage])</f>
        <v>2</v>
      </c>
    </row>
    <row r="908" spans="1:15" x14ac:dyDescent="0.45">
      <c r="A908" t="s">
        <v>943</v>
      </c>
      <c r="B908">
        <v>68.16</v>
      </c>
      <c r="C908" t="s">
        <v>16</v>
      </c>
      <c r="D908" t="s">
        <v>17</v>
      </c>
      <c r="E908" t="s">
        <v>37</v>
      </c>
      <c r="F908" t="s">
        <v>19</v>
      </c>
      <c r="G908" t="s">
        <v>20</v>
      </c>
      <c r="H908" t="s">
        <v>20</v>
      </c>
      <c r="I908" t="s">
        <v>20</v>
      </c>
      <c r="J908" t="s">
        <v>58</v>
      </c>
      <c r="K908">
        <v>10</v>
      </c>
      <c r="L908">
        <v>16.7</v>
      </c>
      <c r="M908" t="s">
        <v>30</v>
      </c>
      <c r="N908" t="str">
        <f>_xlfn.XLOOKUP(A908,[1]!brca_metabric_clinical_data__2[Patient ID], [1]!brca_metabric_clinical_data__2[Tumor Size])</f>
        <v>32</v>
      </c>
      <c r="O908" t="str">
        <f>_xlfn.XLOOKUP(A908,[1]!brca_metabric_clinical_data__2[Sample ID],[1]!brca_metabric_clinical_data__2[Tumor Stage])</f>
        <v>2</v>
      </c>
    </row>
    <row r="909" spans="1:15" x14ac:dyDescent="0.45">
      <c r="A909" t="s">
        <v>944</v>
      </c>
      <c r="B909">
        <v>56.11</v>
      </c>
      <c r="C909" t="s">
        <v>16</v>
      </c>
      <c r="D909" t="s">
        <v>17</v>
      </c>
      <c r="E909" t="s">
        <v>18</v>
      </c>
      <c r="F909" t="s">
        <v>19</v>
      </c>
      <c r="G909" t="s">
        <v>20</v>
      </c>
      <c r="H909" t="s">
        <v>20</v>
      </c>
      <c r="I909" t="s">
        <v>21</v>
      </c>
      <c r="J909" t="s">
        <v>27</v>
      </c>
      <c r="K909">
        <v>8</v>
      </c>
      <c r="L909">
        <v>307.63333333333298</v>
      </c>
      <c r="M909" t="s">
        <v>24</v>
      </c>
      <c r="N909" t="str">
        <f>_xlfn.XLOOKUP(A909,[1]!brca_metabric_clinical_data__2[Patient ID], [1]!brca_metabric_clinical_data__2[Tumor Size])</f>
        <v>20</v>
      </c>
      <c r="O909" t="str">
        <f>_xlfn.XLOOKUP(A909,[1]!brca_metabric_clinical_data__2[Sample ID],[1]!brca_metabric_clinical_data__2[Tumor Stage])</f>
        <v>1</v>
      </c>
    </row>
    <row r="910" spans="1:15" x14ac:dyDescent="0.45">
      <c r="A910" t="s">
        <v>945</v>
      </c>
      <c r="B910">
        <v>69.010000000000005</v>
      </c>
      <c r="C910" t="s">
        <v>16</v>
      </c>
      <c r="D910" t="s">
        <v>17</v>
      </c>
      <c r="E910" t="s">
        <v>18</v>
      </c>
      <c r="F910" t="s">
        <v>43</v>
      </c>
      <c r="G910" t="s">
        <v>20</v>
      </c>
      <c r="H910" t="s">
        <v>20</v>
      </c>
      <c r="I910" t="s">
        <v>21</v>
      </c>
      <c r="J910" t="s">
        <v>27</v>
      </c>
      <c r="K910">
        <v>7</v>
      </c>
      <c r="L910">
        <v>264.76666666666699</v>
      </c>
      <c r="M910" t="s">
        <v>30</v>
      </c>
      <c r="N910" t="str">
        <f>_xlfn.XLOOKUP(A910,[1]!brca_metabric_clinical_data__2[Patient ID], [1]!brca_metabric_clinical_data__2[Tumor Size])</f>
        <v>10</v>
      </c>
      <c r="O910" t="str">
        <f>_xlfn.XLOOKUP(A910,[1]!brca_metabric_clinical_data__2[Sample ID],[1]!brca_metabric_clinical_data__2[Tumor Stage])</f>
        <v>1</v>
      </c>
    </row>
    <row r="911" spans="1:15" x14ac:dyDescent="0.45">
      <c r="A911" t="s">
        <v>946</v>
      </c>
      <c r="B911">
        <v>70.84</v>
      </c>
      <c r="C911" t="s">
        <v>16</v>
      </c>
      <c r="D911" t="s">
        <v>17</v>
      </c>
      <c r="E911" t="s">
        <v>18</v>
      </c>
      <c r="F911" t="s">
        <v>19</v>
      </c>
      <c r="G911" t="s">
        <v>20</v>
      </c>
      <c r="H911" t="s">
        <v>21</v>
      </c>
      <c r="I911" t="s">
        <v>21</v>
      </c>
      <c r="J911" t="s">
        <v>58</v>
      </c>
      <c r="K911">
        <v>7</v>
      </c>
      <c r="L911">
        <v>170.9</v>
      </c>
      <c r="M911" t="s">
        <v>30</v>
      </c>
      <c r="N911" t="str">
        <f>_xlfn.XLOOKUP(A911,[1]!brca_metabric_clinical_data__2[Patient ID], [1]!brca_metabric_clinical_data__2[Tumor Size])</f>
        <v>45</v>
      </c>
      <c r="O911" t="str">
        <f>_xlfn.XLOOKUP(A911,[1]!brca_metabric_clinical_data__2[Sample ID],[1]!brca_metabric_clinical_data__2[Tumor Stage])</f>
        <v>2</v>
      </c>
    </row>
    <row r="912" spans="1:15" x14ac:dyDescent="0.45">
      <c r="A912" t="s">
        <v>947</v>
      </c>
      <c r="B912">
        <v>74.84</v>
      </c>
      <c r="C912" t="s">
        <v>16</v>
      </c>
      <c r="D912" t="s">
        <v>17</v>
      </c>
      <c r="E912" t="s">
        <v>18</v>
      </c>
      <c r="F912" t="s">
        <v>19</v>
      </c>
      <c r="G912" t="s">
        <v>20</v>
      </c>
      <c r="H912" t="s">
        <v>21</v>
      </c>
      <c r="I912" t="s">
        <v>21</v>
      </c>
      <c r="J912" t="s">
        <v>45</v>
      </c>
      <c r="K912">
        <v>9</v>
      </c>
      <c r="L912">
        <v>148.1</v>
      </c>
      <c r="M912" t="s">
        <v>30</v>
      </c>
      <c r="N912" t="str">
        <f>_xlfn.XLOOKUP(A912,[1]!brca_metabric_clinical_data__2[Patient ID], [1]!brca_metabric_clinical_data__2[Tumor Size])</f>
        <v>25</v>
      </c>
      <c r="O912" t="str">
        <f>_xlfn.XLOOKUP(A912,[1]!brca_metabric_clinical_data__2[Sample ID],[1]!brca_metabric_clinical_data__2[Tumor Stage])</f>
        <v>2</v>
      </c>
    </row>
    <row r="913" spans="1:15" x14ac:dyDescent="0.45">
      <c r="A913" t="s">
        <v>948</v>
      </c>
      <c r="B913">
        <v>47.29</v>
      </c>
      <c r="C913" t="s">
        <v>16</v>
      </c>
      <c r="D913" t="s">
        <v>26</v>
      </c>
      <c r="E913" t="s">
        <v>18</v>
      </c>
      <c r="F913" t="s">
        <v>19</v>
      </c>
      <c r="G913" t="s">
        <v>20</v>
      </c>
      <c r="H913" t="s">
        <v>20</v>
      </c>
      <c r="I913" t="s">
        <v>20</v>
      </c>
      <c r="J913" t="s">
        <v>27</v>
      </c>
      <c r="K913">
        <v>8</v>
      </c>
      <c r="L913">
        <v>296.86666666666702</v>
      </c>
      <c r="M913" t="s">
        <v>24</v>
      </c>
      <c r="N913" t="str">
        <f>_xlfn.XLOOKUP(A913,[1]!brca_metabric_clinical_data__2[Patient ID], [1]!brca_metabric_clinical_data__2[Tumor Size])</f>
        <v>15</v>
      </c>
      <c r="O913" t="str">
        <f>_xlfn.XLOOKUP(A913,[1]!brca_metabric_clinical_data__2[Sample ID],[1]!brca_metabric_clinical_data__2[Tumor Stage])</f>
        <v>1</v>
      </c>
    </row>
    <row r="914" spans="1:15" x14ac:dyDescent="0.45">
      <c r="A914" t="s">
        <v>949</v>
      </c>
      <c r="B914">
        <v>66.23</v>
      </c>
      <c r="C914" t="s">
        <v>16</v>
      </c>
      <c r="D914" t="s">
        <v>17</v>
      </c>
      <c r="E914" t="s">
        <v>18</v>
      </c>
      <c r="F914" t="s">
        <v>19</v>
      </c>
      <c r="G914" t="s">
        <v>20</v>
      </c>
      <c r="H914" t="s">
        <v>21</v>
      </c>
      <c r="I914" t="s">
        <v>21</v>
      </c>
      <c r="J914" t="s">
        <v>38</v>
      </c>
      <c r="K914">
        <v>3</v>
      </c>
      <c r="L914">
        <v>52.3</v>
      </c>
      <c r="M914" t="s">
        <v>30</v>
      </c>
      <c r="N914" t="str">
        <f>_xlfn.XLOOKUP(A914,[1]!brca_metabric_clinical_data__2[Patient ID], [1]!brca_metabric_clinical_data__2[Tumor Size])</f>
        <v>55</v>
      </c>
      <c r="O914" t="str">
        <f>_xlfn.XLOOKUP(A914,[1]!brca_metabric_clinical_data__2[Sample ID],[1]!brca_metabric_clinical_data__2[Tumor Stage])</f>
        <v>NA</v>
      </c>
    </row>
    <row r="915" spans="1:15" x14ac:dyDescent="0.45">
      <c r="A915" t="s">
        <v>950</v>
      </c>
      <c r="B915">
        <v>61.21</v>
      </c>
      <c r="C915" t="s">
        <v>16</v>
      </c>
      <c r="D915" t="s">
        <v>17</v>
      </c>
      <c r="E915" t="s">
        <v>18</v>
      </c>
      <c r="F915" t="s">
        <v>19</v>
      </c>
      <c r="G915" t="s">
        <v>20</v>
      </c>
      <c r="H915" t="s">
        <v>21</v>
      </c>
      <c r="I915" t="s">
        <v>21</v>
      </c>
      <c r="J915" t="s">
        <v>27</v>
      </c>
      <c r="K915">
        <v>3</v>
      </c>
      <c r="L915">
        <v>126.466666666667</v>
      </c>
      <c r="M915" t="s">
        <v>30</v>
      </c>
      <c r="N915" t="str">
        <f>_xlfn.XLOOKUP(A915,[1]!brca_metabric_clinical_data__2[Patient ID], [1]!brca_metabric_clinical_data__2[Tumor Size])</f>
        <v>15</v>
      </c>
      <c r="O915" t="str">
        <f>_xlfn.XLOOKUP(A915,[1]!brca_metabric_clinical_data__2[Sample ID],[1]!brca_metabric_clinical_data__2[Tumor Stage])</f>
        <v>1</v>
      </c>
    </row>
    <row r="916" spans="1:15" x14ac:dyDescent="0.45">
      <c r="A916" t="s">
        <v>951</v>
      </c>
      <c r="B916">
        <v>50.42</v>
      </c>
      <c r="C916" t="s">
        <v>16</v>
      </c>
      <c r="D916" t="s">
        <v>17</v>
      </c>
      <c r="E916" t="s">
        <v>37</v>
      </c>
      <c r="F916" t="s">
        <v>43</v>
      </c>
      <c r="G916" t="s">
        <v>21</v>
      </c>
      <c r="H916" t="s">
        <v>20</v>
      </c>
      <c r="I916" t="s">
        <v>21</v>
      </c>
      <c r="J916" t="s">
        <v>45</v>
      </c>
      <c r="K916" t="s">
        <v>39</v>
      </c>
      <c r="L916">
        <v>322.83333333333297</v>
      </c>
      <c r="M916" t="s">
        <v>24</v>
      </c>
      <c r="N916" t="str">
        <f>_xlfn.XLOOKUP(A916,[1]!brca_metabric_clinical_data__2[Patient ID], [1]!brca_metabric_clinical_data__2[Tumor Size])</f>
        <v>1</v>
      </c>
      <c r="O916" t="str">
        <f>_xlfn.XLOOKUP(A916,[1]!brca_metabric_clinical_data__2[Sample ID],[1]!brca_metabric_clinical_data__2[Tumor Stage])</f>
        <v>2</v>
      </c>
    </row>
    <row r="917" spans="1:15" x14ac:dyDescent="0.45">
      <c r="A917" t="s">
        <v>952</v>
      </c>
      <c r="B917">
        <v>51.25</v>
      </c>
      <c r="C917" t="s">
        <v>16</v>
      </c>
      <c r="D917" t="s">
        <v>17</v>
      </c>
      <c r="E917" t="s">
        <v>18</v>
      </c>
      <c r="F917" t="s">
        <v>19</v>
      </c>
      <c r="G917" t="s">
        <v>20</v>
      </c>
      <c r="H917" t="s">
        <v>21</v>
      </c>
      <c r="I917" t="s">
        <v>21</v>
      </c>
      <c r="J917" t="s">
        <v>27</v>
      </c>
      <c r="K917">
        <v>8</v>
      </c>
      <c r="L917">
        <v>279.8</v>
      </c>
      <c r="M917" t="s">
        <v>24</v>
      </c>
      <c r="N917" t="str">
        <f>_xlfn.XLOOKUP(A917,[1]!brca_metabric_clinical_data__2[Patient ID], [1]!brca_metabric_clinical_data__2[Tumor Size])</f>
        <v>30</v>
      </c>
      <c r="O917" t="str">
        <f>_xlfn.XLOOKUP(A917,[1]!brca_metabric_clinical_data__2[Sample ID],[1]!brca_metabric_clinical_data__2[Tumor Stage])</f>
        <v>2</v>
      </c>
    </row>
    <row r="918" spans="1:15" x14ac:dyDescent="0.45">
      <c r="A918" t="s">
        <v>953</v>
      </c>
      <c r="B918">
        <v>74.67</v>
      </c>
      <c r="C918" t="s">
        <v>16</v>
      </c>
      <c r="D918" t="s">
        <v>17</v>
      </c>
      <c r="E918" t="s">
        <v>18</v>
      </c>
      <c r="F918" t="s">
        <v>19</v>
      </c>
      <c r="G918" t="s">
        <v>20</v>
      </c>
      <c r="H918" t="s">
        <v>21</v>
      </c>
      <c r="I918" t="s">
        <v>21</v>
      </c>
      <c r="J918" t="s">
        <v>27</v>
      </c>
      <c r="K918">
        <v>7</v>
      </c>
      <c r="L918">
        <v>210.433333333333</v>
      </c>
      <c r="M918" t="s">
        <v>30</v>
      </c>
      <c r="N918" t="str">
        <f>_xlfn.XLOOKUP(A918,[1]!brca_metabric_clinical_data__2[Patient ID], [1]!brca_metabric_clinical_data__2[Tumor Size])</f>
        <v>18</v>
      </c>
      <c r="O918" t="str">
        <f>_xlfn.XLOOKUP(A918,[1]!brca_metabric_clinical_data__2[Sample ID],[1]!brca_metabric_clinical_data__2[Tumor Stage])</f>
        <v>NA</v>
      </c>
    </row>
    <row r="919" spans="1:15" x14ac:dyDescent="0.45">
      <c r="A919" t="s">
        <v>954</v>
      </c>
      <c r="B919">
        <v>72.739999999999995</v>
      </c>
      <c r="C919" t="s">
        <v>16</v>
      </c>
      <c r="D919" t="s">
        <v>17</v>
      </c>
      <c r="E919" t="s">
        <v>18</v>
      </c>
      <c r="F919" t="s">
        <v>19</v>
      </c>
      <c r="G919" t="s">
        <v>20</v>
      </c>
      <c r="H919" t="s">
        <v>21</v>
      </c>
      <c r="I919" t="s">
        <v>21</v>
      </c>
      <c r="J919" t="s">
        <v>27</v>
      </c>
      <c r="K919">
        <v>7</v>
      </c>
      <c r="L919">
        <v>197.333333333333</v>
      </c>
      <c r="M919" t="s">
        <v>30</v>
      </c>
      <c r="N919" t="str">
        <f>_xlfn.XLOOKUP(A919,[1]!brca_metabric_clinical_data__2[Patient ID], [1]!brca_metabric_clinical_data__2[Tumor Size])</f>
        <v>45</v>
      </c>
      <c r="O919" t="str">
        <f>_xlfn.XLOOKUP(A919,[1]!brca_metabric_clinical_data__2[Sample ID],[1]!brca_metabric_clinical_data__2[Tumor Stage])</f>
        <v>2</v>
      </c>
    </row>
    <row r="920" spans="1:15" x14ac:dyDescent="0.45">
      <c r="A920" t="s">
        <v>955</v>
      </c>
      <c r="B920">
        <v>71.930000000000007</v>
      </c>
      <c r="C920" t="s">
        <v>16</v>
      </c>
      <c r="D920" t="s">
        <v>17</v>
      </c>
      <c r="E920" t="s">
        <v>18</v>
      </c>
      <c r="F920" t="s">
        <v>19</v>
      </c>
      <c r="G920" t="s">
        <v>20</v>
      </c>
      <c r="H920" t="s">
        <v>20</v>
      </c>
      <c r="I920" t="s">
        <v>21</v>
      </c>
      <c r="J920" t="s">
        <v>29</v>
      </c>
      <c r="K920">
        <v>9</v>
      </c>
      <c r="L920">
        <v>41.1666666666667</v>
      </c>
      <c r="M920" t="s">
        <v>30</v>
      </c>
      <c r="N920" t="str">
        <f>_xlfn.XLOOKUP(A920,[1]!brca_metabric_clinical_data__2[Patient ID], [1]!brca_metabric_clinical_data__2[Tumor Size])</f>
        <v>25</v>
      </c>
      <c r="O920" t="str">
        <f>_xlfn.XLOOKUP(A920,[1]!brca_metabric_clinical_data__2[Sample ID],[1]!brca_metabric_clinical_data__2[Tumor Stage])</f>
        <v>2</v>
      </c>
    </row>
    <row r="921" spans="1:15" x14ac:dyDescent="0.45">
      <c r="A921" t="s">
        <v>956</v>
      </c>
      <c r="B921">
        <v>48.44</v>
      </c>
      <c r="C921" t="s">
        <v>16</v>
      </c>
      <c r="D921" t="s">
        <v>26</v>
      </c>
      <c r="E921" t="s">
        <v>18</v>
      </c>
      <c r="F921" t="s">
        <v>19</v>
      </c>
      <c r="G921" t="s">
        <v>20</v>
      </c>
      <c r="H921" t="s">
        <v>20</v>
      </c>
      <c r="I921" t="s">
        <v>21</v>
      </c>
      <c r="J921" t="s">
        <v>27</v>
      </c>
      <c r="K921">
        <v>8</v>
      </c>
      <c r="L921">
        <v>140.23333333333301</v>
      </c>
      <c r="M921" t="s">
        <v>24</v>
      </c>
      <c r="N921" t="str">
        <f>_xlfn.XLOOKUP(A921,[1]!brca_metabric_clinical_data__2[Patient ID], [1]!brca_metabric_clinical_data__2[Tumor Size])</f>
        <v>15</v>
      </c>
      <c r="O921" t="str">
        <f>_xlfn.XLOOKUP(A921,[1]!brca_metabric_clinical_data__2[Sample ID],[1]!brca_metabric_clinical_data__2[Tumor Stage])</f>
        <v>1</v>
      </c>
    </row>
    <row r="922" spans="1:15" x14ac:dyDescent="0.45">
      <c r="A922" t="s">
        <v>957</v>
      </c>
      <c r="B922">
        <v>67.92</v>
      </c>
      <c r="C922" t="s">
        <v>16</v>
      </c>
      <c r="D922" t="s">
        <v>17</v>
      </c>
      <c r="E922" t="s">
        <v>18</v>
      </c>
      <c r="F922" t="s">
        <v>19</v>
      </c>
      <c r="G922" t="s">
        <v>20</v>
      </c>
      <c r="H922" t="s">
        <v>21</v>
      </c>
      <c r="I922" t="s">
        <v>21</v>
      </c>
      <c r="J922" t="s">
        <v>29</v>
      </c>
      <c r="K922">
        <v>8</v>
      </c>
      <c r="L922">
        <v>119.366666666667</v>
      </c>
      <c r="M922" t="s">
        <v>30</v>
      </c>
      <c r="N922" t="str">
        <f>_xlfn.XLOOKUP(A922,[1]!brca_metabric_clinical_data__2[Patient ID], [1]!brca_metabric_clinical_data__2[Tumor Size])</f>
        <v>25</v>
      </c>
      <c r="O922" t="str">
        <f>_xlfn.XLOOKUP(A922,[1]!brca_metabric_clinical_data__2[Sample ID],[1]!brca_metabric_clinical_data__2[Tumor Stage])</f>
        <v>2</v>
      </c>
    </row>
    <row r="923" spans="1:15" x14ac:dyDescent="0.45">
      <c r="A923" t="s">
        <v>958</v>
      </c>
      <c r="B923">
        <v>63.83</v>
      </c>
      <c r="C923" t="s">
        <v>16</v>
      </c>
      <c r="D923" t="s">
        <v>17</v>
      </c>
      <c r="E923" t="s">
        <v>18</v>
      </c>
      <c r="F923" t="s">
        <v>19</v>
      </c>
      <c r="G923" t="s">
        <v>20</v>
      </c>
      <c r="H923" t="s">
        <v>21</v>
      </c>
      <c r="I923" t="s">
        <v>21</v>
      </c>
      <c r="J923" t="s">
        <v>27</v>
      </c>
      <c r="K923">
        <v>8</v>
      </c>
      <c r="L923">
        <v>191.166666666667</v>
      </c>
      <c r="M923" t="s">
        <v>24</v>
      </c>
      <c r="N923" t="str">
        <f>_xlfn.XLOOKUP(A923,[1]!brca_metabric_clinical_data__2[Patient ID], [1]!brca_metabric_clinical_data__2[Tumor Size])</f>
        <v>40</v>
      </c>
      <c r="O923" t="str">
        <f>_xlfn.XLOOKUP(A923,[1]!brca_metabric_clinical_data__2[Sample ID],[1]!brca_metabric_clinical_data__2[Tumor Stage])</f>
        <v>2</v>
      </c>
    </row>
    <row r="924" spans="1:15" x14ac:dyDescent="0.45">
      <c r="A924" t="s">
        <v>959</v>
      </c>
      <c r="B924">
        <v>39.14</v>
      </c>
      <c r="C924" t="s">
        <v>16</v>
      </c>
      <c r="D924" t="s">
        <v>26</v>
      </c>
      <c r="E924" t="s">
        <v>37</v>
      </c>
      <c r="F924" t="s">
        <v>43</v>
      </c>
      <c r="G924" t="s">
        <v>21</v>
      </c>
      <c r="H924" t="s">
        <v>20</v>
      </c>
      <c r="I924" t="s">
        <v>20</v>
      </c>
      <c r="J924" t="s">
        <v>58</v>
      </c>
      <c r="K924">
        <v>5</v>
      </c>
      <c r="L924">
        <v>56.266666666666701</v>
      </c>
      <c r="M924" t="s">
        <v>30</v>
      </c>
      <c r="N924" t="str">
        <f>_xlfn.XLOOKUP(A924,[1]!brca_metabric_clinical_data__2[Patient ID], [1]!brca_metabric_clinical_data__2[Tumor Size])</f>
        <v>30</v>
      </c>
      <c r="O924" t="str">
        <f>_xlfn.XLOOKUP(A924,[1]!brca_metabric_clinical_data__2[Sample ID],[1]!brca_metabric_clinical_data__2[Tumor Stage])</f>
        <v>2</v>
      </c>
    </row>
    <row r="925" spans="1:15" x14ac:dyDescent="0.45">
      <c r="A925" t="s">
        <v>960</v>
      </c>
      <c r="B925">
        <v>58.38</v>
      </c>
      <c r="C925" t="s">
        <v>16</v>
      </c>
      <c r="D925" t="s">
        <v>17</v>
      </c>
      <c r="E925" t="s">
        <v>18</v>
      </c>
      <c r="F925" t="s">
        <v>19</v>
      </c>
      <c r="G925" t="s">
        <v>20</v>
      </c>
      <c r="H925" t="s">
        <v>21</v>
      </c>
      <c r="I925" t="s">
        <v>21</v>
      </c>
      <c r="J925" t="s">
        <v>29</v>
      </c>
      <c r="K925">
        <v>1</v>
      </c>
      <c r="L925">
        <v>122.8</v>
      </c>
      <c r="M925" t="s">
        <v>30</v>
      </c>
      <c r="N925" t="str">
        <f>_xlfn.XLOOKUP(A925,[1]!brca_metabric_clinical_data__2[Patient ID], [1]!brca_metabric_clinical_data__2[Tumor Size])</f>
        <v>20</v>
      </c>
      <c r="O925" t="str">
        <f>_xlfn.XLOOKUP(A925,[1]!brca_metabric_clinical_data__2[Sample ID],[1]!brca_metabric_clinical_data__2[Tumor Stage])</f>
        <v>2</v>
      </c>
    </row>
    <row r="926" spans="1:15" x14ac:dyDescent="0.45">
      <c r="A926" t="s">
        <v>961</v>
      </c>
      <c r="B926">
        <v>42.79</v>
      </c>
      <c r="C926" t="s">
        <v>16</v>
      </c>
      <c r="D926" t="s">
        <v>26</v>
      </c>
      <c r="E926" t="s">
        <v>18</v>
      </c>
      <c r="F926" t="s">
        <v>19</v>
      </c>
      <c r="G926" t="s">
        <v>20</v>
      </c>
      <c r="H926" t="s">
        <v>20</v>
      </c>
      <c r="I926" t="s">
        <v>21</v>
      </c>
      <c r="J926" t="s">
        <v>38</v>
      </c>
      <c r="K926">
        <v>8</v>
      </c>
      <c r="L926">
        <v>239.23333333333301</v>
      </c>
      <c r="M926" t="s">
        <v>24</v>
      </c>
      <c r="N926" t="str">
        <f>_xlfn.XLOOKUP(A926,[1]!brca_metabric_clinical_data__2[Patient ID], [1]!brca_metabric_clinical_data__2[Tumor Size])</f>
        <v>15</v>
      </c>
      <c r="O926" t="str">
        <f>_xlfn.XLOOKUP(A926,[1]!brca_metabric_clinical_data__2[Sample ID],[1]!brca_metabric_clinical_data__2[Tumor Stage])</f>
        <v>1</v>
      </c>
    </row>
    <row r="927" spans="1:15" x14ac:dyDescent="0.45">
      <c r="A927" t="s">
        <v>962</v>
      </c>
      <c r="B927">
        <v>55.42</v>
      </c>
      <c r="C927" t="s">
        <v>16</v>
      </c>
      <c r="D927" t="s">
        <v>17</v>
      </c>
      <c r="E927" t="s">
        <v>18</v>
      </c>
      <c r="F927" t="s">
        <v>19</v>
      </c>
      <c r="G927" t="s">
        <v>20</v>
      </c>
      <c r="H927" t="s">
        <v>20</v>
      </c>
      <c r="I927" t="s">
        <v>21</v>
      </c>
      <c r="J927" t="s">
        <v>27</v>
      </c>
      <c r="K927">
        <v>8</v>
      </c>
      <c r="L927">
        <v>121.73333333333299</v>
      </c>
      <c r="M927" t="s">
        <v>24</v>
      </c>
      <c r="N927" t="str">
        <f>_xlfn.XLOOKUP(A927,[1]!brca_metabric_clinical_data__2[Patient ID], [1]!brca_metabric_clinical_data__2[Tumor Size])</f>
        <v>15</v>
      </c>
      <c r="O927" t="str">
        <f>_xlfn.XLOOKUP(A927,[1]!brca_metabric_clinical_data__2[Sample ID],[1]!brca_metabric_clinical_data__2[Tumor Stage])</f>
        <v>1</v>
      </c>
    </row>
    <row r="928" spans="1:15" x14ac:dyDescent="0.45">
      <c r="A928" t="s">
        <v>963</v>
      </c>
      <c r="B928">
        <v>71.47</v>
      </c>
      <c r="C928" t="s">
        <v>16</v>
      </c>
      <c r="D928" t="s">
        <v>17</v>
      </c>
      <c r="E928" t="s">
        <v>18</v>
      </c>
      <c r="F928" t="s">
        <v>19</v>
      </c>
      <c r="G928" t="s">
        <v>20</v>
      </c>
      <c r="H928" t="s">
        <v>20</v>
      </c>
      <c r="I928" t="s">
        <v>21</v>
      </c>
      <c r="J928" t="s">
        <v>27</v>
      </c>
      <c r="K928">
        <v>8</v>
      </c>
      <c r="L928">
        <v>90.133333333333297</v>
      </c>
      <c r="M928" t="s">
        <v>30</v>
      </c>
      <c r="N928" t="str">
        <f>_xlfn.XLOOKUP(A928,[1]!brca_metabric_clinical_data__2[Patient ID], [1]!brca_metabric_clinical_data__2[Tumor Size])</f>
        <v>20</v>
      </c>
      <c r="O928" t="str">
        <f>_xlfn.XLOOKUP(A928,[1]!brca_metabric_clinical_data__2[Sample ID],[1]!brca_metabric_clinical_data__2[Tumor Stage])</f>
        <v>1</v>
      </c>
    </row>
    <row r="929" spans="1:15" x14ac:dyDescent="0.45">
      <c r="A929" t="s">
        <v>964</v>
      </c>
      <c r="B929">
        <v>40.049999999999997</v>
      </c>
      <c r="C929" t="s">
        <v>16</v>
      </c>
      <c r="D929" t="s">
        <v>26</v>
      </c>
      <c r="E929" t="s">
        <v>18</v>
      </c>
      <c r="F929" t="s">
        <v>43</v>
      </c>
      <c r="G929" t="s">
        <v>20</v>
      </c>
      <c r="H929" t="s">
        <v>20</v>
      </c>
      <c r="I929" t="s">
        <v>21</v>
      </c>
      <c r="J929" t="s">
        <v>29</v>
      </c>
      <c r="K929">
        <v>1</v>
      </c>
      <c r="L929">
        <v>267.39999999999998</v>
      </c>
      <c r="M929" t="s">
        <v>24</v>
      </c>
      <c r="N929" t="str">
        <f>_xlfn.XLOOKUP(A929,[1]!brca_metabric_clinical_data__2[Patient ID], [1]!brca_metabric_clinical_data__2[Tumor Size])</f>
        <v>12</v>
      </c>
      <c r="O929" t="str">
        <f>_xlfn.XLOOKUP(A929,[1]!brca_metabric_clinical_data__2[Sample ID],[1]!brca_metabric_clinical_data__2[Tumor Stage])</f>
        <v>1</v>
      </c>
    </row>
    <row r="930" spans="1:15" x14ac:dyDescent="0.45">
      <c r="A930" t="s">
        <v>965</v>
      </c>
      <c r="B930">
        <v>39.51</v>
      </c>
      <c r="C930" t="s">
        <v>16</v>
      </c>
      <c r="D930" t="s">
        <v>26</v>
      </c>
      <c r="E930" t="s">
        <v>37</v>
      </c>
      <c r="F930" t="s">
        <v>19</v>
      </c>
      <c r="G930" t="s">
        <v>21</v>
      </c>
      <c r="H930" t="s">
        <v>20</v>
      </c>
      <c r="I930" t="s">
        <v>20</v>
      </c>
      <c r="J930" t="s">
        <v>58</v>
      </c>
      <c r="K930">
        <v>10</v>
      </c>
      <c r="L930">
        <v>271.86666666666702</v>
      </c>
      <c r="M930" t="s">
        <v>24</v>
      </c>
      <c r="N930" t="str">
        <f>_xlfn.XLOOKUP(A930,[1]!brca_metabric_clinical_data__2[Patient ID], [1]!brca_metabric_clinical_data__2[Tumor Size])</f>
        <v>53</v>
      </c>
      <c r="O930" t="str">
        <f>_xlfn.XLOOKUP(A930,[1]!brca_metabric_clinical_data__2[Sample ID],[1]!brca_metabric_clinical_data__2[Tumor Stage])</f>
        <v>3</v>
      </c>
    </row>
    <row r="931" spans="1:15" x14ac:dyDescent="0.45">
      <c r="A931" t="s">
        <v>966</v>
      </c>
      <c r="B931">
        <v>40.83</v>
      </c>
      <c r="C931" t="s">
        <v>16</v>
      </c>
      <c r="D931" t="s">
        <v>26</v>
      </c>
      <c r="E931" t="s">
        <v>37</v>
      </c>
      <c r="F931" t="s">
        <v>19</v>
      </c>
      <c r="G931" t="s">
        <v>21</v>
      </c>
      <c r="H931" t="s">
        <v>20</v>
      </c>
      <c r="I931" t="s">
        <v>21</v>
      </c>
      <c r="J931" t="s">
        <v>22</v>
      </c>
      <c r="K931">
        <v>10</v>
      </c>
      <c r="L931">
        <v>282.83333333333297</v>
      </c>
      <c r="M931" t="s">
        <v>30</v>
      </c>
      <c r="N931" t="str">
        <f>_xlfn.XLOOKUP(A931,[1]!brca_metabric_clinical_data__2[Patient ID], [1]!brca_metabric_clinical_data__2[Tumor Size])</f>
        <v>50</v>
      </c>
      <c r="O931" t="str">
        <f>_xlfn.XLOOKUP(A931,[1]!brca_metabric_clinical_data__2[Sample ID],[1]!brca_metabric_clinical_data__2[Tumor Stage])</f>
        <v>2</v>
      </c>
    </row>
    <row r="932" spans="1:15" x14ac:dyDescent="0.45">
      <c r="A932" t="s">
        <v>967</v>
      </c>
      <c r="B932">
        <v>61.88</v>
      </c>
      <c r="C932" t="s">
        <v>16</v>
      </c>
      <c r="D932" t="s">
        <v>17</v>
      </c>
      <c r="E932" t="s">
        <v>18</v>
      </c>
      <c r="F932" t="s">
        <v>19</v>
      </c>
      <c r="G932" t="s">
        <v>20</v>
      </c>
      <c r="H932" t="s">
        <v>21</v>
      </c>
      <c r="I932" t="s">
        <v>21</v>
      </c>
      <c r="J932" t="s">
        <v>27</v>
      </c>
      <c r="K932">
        <v>3</v>
      </c>
      <c r="L932">
        <v>292.03333333333302</v>
      </c>
      <c r="M932" t="s">
        <v>30</v>
      </c>
      <c r="N932" t="str">
        <f>_xlfn.XLOOKUP(A932,[1]!brca_metabric_clinical_data__2[Patient ID], [1]!brca_metabric_clinical_data__2[Tumor Size])</f>
        <v>10</v>
      </c>
      <c r="O932" t="str">
        <f>_xlfn.XLOOKUP(A932,[1]!brca_metabric_clinical_data__2[Sample ID],[1]!brca_metabric_clinical_data__2[Tumor Stage])</f>
        <v>2</v>
      </c>
    </row>
    <row r="933" spans="1:15" x14ac:dyDescent="0.45">
      <c r="A933" t="s">
        <v>968</v>
      </c>
      <c r="B933">
        <v>64.61</v>
      </c>
      <c r="C933" t="s">
        <v>16</v>
      </c>
      <c r="D933" t="s">
        <v>17</v>
      </c>
      <c r="E933" t="s">
        <v>18</v>
      </c>
      <c r="F933" t="s">
        <v>43</v>
      </c>
      <c r="G933" t="s">
        <v>20</v>
      </c>
      <c r="H933" t="s">
        <v>20</v>
      </c>
      <c r="I933" t="s">
        <v>21</v>
      </c>
      <c r="J933" t="s">
        <v>45</v>
      </c>
      <c r="K933">
        <v>1</v>
      </c>
      <c r="L933">
        <v>143</v>
      </c>
      <c r="M933" t="s">
        <v>30</v>
      </c>
      <c r="N933" t="str">
        <f>_xlfn.XLOOKUP(A933,[1]!brca_metabric_clinical_data__2[Patient ID], [1]!brca_metabric_clinical_data__2[Tumor Size])</f>
        <v>15</v>
      </c>
      <c r="O933" t="str">
        <f>_xlfn.XLOOKUP(A933,[1]!brca_metabric_clinical_data__2[Sample ID],[1]!brca_metabric_clinical_data__2[Tumor Stage])</f>
        <v>1</v>
      </c>
    </row>
    <row r="934" spans="1:15" x14ac:dyDescent="0.45">
      <c r="A934" t="s">
        <v>969</v>
      </c>
      <c r="B934">
        <v>55.65</v>
      </c>
      <c r="C934" t="s">
        <v>16</v>
      </c>
      <c r="D934" t="s">
        <v>17</v>
      </c>
      <c r="E934" t="s">
        <v>18</v>
      </c>
      <c r="F934" t="s">
        <v>19</v>
      </c>
      <c r="G934" t="s">
        <v>20</v>
      </c>
      <c r="H934" t="s">
        <v>21</v>
      </c>
      <c r="I934" t="s">
        <v>21</v>
      </c>
      <c r="J934" t="s">
        <v>27</v>
      </c>
      <c r="K934">
        <v>3</v>
      </c>
      <c r="L934">
        <v>186.63333333333301</v>
      </c>
      <c r="M934" t="s">
        <v>30</v>
      </c>
      <c r="N934" t="str">
        <f>_xlfn.XLOOKUP(A934,[1]!brca_metabric_clinical_data__2[Patient ID], [1]!brca_metabric_clinical_data__2[Tumor Size])</f>
        <v>20</v>
      </c>
      <c r="O934" t="str">
        <f>_xlfn.XLOOKUP(A934,[1]!brca_metabric_clinical_data__2[Sample ID],[1]!brca_metabric_clinical_data__2[Tumor Stage])</f>
        <v>2</v>
      </c>
    </row>
    <row r="935" spans="1:15" x14ac:dyDescent="0.45">
      <c r="A935" t="s">
        <v>970</v>
      </c>
      <c r="B935">
        <v>67.48</v>
      </c>
      <c r="C935" t="s">
        <v>16</v>
      </c>
      <c r="D935" t="s">
        <v>17</v>
      </c>
      <c r="E935" t="s">
        <v>18</v>
      </c>
      <c r="F935" t="s">
        <v>43</v>
      </c>
      <c r="G935" t="s">
        <v>20</v>
      </c>
      <c r="H935" t="s">
        <v>20</v>
      </c>
      <c r="I935" t="s">
        <v>20</v>
      </c>
      <c r="J935" t="s">
        <v>29</v>
      </c>
      <c r="K935">
        <v>8</v>
      </c>
      <c r="L935">
        <v>95.8333333333333</v>
      </c>
      <c r="M935" t="s">
        <v>30</v>
      </c>
      <c r="N935" t="str">
        <f>_xlfn.XLOOKUP(A935,[1]!brca_metabric_clinical_data__2[Patient ID], [1]!brca_metabric_clinical_data__2[Tumor Size])</f>
        <v>35</v>
      </c>
      <c r="O935" t="str">
        <f>_xlfn.XLOOKUP(A935,[1]!brca_metabric_clinical_data__2[Sample ID],[1]!brca_metabric_clinical_data__2[Tumor Stage])</f>
        <v>NA</v>
      </c>
    </row>
    <row r="936" spans="1:15" x14ac:dyDescent="0.45">
      <c r="A936" t="s">
        <v>971</v>
      </c>
      <c r="B936">
        <v>67.03</v>
      </c>
      <c r="C936" t="s">
        <v>16</v>
      </c>
      <c r="D936" t="s">
        <v>17</v>
      </c>
      <c r="E936" t="s">
        <v>18</v>
      </c>
      <c r="F936" t="s">
        <v>19</v>
      </c>
      <c r="G936" t="s">
        <v>20</v>
      </c>
      <c r="H936" t="s">
        <v>21</v>
      </c>
      <c r="I936" t="s">
        <v>21</v>
      </c>
      <c r="J936" t="s">
        <v>27</v>
      </c>
      <c r="K936" t="s">
        <v>23</v>
      </c>
      <c r="L936">
        <v>318.2</v>
      </c>
      <c r="M936" t="s">
        <v>24</v>
      </c>
      <c r="N936" t="str">
        <f>_xlfn.XLOOKUP(A936,[1]!brca_metabric_clinical_data__2[Patient ID], [1]!brca_metabric_clinical_data__2[Tumor Size])</f>
        <v>25</v>
      </c>
      <c r="O936" t="str">
        <f>_xlfn.XLOOKUP(A936,[1]!brca_metabric_clinical_data__2[Sample ID],[1]!brca_metabric_clinical_data__2[Tumor Stage])</f>
        <v>2</v>
      </c>
    </row>
    <row r="937" spans="1:15" x14ac:dyDescent="0.45">
      <c r="A937" t="s">
        <v>972</v>
      </c>
      <c r="B937">
        <v>66.37</v>
      </c>
      <c r="C937" t="s">
        <v>16</v>
      </c>
      <c r="D937" t="s">
        <v>17</v>
      </c>
      <c r="E937" t="s">
        <v>18</v>
      </c>
      <c r="F937" t="s">
        <v>19</v>
      </c>
      <c r="G937" t="s">
        <v>20</v>
      </c>
      <c r="H937" t="s">
        <v>21</v>
      </c>
      <c r="I937" t="s">
        <v>21</v>
      </c>
      <c r="J937" t="s">
        <v>27</v>
      </c>
      <c r="K937">
        <v>3</v>
      </c>
      <c r="L937">
        <v>109.6</v>
      </c>
      <c r="M937" t="s">
        <v>30</v>
      </c>
      <c r="N937" t="str">
        <f>_xlfn.XLOOKUP(A937,[1]!brca_metabric_clinical_data__2[Patient ID], [1]!brca_metabric_clinical_data__2[Tumor Size])</f>
        <v>15</v>
      </c>
      <c r="O937" t="str">
        <f>_xlfn.XLOOKUP(A937,[1]!brca_metabric_clinical_data__2[Sample ID],[1]!brca_metabric_clinical_data__2[Tumor Stage])</f>
        <v>2</v>
      </c>
    </row>
    <row r="938" spans="1:15" x14ac:dyDescent="0.45">
      <c r="A938" t="s">
        <v>973</v>
      </c>
      <c r="B938">
        <v>71.17</v>
      </c>
      <c r="C938" t="s">
        <v>16</v>
      </c>
      <c r="D938" t="s">
        <v>17</v>
      </c>
      <c r="E938" t="s">
        <v>18</v>
      </c>
      <c r="F938" t="s">
        <v>35</v>
      </c>
      <c r="G938" t="s">
        <v>20</v>
      </c>
      <c r="H938" t="s">
        <v>20</v>
      </c>
      <c r="I938" t="s">
        <v>21</v>
      </c>
      <c r="J938" t="s">
        <v>29</v>
      </c>
      <c r="K938">
        <v>9</v>
      </c>
      <c r="L938">
        <v>119</v>
      </c>
      <c r="M938" t="s">
        <v>30</v>
      </c>
      <c r="N938" t="str">
        <f>_xlfn.XLOOKUP(A938,[1]!brca_metabric_clinical_data__2[Patient ID], [1]!brca_metabric_clinical_data__2[Tumor Size])</f>
        <v>30</v>
      </c>
      <c r="O938" t="str">
        <f>_xlfn.XLOOKUP(A938,[1]!brca_metabric_clinical_data__2[Sample ID],[1]!brca_metabric_clinical_data__2[Tumor Stage])</f>
        <v>2</v>
      </c>
    </row>
    <row r="939" spans="1:15" x14ac:dyDescent="0.45">
      <c r="A939" t="s">
        <v>974</v>
      </c>
      <c r="B939">
        <v>61.59</v>
      </c>
      <c r="C939" t="s">
        <v>16</v>
      </c>
      <c r="D939" t="s">
        <v>17</v>
      </c>
      <c r="E939" t="s">
        <v>37</v>
      </c>
      <c r="F939" t="s">
        <v>43</v>
      </c>
      <c r="G939" t="s">
        <v>20</v>
      </c>
      <c r="H939" t="s">
        <v>20</v>
      </c>
      <c r="I939" t="s">
        <v>21</v>
      </c>
      <c r="J939" t="s">
        <v>45</v>
      </c>
      <c r="K939">
        <v>7</v>
      </c>
      <c r="L939">
        <v>200.6</v>
      </c>
      <c r="M939" t="s">
        <v>24</v>
      </c>
      <c r="N939" t="str">
        <f>_xlfn.XLOOKUP(A939,[1]!brca_metabric_clinical_data__2[Patient ID], [1]!brca_metabric_clinical_data__2[Tumor Size])</f>
        <v>25</v>
      </c>
      <c r="O939" t="str">
        <f>_xlfn.XLOOKUP(A939,[1]!brca_metabric_clinical_data__2[Sample ID],[1]!brca_metabric_clinical_data__2[Tumor Stage])</f>
        <v>2</v>
      </c>
    </row>
    <row r="940" spans="1:15" x14ac:dyDescent="0.45">
      <c r="A940" t="s">
        <v>975</v>
      </c>
      <c r="B940">
        <v>64.930000000000007</v>
      </c>
      <c r="C940" t="s">
        <v>16</v>
      </c>
      <c r="D940" t="s">
        <v>17</v>
      </c>
      <c r="E940" t="s">
        <v>18</v>
      </c>
      <c r="F940" t="s">
        <v>19</v>
      </c>
      <c r="G940" t="s">
        <v>20</v>
      </c>
      <c r="H940" t="s">
        <v>21</v>
      </c>
      <c r="I940" t="s">
        <v>21</v>
      </c>
      <c r="J940" t="s">
        <v>27</v>
      </c>
      <c r="K940">
        <v>3</v>
      </c>
      <c r="L940">
        <v>148.566666666667</v>
      </c>
      <c r="M940" t="s">
        <v>30</v>
      </c>
      <c r="N940" t="str">
        <f>_xlfn.XLOOKUP(A940,[1]!brca_metabric_clinical_data__2[Patient ID], [1]!brca_metabric_clinical_data__2[Tumor Size])</f>
        <v>15</v>
      </c>
      <c r="O940" t="str">
        <f>_xlfn.XLOOKUP(A940,[1]!brca_metabric_clinical_data__2[Sample ID],[1]!brca_metabric_clinical_data__2[Tumor Stage])</f>
        <v>2</v>
      </c>
    </row>
    <row r="941" spans="1:15" x14ac:dyDescent="0.45">
      <c r="A941" t="s">
        <v>976</v>
      </c>
      <c r="B941">
        <v>66.27</v>
      </c>
      <c r="C941" t="s">
        <v>16</v>
      </c>
      <c r="D941" t="s">
        <v>17</v>
      </c>
      <c r="E941" t="s">
        <v>18</v>
      </c>
      <c r="F941" t="s">
        <v>19</v>
      </c>
      <c r="G941" t="s">
        <v>20</v>
      </c>
      <c r="H941" t="s">
        <v>21</v>
      </c>
      <c r="I941" t="s">
        <v>21</v>
      </c>
      <c r="J941" t="s">
        <v>29</v>
      </c>
      <c r="K941">
        <v>6</v>
      </c>
      <c r="L941">
        <v>285.7</v>
      </c>
      <c r="M941" t="s">
        <v>30</v>
      </c>
      <c r="N941" t="str">
        <f>_xlfn.XLOOKUP(A941,[1]!brca_metabric_clinical_data__2[Patient ID], [1]!brca_metabric_clinical_data__2[Tumor Size])</f>
        <v>35</v>
      </c>
      <c r="O941" t="str">
        <f>_xlfn.XLOOKUP(A941,[1]!brca_metabric_clinical_data__2[Sample ID],[1]!brca_metabric_clinical_data__2[Tumor Stage])</f>
        <v>2</v>
      </c>
    </row>
    <row r="942" spans="1:15" x14ac:dyDescent="0.45">
      <c r="A942" t="s">
        <v>977</v>
      </c>
      <c r="B942">
        <v>78.209999999999994</v>
      </c>
      <c r="C942" t="s">
        <v>16</v>
      </c>
      <c r="D942" t="s">
        <v>17</v>
      </c>
      <c r="E942" t="s">
        <v>37</v>
      </c>
      <c r="F942" t="s">
        <v>43</v>
      </c>
      <c r="G942" t="s">
        <v>20</v>
      </c>
      <c r="H942" t="s">
        <v>20</v>
      </c>
      <c r="I942" t="s">
        <v>20</v>
      </c>
      <c r="J942" t="s">
        <v>45</v>
      </c>
      <c r="K942">
        <v>5</v>
      </c>
      <c r="L942">
        <v>41.466666666666697</v>
      </c>
      <c r="M942" t="s">
        <v>30</v>
      </c>
      <c r="N942" t="str">
        <f>_xlfn.XLOOKUP(A942,[1]!brca_metabric_clinical_data__2[Patient ID], [1]!brca_metabric_clinical_data__2[Tumor Size])</f>
        <v>15</v>
      </c>
      <c r="O942" t="str">
        <f>_xlfn.XLOOKUP(A942,[1]!brca_metabric_clinical_data__2[Sample ID],[1]!brca_metabric_clinical_data__2[Tumor Stage])</f>
        <v>1</v>
      </c>
    </row>
    <row r="943" spans="1:15" x14ac:dyDescent="0.45">
      <c r="A943" t="s">
        <v>978</v>
      </c>
      <c r="B943">
        <v>59.13</v>
      </c>
      <c r="C943" t="s">
        <v>16</v>
      </c>
      <c r="D943" t="s">
        <v>17</v>
      </c>
      <c r="E943" t="s">
        <v>18</v>
      </c>
      <c r="F943" t="s">
        <v>43</v>
      </c>
      <c r="G943" t="s">
        <v>20</v>
      </c>
      <c r="H943" t="s">
        <v>21</v>
      </c>
      <c r="I943" t="s">
        <v>20</v>
      </c>
      <c r="J943" t="s">
        <v>29</v>
      </c>
      <c r="K943">
        <v>5</v>
      </c>
      <c r="L943">
        <v>90</v>
      </c>
      <c r="M943" t="s">
        <v>30</v>
      </c>
      <c r="N943" t="str">
        <f>_xlfn.XLOOKUP(A943,[1]!brca_metabric_clinical_data__2[Patient ID], [1]!brca_metabric_clinical_data__2[Tumor Size])</f>
        <v>23</v>
      </c>
      <c r="O943" t="str">
        <f>_xlfn.XLOOKUP(A943,[1]!brca_metabric_clinical_data__2[Sample ID],[1]!brca_metabric_clinical_data__2[Tumor Stage])</f>
        <v>NA</v>
      </c>
    </row>
    <row r="944" spans="1:15" x14ac:dyDescent="0.45">
      <c r="A944" t="s">
        <v>979</v>
      </c>
      <c r="B944">
        <v>75.19</v>
      </c>
      <c r="C944" t="s">
        <v>16</v>
      </c>
      <c r="D944" t="s">
        <v>17</v>
      </c>
      <c r="E944" t="s">
        <v>18</v>
      </c>
      <c r="F944" t="s">
        <v>43</v>
      </c>
      <c r="G944" t="s">
        <v>20</v>
      </c>
      <c r="H944" t="s">
        <v>20</v>
      </c>
      <c r="I944" t="s">
        <v>20</v>
      </c>
      <c r="J944" t="s">
        <v>29</v>
      </c>
      <c r="K944">
        <v>1</v>
      </c>
      <c r="L944">
        <v>168.53333333333299</v>
      </c>
      <c r="M944" t="s">
        <v>30</v>
      </c>
      <c r="N944" t="str">
        <f>_xlfn.XLOOKUP(A944,[1]!brca_metabric_clinical_data__2[Patient ID], [1]!brca_metabric_clinical_data__2[Tumor Size])</f>
        <v>20</v>
      </c>
      <c r="O944" t="str">
        <f>_xlfn.XLOOKUP(A944,[1]!brca_metabric_clinical_data__2[Sample ID],[1]!brca_metabric_clinical_data__2[Tumor Stage])</f>
        <v>1</v>
      </c>
    </row>
    <row r="945" spans="1:15" x14ac:dyDescent="0.45">
      <c r="A945" t="s">
        <v>980</v>
      </c>
      <c r="B945">
        <v>61.67</v>
      </c>
      <c r="C945" t="s">
        <v>16</v>
      </c>
      <c r="D945" t="s">
        <v>17</v>
      </c>
      <c r="E945" t="s">
        <v>18</v>
      </c>
      <c r="F945" t="s">
        <v>19</v>
      </c>
      <c r="G945" t="s">
        <v>20</v>
      </c>
      <c r="H945" t="s">
        <v>20</v>
      </c>
      <c r="I945" t="s">
        <v>21</v>
      </c>
      <c r="J945" t="s">
        <v>29</v>
      </c>
      <c r="K945">
        <v>3</v>
      </c>
      <c r="L945">
        <v>16.8333333333333</v>
      </c>
      <c r="M945" t="s">
        <v>30</v>
      </c>
      <c r="N945" t="str">
        <f>_xlfn.XLOOKUP(A945,[1]!brca_metabric_clinical_data__2[Patient ID], [1]!brca_metabric_clinical_data__2[Tumor Size])</f>
        <v>25</v>
      </c>
      <c r="O945" t="str">
        <f>_xlfn.XLOOKUP(A945,[1]!brca_metabric_clinical_data__2[Sample ID],[1]!brca_metabric_clinical_data__2[Tumor Stage])</f>
        <v>2</v>
      </c>
    </row>
    <row r="946" spans="1:15" x14ac:dyDescent="0.45">
      <c r="A946" t="s">
        <v>981</v>
      </c>
      <c r="B946">
        <v>69.959999999999994</v>
      </c>
      <c r="C946" t="s">
        <v>16</v>
      </c>
      <c r="D946" t="s">
        <v>17</v>
      </c>
      <c r="E946" t="s">
        <v>18</v>
      </c>
      <c r="F946" t="s">
        <v>19</v>
      </c>
      <c r="G946" t="s">
        <v>20</v>
      </c>
      <c r="H946" t="s">
        <v>20</v>
      </c>
      <c r="I946" t="s">
        <v>21</v>
      </c>
      <c r="J946" t="s">
        <v>29</v>
      </c>
      <c r="K946">
        <v>6</v>
      </c>
      <c r="L946">
        <v>30.3</v>
      </c>
      <c r="M946" t="s">
        <v>30</v>
      </c>
      <c r="N946" t="str">
        <f>_xlfn.XLOOKUP(A946,[1]!brca_metabric_clinical_data__2[Patient ID], [1]!brca_metabric_clinical_data__2[Tumor Size])</f>
        <v>35</v>
      </c>
      <c r="O946" t="str">
        <f>_xlfn.XLOOKUP(A946,[1]!brca_metabric_clinical_data__2[Sample ID],[1]!brca_metabric_clinical_data__2[Tumor Stage])</f>
        <v>2</v>
      </c>
    </row>
    <row r="947" spans="1:15" x14ac:dyDescent="0.45">
      <c r="A947" t="s">
        <v>982</v>
      </c>
      <c r="B947">
        <v>44.5</v>
      </c>
      <c r="C947" t="s">
        <v>16</v>
      </c>
      <c r="D947" t="s">
        <v>26</v>
      </c>
      <c r="E947" t="s">
        <v>18</v>
      </c>
      <c r="F947" t="s">
        <v>43</v>
      </c>
      <c r="G947" t="s">
        <v>20</v>
      </c>
      <c r="H947" t="s">
        <v>20</v>
      </c>
      <c r="I947" t="s">
        <v>20</v>
      </c>
      <c r="J947" t="s">
        <v>38</v>
      </c>
      <c r="K947">
        <v>3</v>
      </c>
      <c r="L947">
        <v>48.133333333333297</v>
      </c>
      <c r="M947" t="s">
        <v>30</v>
      </c>
      <c r="N947" t="str">
        <f>_xlfn.XLOOKUP(A947,[1]!brca_metabric_clinical_data__2[Patient ID], [1]!brca_metabric_clinical_data__2[Tumor Size])</f>
        <v>31</v>
      </c>
      <c r="O947" t="str">
        <f>_xlfn.XLOOKUP(A947,[1]!brca_metabric_clinical_data__2[Sample ID],[1]!brca_metabric_clinical_data__2[Tumor Stage])</f>
        <v>2</v>
      </c>
    </row>
    <row r="948" spans="1:15" x14ac:dyDescent="0.45">
      <c r="A948" t="s">
        <v>983</v>
      </c>
      <c r="B948">
        <v>80.819999999999993</v>
      </c>
      <c r="C948" t="s">
        <v>16</v>
      </c>
      <c r="D948" t="s">
        <v>17</v>
      </c>
      <c r="E948" t="s">
        <v>18</v>
      </c>
      <c r="F948" t="s">
        <v>19</v>
      </c>
      <c r="G948" t="s">
        <v>20</v>
      </c>
      <c r="H948" t="s">
        <v>21</v>
      </c>
      <c r="I948" t="s">
        <v>21</v>
      </c>
      <c r="J948" t="s">
        <v>29</v>
      </c>
      <c r="K948">
        <v>8</v>
      </c>
      <c r="L948">
        <v>64.3</v>
      </c>
      <c r="M948" t="s">
        <v>30</v>
      </c>
      <c r="N948" t="str">
        <f>_xlfn.XLOOKUP(A948,[1]!brca_metabric_clinical_data__2[Patient ID], [1]!brca_metabric_clinical_data__2[Tumor Size])</f>
        <v>20</v>
      </c>
      <c r="O948" t="str">
        <f>_xlfn.XLOOKUP(A948,[1]!brca_metabric_clinical_data__2[Sample ID],[1]!brca_metabric_clinical_data__2[Tumor Stage])</f>
        <v>1</v>
      </c>
    </row>
    <row r="949" spans="1:15" x14ac:dyDescent="0.45">
      <c r="A949" t="s">
        <v>984</v>
      </c>
      <c r="B949">
        <v>64.010000000000005</v>
      </c>
      <c r="C949" t="s">
        <v>16</v>
      </c>
      <c r="D949" t="s">
        <v>17</v>
      </c>
      <c r="E949" t="s">
        <v>18</v>
      </c>
      <c r="F949" t="s">
        <v>19</v>
      </c>
      <c r="G949" t="s">
        <v>20</v>
      </c>
      <c r="H949" t="s">
        <v>21</v>
      </c>
      <c r="I949" t="s">
        <v>20</v>
      </c>
      <c r="J949" t="s">
        <v>27</v>
      </c>
      <c r="K949">
        <v>3</v>
      </c>
      <c r="L949">
        <v>99</v>
      </c>
      <c r="M949" t="s">
        <v>30</v>
      </c>
      <c r="N949" t="str">
        <f>_xlfn.XLOOKUP(A949,[1]!brca_metabric_clinical_data__2[Patient ID], [1]!brca_metabric_clinical_data__2[Tumor Size])</f>
        <v>16</v>
      </c>
      <c r="O949" t="str">
        <f>_xlfn.XLOOKUP(A949,[1]!brca_metabric_clinical_data__2[Sample ID],[1]!brca_metabric_clinical_data__2[Tumor Stage])</f>
        <v>2</v>
      </c>
    </row>
    <row r="950" spans="1:15" x14ac:dyDescent="0.45">
      <c r="A950" t="s">
        <v>985</v>
      </c>
      <c r="B950">
        <v>37.53</v>
      </c>
      <c r="C950" t="s">
        <v>16</v>
      </c>
      <c r="D950" t="s">
        <v>26</v>
      </c>
      <c r="E950" t="s">
        <v>37</v>
      </c>
      <c r="F950" t="s">
        <v>19</v>
      </c>
      <c r="G950" t="s">
        <v>21</v>
      </c>
      <c r="H950" t="s">
        <v>20</v>
      </c>
      <c r="I950" t="s">
        <v>21</v>
      </c>
      <c r="J950" t="s">
        <v>58</v>
      </c>
      <c r="K950">
        <v>9</v>
      </c>
      <c r="L950">
        <v>39.866666666666703</v>
      </c>
      <c r="M950" t="s">
        <v>30</v>
      </c>
      <c r="N950" t="str">
        <f>_xlfn.XLOOKUP(A950,[1]!brca_metabric_clinical_data__2[Patient ID], [1]!brca_metabric_clinical_data__2[Tumor Size])</f>
        <v>28</v>
      </c>
      <c r="O950" t="str">
        <f>_xlfn.XLOOKUP(A950,[1]!brca_metabric_clinical_data__2[Sample ID],[1]!brca_metabric_clinical_data__2[Tumor Stage])</f>
        <v>2</v>
      </c>
    </row>
    <row r="951" spans="1:15" x14ac:dyDescent="0.45">
      <c r="A951" t="s">
        <v>986</v>
      </c>
      <c r="B951">
        <v>81.11</v>
      </c>
      <c r="C951" t="s">
        <v>16</v>
      </c>
      <c r="D951" t="s">
        <v>17</v>
      </c>
      <c r="E951" t="s">
        <v>18</v>
      </c>
      <c r="F951" t="s">
        <v>19</v>
      </c>
      <c r="G951" t="s">
        <v>20</v>
      </c>
      <c r="H951" t="s">
        <v>20</v>
      </c>
      <c r="I951" t="s">
        <v>20</v>
      </c>
      <c r="J951" t="s">
        <v>27</v>
      </c>
      <c r="K951">
        <v>7</v>
      </c>
      <c r="L951">
        <v>234.23333333333301</v>
      </c>
      <c r="M951" t="s">
        <v>24</v>
      </c>
      <c r="N951" t="str">
        <f>_xlfn.XLOOKUP(A951,[1]!brca_metabric_clinical_data__2[Patient ID], [1]!brca_metabric_clinical_data__2[Tumor Size])</f>
        <v>25</v>
      </c>
      <c r="O951" t="str">
        <f>_xlfn.XLOOKUP(A951,[1]!brca_metabric_clinical_data__2[Sample ID],[1]!brca_metabric_clinical_data__2[Tumor Stage])</f>
        <v>2</v>
      </c>
    </row>
    <row r="952" spans="1:15" x14ac:dyDescent="0.45">
      <c r="A952" t="s">
        <v>987</v>
      </c>
      <c r="B952">
        <v>61.97</v>
      </c>
      <c r="C952" t="s">
        <v>16</v>
      </c>
      <c r="D952" t="s">
        <v>17</v>
      </c>
      <c r="E952" t="s">
        <v>37</v>
      </c>
      <c r="F952" t="s">
        <v>43</v>
      </c>
      <c r="G952" t="s">
        <v>20</v>
      </c>
      <c r="H952" t="s">
        <v>20</v>
      </c>
      <c r="I952" t="s">
        <v>21</v>
      </c>
      <c r="J952" t="s">
        <v>58</v>
      </c>
      <c r="K952">
        <v>10</v>
      </c>
      <c r="L952">
        <v>239.333333333333</v>
      </c>
      <c r="M952" t="s">
        <v>24</v>
      </c>
      <c r="N952" t="str">
        <f>_xlfn.XLOOKUP(A952,[1]!brca_metabric_clinical_data__2[Patient ID], [1]!brca_metabric_clinical_data__2[Tumor Size])</f>
        <v>40</v>
      </c>
      <c r="O952" t="str">
        <f>_xlfn.XLOOKUP(A952,[1]!brca_metabric_clinical_data__2[Sample ID],[1]!brca_metabric_clinical_data__2[Tumor Stage])</f>
        <v>2</v>
      </c>
    </row>
    <row r="953" spans="1:15" x14ac:dyDescent="0.45">
      <c r="A953" t="s">
        <v>988</v>
      </c>
      <c r="B953">
        <v>54.27</v>
      </c>
      <c r="C953" t="s">
        <v>16</v>
      </c>
      <c r="D953" t="s">
        <v>17</v>
      </c>
      <c r="E953" t="s">
        <v>18</v>
      </c>
      <c r="F953" t="s">
        <v>19</v>
      </c>
      <c r="G953" t="s">
        <v>20</v>
      </c>
      <c r="H953" t="s">
        <v>20</v>
      </c>
      <c r="I953" t="s">
        <v>20</v>
      </c>
      <c r="J953" t="s">
        <v>27</v>
      </c>
      <c r="K953" t="s">
        <v>23</v>
      </c>
      <c r="L953">
        <v>260.2</v>
      </c>
      <c r="M953" t="s">
        <v>24</v>
      </c>
      <c r="N953" t="str">
        <f>_xlfn.XLOOKUP(A953,[1]!brca_metabric_clinical_data__2[Patient ID], [1]!brca_metabric_clinical_data__2[Tumor Size])</f>
        <v>18</v>
      </c>
      <c r="O953" t="str">
        <f>_xlfn.XLOOKUP(A953,[1]!brca_metabric_clinical_data__2[Sample ID],[1]!brca_metabric_clinical_data__2[Tumor Stage])</f>
        <v>1</v>
      </c>
    </row>
    <row r="954" spans="1:15" x14ac:dyDescent="0.45">
      <c r="A954" t="s">
        <v>989</v>
      </c>
      <c r="B954">
        <v>57.98</v>
      </c>
      <c r="C954" t="s">
        <v>16</v>
      </c>
      <c r="D954" t="s">
        <v>17</v>
      </c>
      <c r="E954" t="s">
        <v>18</v>
      </c>
      <c r="F954" t="s">
        <v>35</v>
      </c>
      <c r="G954" t="s">
        <v>20</v>
      </c>
      <c r="H954" t="s">
        <v>21</v>
      </c>
      <c r="I954" t="s">
        <v>20</v>
      </c>
      <c r="J954" t="s">
        <v>27</v>
      </c>
      <c r="K954">
        <v>7</v>
      </c>
      <c r="L954">
        <v>111.566666666667</v>
      </c>
      <c r="M954" t="s">
        <v>30</v>
      </c>
      <c r="N954" t="str">
        <f>_xlfn.XLOOKUP(A954,[1]!brca_metabric_clinical_data__2[Patient ID], [1]!brca_metabric_clinical_data__2[Tumor Size])</f>
        <v>15</v>
      </c>
      <c r="O954" t="str">
        <f>_xlfn.XLOOKUP(A954,[1]!brca_metabric_clinical_data__2[Sample ID],[1]!brca_metabric_clinical_data__2[Tumor Stage])</f>
        <v>2</v>
      </c>
    </row>
    <row r="955" spans="1:15" x14ac:dyDescent="0.45">
      <c r="A955" t="s">
        <v>990</v>
      </c>
      <c r="B955">
        <v>65.58</v>
      </c>
      <c r="C955" t="s">
        <v>16</v>
      </c>
      <c r="D955" t="s">
        <v>17</v>
      </c>
      <c r="E955" t="s">
        <v>37</v>
      </c>
      <c r="F955" t="s">
        <v>19</v>
      </c>
      <c r="G955" t="s">
        <v>20</v>
      </c>
      <c r="H955" t="s">
        <v>20</v>
      </c>
      <c r="I955" t="s">
        <v>21</v>
      </c>
      <c r="J955" t="s">
        <v>45</v>
      </c>
      <c r="K955" t="s">
        <v>39</v>
      </c>
      <c r="L955">
        <v>295.33333333333297</v>
      </c>
      <c r="M955" t="s">
        <v>30</v>
      </c>
      <c r="N955" t="str">
        <f>_xlfn.XLOOKUP(A955,[1]!brca_metabric_clinical_data__2[Patient ID], [1]!brca_metabric_clinical_data__2[Tumor Size])</f>
        <v>20</v>
      </c>
      <c r="O955" t="str">
        <f>_xlfn.XLOOKUP(A955,[1]!brca_metabric_clinical_data__2[Sample ID],[1]!brca_metabric_clinical_data__2[Tumor Stage])</f>
        <v>1</v>
      </c>
    </row>
    <row r="956" spans="1:15" x14ac:dyDescent="0.45">
      <c r="A956" t="s">
        <v>991</v>
      </c>
      <c r="B956">
        <v>68.819999999999993</v>
      </c>
      <c r="C956" t="s">
        <v>16</v>
      </c>
      <c r="D956" t="s">
        <v>17</v>
      </c>
      <c r="E956" t="s">
        <v>18</v>
      </c>
      <c r="F956" t="s">
        <v>35</v>
      </c>
      <c r="G956" t="s">
        <v>20</v>
      </c>
      <c r="H956" t="s">
        <v>21</v>
      </c>
      <c r="I956" t="s">
        <v>21</v>
      </c>
      <c r="J956" t="s">
        <v>29</v>
      </c>
      <c r="K956">
        <v>6</v>
      </c>
      <c r="L956">
        <v>119.466666666667</v>
      </c>
      <c r="M956" t="s">
        <v>30</v>
      </c>
      <c r="N956" t="str">
        <f>_xlfn.XLOOKUP(A956,[1]!brca_metabric_clinical_data__2[Patient ID], [1]!brca_metabric_clinical_data__2[Tumor Size])</f>
        <v>20</v>
      </c>
      <c r="O956" t="str">
        <f>_xlfn.XLOOKUP(A956,[1]!brca_metabric_clinical_data__2[Sample ID],[1]!brca_metabric_clinical_data__2[Tumor Stage])</f>
        <v>1</v>
      </c>
    </row>
    <row r="957" spans="1:15" x14ac:dyDescent="0.45">
      <c r="A957" t="s">
        <v>992</v>
      </c>
      <c r="B957">
        <v>61</v>
      </c>
      <c r="C957" t="s">
        <v>16</v>
      </c>
      <c r="D957" t="s">
        <v>17</v>
      </c>
      <c r="E957" t="s">
        <v>18</v>
      </c>
      <c r="F957" t="s">
        <v>19</v>
      </c>
      <c r="G957" t="s">
        <v>20</v>
      </c>
      <c r="H957" t="s">
        <v>20</v>
      </c>
      <c r="I957" t="s">
        <v>20</v>
      </c>
      <c r="J957" t="s">
        <v>27</v>
      </c>
      <c r="K957">
        <v>7</v>
      </c>
      <c r="L957">
        <v>67.8</v>
      </c>
      <c r="M957" t="s">
        <v>30</v>
      </c>
      <c r="N957" t="str">
        <f>_xlfn.XLOOKUP(A957,[1]!brca_metabric_clinical_data__2[Patient ID], [1]!brca_metabric_clinical_data__2[Tumor Size])</f>
        <v>20</v>
      </c>
      <c r="O957" t="str">
        <f>_xlfn.XLOOKUP(A957,[1]!brca_metabric_clinical_data__2[Sample ID],[1]!brca_metabric_clinical_data__2[Tumor Stage])</f>
        <v>1</v>
      </c>
    </row>
    <row r="958" spans="1:15" x14ac:dyDescent="0.45">
      <c r="A958" t="s">
        <v>993</v>
      </c>
      <c r="B958">
        <v>72.48</v>
      </c>
      <c r="C958" t="s">
        <v>16</v>
      </c>
      <c r="D958" t="s">
        <v>17</v>
      </c>
      <c r="E958" t="s">
        <v>18</v>
      </c>
      <c r="F958" t="s">
        <v>19</v>
      </c>
      <c r="G958" t="s">
        <v>20</v>
      </c>
      <c r="H958" t="s">
        <v>20</v>
      </c>
      <c r="I958" t="s">
        <v>21</v>
      </c>
      <c r="J958" t="s">
        <v>29</v>
      </c>
      <c r="K958">
        <v>2</v>
      </c>
      <c r="L958">
        <v>34.700000000000003</v>
      </c>
      <c r="M958" t="s">
        <v>30</v>
      </c>
      <c r="N958" t="str">
        <f>_xlfn.XLOOKUP(A958,[1]!brca_metabric_clinical_data__2[Patient ID], [1]!brca_metabric_clinical_data__2[Tumor Size])</f>
        <v>30</v>
      </c>
      <c r="O958" t="str">
        <f>_xlfn.XLOOKUP(A958,[1]!brca_metabric_clinical_data__2[Sample ID],[1]!brca_metabric_clinical_data__2[Tumor Stage])</f>
        <v>2</v>
      </c>
    </row>
    <row r="959" spans="1:15" x14ac:dyDescent="0.45">
      <c r="A959" t="s">
        <v>994</v>
      </c>
      <c r="B959">
        <v>58.78</v>
      </c>
      <c r="C959" t="s">
        <v>16</v>
      </c>
      <c r="D959" t="s">
        <v>17</v>
      </c>
      <c r="E959" t="s">
        <v>18</v>
      </c>
      <c r="F959" t="s">
        <v>43</v>
      </c>
      <c r="G959" t="s">
        <v>20</v>
      </c>
      <c r="H959" t="s">
        <v>20</v>
      </c>
      <c r="I959" t="s">
        <v>20</v>
      </c>
      <c r="J959" t="s">
        <v>27</v>
      </c>
      <c r="K959">
        <v>7</v>
      </c>
      <c r="L959">
        <v>220.933333333333</v>
      </c>
      <c r="M959" t="s">
        <v>30</v>
      </c>
      <c r="N959" t="str">
        <f>_xlfn.XLOOKUP(A959,[1]!brca_metabric_clinical_data__2[Patient ID], [1]!brca_metabric_clinical_data__2[Tumor Size])</f>
        <v>25</v>
      </c>
      <c r="O959" t="str">
        <f>_xlfn.XLOOKUP(A959,[1]!brca_metabric_clinical_data__2[Sample ID],[1]!brca_metabric_clinical_data__2[Tumor Stage])</f>
        <v>NA</v>
      </c>
    </row>
    <row r="960" spans="1:15" x14ac:dyDescent="0.45">
      <c r="A960" t="s">
        <v>995</v>
      </c>
      <c r="B960">
        <v>63.27</v>
      </c>
      <c r="C960" t="s">
        <v>16</v>
      </c>
      <c r="D960" t="s">
        <v>17</v>
      </c>
      <c r="E960" t="s">
        <v>18</v>
      </c>
      <c r="F960" t="s">
        <v>43</v>
      </c>
      <c r="G960" t="s">
        <v>20</v>
      </c>
      <c r="H960" t="s">
        <v>21</v>
      </c>
      <c r="I960" t="s">
        <v>20</v>
      </c>
      <c r="J960" t="s">
        <v>29</v>
      </c>
      <c r="K960">
        <v>9</v>
      </c>
      <c r="L960">
        <v>87</v>
      </c>
      <c r="M960" t="s">
        <v>30</v>
      </c>
      <c r="N960" t="str">
        <f>_xlfn.XLOOKUP(A960,[1]!brca_metabric_clinical_data__2[Patient ID], [1]!brca_metabric_clinical_data__2[Tumor Size])</f>
        <v>20</v>
      </c>
      <c r="O960" t="str">
        <f>_xlfn.XLOOKUP(A960,[1]!brca_metabric_clinical_data__2[Sample ID],[1]!brca_metabric_clinical_data__2[Tumor Stage])</f>
        <v>3</v>
      </c>
    </row>
    <row r="961" spans="1:15" x14ac:dyDescent="0.45">
      <c r="A961" t="s">
        <v>996</v>
      </c>
      <c r="B961">
        <v>75.260000000000005</v>
      </c>
      <c r="C961" t="s">
        <v>16</v>
      </c>
      <c r="D961" t="s">
        <v>17</v>
      </c>
      <c r="E961" t="s">
        <v>18</v>
      </c>
      <c r="F961" t="s">
        <v>35</v>
      </c>
      <c r="G961" t="s">
        <v>20</v>
      </c>
      <c r="H961" t="s">
        <v>21</v>
      </c>
      <c r="I961" t="s">
        <v>20</v>
      </c>
      <c r="J961" t="s">
        <v>27</v>
      </c>
      <c r="K961">
        <v>7</v>
      </c>
      <c r="L961">
        <v>81.066666666666706</v>
      </c>
      <c r="M961" t="s">
        <v>30</v>
      </c>
      <c r="N961" t="str">
        <f>_xlfn.XLOOKUP(A961,[1]!brca_metabric_clinical_data__2[Patient ID], [1]!brca_metabric_clinical_data__2[Tumor Size])</f>
        <v>40</v>
      </c>
      <c r="O961" t="str">
        <f>_xlfn.XLOOKUP(A961,[1]!brca_metabric_clinical_data__2[Sample ID],[1]!brca_metabric_clinical_data__2[Tumor Stage])</f>
        <v>2</v>
      </c>
    </row>
    <row r="962" spans="1:15" x14ac:dyDescent="0.45">
      <c r="A962" t="s">
        <v>997</v>
      </c>
      <c r="B962">
        <v>59.23</v>
      </c>
      <c r="C962" t="s">
        <v>16</v>
      </c>
      <c r="D962" t="s">
        <v>17</v>
      </c>
      <c r="E962" t="s">
        <v>18</v>
      </c>
      <c r="F962" t="s">
        <v>19</v>
      </c>
      <c r="G962" t="s">
        <v>20</v>
      </c>
      <c r="H962" t="s">
        <v>20</v>
      </c>
      <c r="I962" t="s">
        <v>21</v>
      </c>
      <c r="J962" t="s">
        <v>27</v>
      </c>
      <c r="K962">
        <v>8</v>
      </c>
      <c r="L962">
        <v>263.03333333333302</v>
      </c>
      <c r="M962" t="s">
        <v>24</v>
      </c>
      <c r="N962" t="str">
        <f>_xlfn.XLOOKUP(A962,[1]!brca_metabric_clinical_data__2[Patient ID], [1]!brca_metabric_clinical_data__2[Tumor Size])</f>
        <v>18</v>
      </c>
      <c r="O962" t="str">
        <f>_xlfn.XLOOKUP(A962,[1]!brca_metabric_clinical_data__2[Sample ID],[1]!brca_metabric_clinical_data__2[Tumor Stage])</f>
        <v>1</v>
      </c>
    </row>
    <row r="963" spans="1:15" x14ac:dyDescent="0.45">
      <c r="A963" t="s">
        <v>998</v>
      </c>
      <c r="B963">
        <v>64.11</v>
      </c>
      <c r="C963" t="s">
        <v>16</v>
      </c>
      <c r="D963" t="s">
        <v>17</v>
      </c>
      <c r="E963" t="s">
        <v>37</v>
      </c>
      <c r="F963" t="s">
        <v>19</v>
      </c>
      <c r="G963" t="s">
        <v>20</v>
      </c>
      <c r="H963" t="s">
        <v>20</v>
      </c>
      <c r="I963" t="s">
        <v>20</v>
      </c>
      <c r="J963" t="s">
        <v>58</v>
      </c>
      <c r="K963">
        <v>10</v>
      </c>
      <c r="L963">
        <v>292.66666666666703</v>
      </c>
      <c r="M963" t="s">
        <v>30</v>
      </c>
      <c r="N963" t="str">
        <f>_xlfn.XLOOKUP(A963,[1]!brca_metabric_clinical_data__2[Patient ID], [1]!brca_metabric_clinical_data__2[Tumor Size])</f>
        <v>15</v>
      </c>
      <c r="O963" t="str">
        <f>_xlfn.XLOOKUP(A963,[1]!brca_metabric_clinical_data__2[Sample ID],[1]!brca_metabric_clinical_data__2[Tumor Stage])</f>
        <v>1</v>
      </c>
    </row>
    <row r="964" spans="1:15" x14ac:dyDescent="0.45">
      <c r="A964" t="s">
        <v>999</v>
      </c>
      <c r="B964">
        <v>60.66</v>
      </c>
      <c r="C964" t="s">
        <v>16</v>
      </c>
      <c r="D964" t="s">
        <v>17</v>
      </c>
      <c r="E964" t="s">
        <v>18</v>
      </c>
      <c r="F964" t="s">
        <v>35</v>
      </c>
      <c r="G964" t="s">
        <v>20</v>
      </c>
      <c r="H964" t="s">
        <v>20</v>
      </c>
      <c r="I964" t="s">
        <v>20</v>
      </c>
      <c r="J964" t="s">
        <v>27</v>
      </c>
      <c r="K964">
        <v>3</v>
      </c>
      <c r="L964">
        <v>251.8</v>
      </c>
      <c r="M964" t="s">
        <v>30</v>
      </c>
      <c r="N964" t="str">
        <f>_xlfn.XLOOKUP(A964,[1]!brca_metabric_clinical_data__2[Patient ID], [1]!brca_metabric_clinical_data__2[Tumor Size])</f>
        <v>17</v>
      </c>
      <c r="O964" t="str">
        <f>_xlfn.XLOOKUP(A964,[1]!brca_metabric_clinical_data__2[Sample ID],[1]!brca_metabric_clinical_data__2[Tumor Stage])</f>
        <v>1</v>
      </c>
    </row>
    <row r="965" spans="1:15" x14ac:dyDescent="0.45">
      <c r="A965" t="s">
        <v>1000</v>
      </c>
      <c r="B965">
        <v>65.5</v>
      </c>
      <c r="C965" t="s">
        <v>16</v>
      </c>
      <c r="D965" t="s">
        <v>17</v>
      </c>
      <c r="E965" t="s">
        <v>18</v>
      </c>
      <c r="F965" t="s">
        <v>19</v>
      </c>
      <c r="G965" t="s">
        <v>20</v>
      </c>
      <c r="H965" t="s">
        <v>20</v>
      </c>
      <c r="I965" t="s">
        <v>20</v>
      </c>
      <c r="J965" t="s">
        <v>27</v>
      </c>
      <c r="K965">
        <v>9</v>
      </c>
      <c r="L965">
        <v>139.53333333333299</v>
      </c>
      <c r="M965" t="s">
        <v>30</v>
      </c>
      <c r="N965" t="str">
        <f>_xlfn.XLOOKUP(A965,[1]!brca_metabric_clinical_data__2[Patient ID], [1]!brca_metabric_clinical_data__2[Tumor Size])</f>
        <v>20</v>
      </c>
      <c r="O965" t="str">
        <f>_xlfn.XLOOKUP(A965,[1]!brca_metabric_clinical_data__2[Sample ID],[1]!brca_metabric_clinical_data__2[Tumor Stage])</f>
        <v>NA</v>
      </c>
    </row>
    <row r="966" spans="1:15" x14ac:dyDescent="0.45">
      <c r="A966" t="s">
        <v>1001</v>
      </c>
      <c r="B966">
        <v>73.599999999999994</v>
      </c>
      <c r="C966" t="s">
        <v>16</v>
      </c>
      <c r="D966" t="s">
        <v>17</v>
      </c>
      <c r="E966" t="s">
        <v>18</v>
      </c>
      <c r="F966" t="s">
        <v>19</v>
      </c>
      <c r="G966" t="s">
        <v>20</v>
      </c>
      <c r="H966" t="s">
        <v>21</v>
      </c>
      <c r="I966" t="s">
        <v>21</v>
      </c>
      <c r="J966" t="s">
        <v>29</v>
      </c>
      <c r="K966">
        <v>6</v>
      </c>
      <c r="L966">
        <v>43.3</v>
      </c>
      <c r="M966" t="s">
        <v>30</v>
      </c>
      <c r="N966" t="str">
        <f>_xlfn.XLOOKUP(A966,[1]!brca_metabric_clinical_data__2[Patient ID], [1]!brca_metabric_clinical_data__2[Tumor Size])</f>
        <v>50</v>
      </c>
      <c r="O966" t="str">
        <f>_xlfn.XLOOKUP(A966,[1]!brca_metabric_clinical_data__2[Sample ID],[1]!brca_metabric_clinical_data__2[Tumor Stage])</f>
        <v>2</v>
      </c>
    </row>
    <row r="967" spans="1:15" x14ac:dyDescent="0.45">
      <c r="A967" t="s">
        <v>1002</v>
      </c>
      <c r="B967">
        <v>53.03</v>
      </c>
      <c r="C967" t="s">
        <v>16</v>
      </c>
      <c r="D967" t="s">
        <v>17</v>
      </c>
      <c r="E967" t="s">
        <v>18</v>
      </c>
      <c r="F967" t="s">
        <v>19</v>
      </c>
      <c r="G967" t="s">
        <v>20</v>
      </c>
      <c r="H967" t="s">
        <v>21</v>
      </c>
      <c r="I967" t="s">
        <v>21</v>
      </c>
      <c r="J967" t="s">
        <v>27</v>
      </c>
      <c r="K967">
        <v>3</v>
      </c>
      <c r="L967">
        <v>48.433333333333302</v>
      </c>
      <c r="M967" t="s">
        <v>30</v>
      </c>
      <c r="N967" t="str">
        <f>_xlfn.XLOOKUP(A967,[1]!brca_metabric_clinical_data__2[Patient ID], [1]!brca_metabric_clinical_data__2[Tumor Size])</f>
        <v>35</v>
      </c>
      <c r="O967" t="str">
        <f>_xlfn.XLOOKUP(A967,[1]!brca_metabric_clinical_data__2[Sample ID],[1]!brca_metabric_clinical_data__2[Tumor Stage])</f>
        <v>2</v>
      </c>
    </row>
    <row r="968" spans="1:15" x14ac:dyDescent="0.45">
      <c r="A968" t="s">
        <v>1003</v>
      </c>
      <c r="B968">
        <v>81.98</v>
      </c>
      <c r="C968" t="s">
        <v>16</v>
      </c>
      <c r="D968" t="s">
        <v>17</v>
      </c>
      <c r="E968" t="s">
        <v>18</v>
      </c>
      <c r="F968" t="s">
        <v>19</v>
      </c>
      <c r="G968" t="s">
        <v>20</v>
      </c>
      <c r="H968" t="s">
        <v>21</v>
      </c>
      <c r="I968" t="s">
        <v>20</v>
      </c>
      <c r="J968" t="s">
        <v>27</v>
      </c>
      <c r="K968" t="s">
        <v>23</v>
      </c>
      <c r="L968">
        <v>74.099999999999994</v>
      </c>
      <c r="M968" t="s">
        <v>30</v>
      </c>
      <c r="N968" t="str">
        <f>_xlfn.XLOOKUP(A968,[1]!brca_metabric_clinical_data__2[Patient ID], [1]!brca_metabric_clinical_data__2[Tumor Size])</f>
        <v>20</v>
      </c>
      <c r="O968" t="str">
        <f>_xlfn.XLOOKUP(A968,[1]!brca_metabric_clinical_data__2[Sample ID],[1]!brca_metabric_clinical_data__2[Tumor Stage])</f>
        <v>2</v>
      </c>
    </row>
    <row r="969" spans="1:15" x14ac:dyDescent="0.45">
      <c r="A969" t="s">
        <v>1004</v>
      </c>
      <c r="B969">
        <v>71.17</v>
      </c>
      <c r="C969" t="s">
        <v>16</v>
      </c>
      <c r="D969" t="s">
        <v>17</v>
      </c>
      <c r="E969" t="s">
        <v>18</v>
      </c>
      <c r="F969" t="s">
        <v>43</v>
      </c>
      <c r="G969" t="s">
        <v>20</v>
      </c>
      <c r="H969" t="s">
        <v>21</v>
      </c>
      <c r="I969" t="s">
        <v>21</v>
      </c>
      <c r="J969" t="s">
        <v>29</v>
      </c>
      <c r="K969">
        <v>5</v>
      </c>
      <c r="L969">
        <v>85.3</v>
      </c>
      <c r="M969" t="s">
        <v>30</v>
      </c>
      <c r="N969" t="str">
        <f>_xlfn.XLOOKUP(A969,[1]!brca_metabric_clinical_data__2[Patient ID], [1]!brca_metabric_clinical_data__2[Tumor Size])</f>
        <v>45</v>
      </c>
      <c r="O969" t="str">
        <f>_xlfn.XLOOKUP(A969,[1]!brca_metabric_clinical_data__2[Sample ID],[1]!brca_metabric_clinical_data__2[Tumor Stage])</f>
        <v>3</v>
      </c>
    </row>
    <row r="970" spans="1:15" x14ac:dyDescent="0.45">
      <c r="A970" t="s">
        <v>1005</v>
      </c>
      <c r="B970">
        <v>49.76</v>
      </c>
      <c r="C970" t="s">
        <v>16</v>
      </c>
      <c r="D970" t="s">
        <v>26</v>
      </c>
      <c r="E970" t="s">
        <v>18</v>
      </c>
      <c r="F970" t="s">
        <v>19</v>
      </c>
      <c r="G970" t="s">
        <v>20</v>
      </c>
      <c r="H970" t="s">
        <v>20</v>
      </c>
      <c r="I970" t="s">
        <v>20</v>
      </c>
      <c r="J970" t="s">
        <v>27</v>
      </c>
      <c r="K970">
        <v>7</v>
      </c>
      <c r="L970">
        <v>282.566666666667</v>
      </c>
      <c r="M970" t="s">
        <v>30</v>
      </c>
      <c r="N970" t="str">
        <f>_xlfn.XLOOKUP(A970,[1]!brca_metabric_clinical_data__2[Patient ID], [1]!brca_metabric_clinical_data__2[Tumor Size])</f>
        <v>10</v>
      </c>
      <c r="O970" t="str">
        <f>_xlfn.XLOOKUP(A970,[1]!brca_metabric_clinical_data__2[Sample ID],[1]!brca_metabric_clinical_data__2[Tumor Stage])</f>
        <v>1</v>
      </c>
    </row>
    <row r="971" spans="1:15" x14ac:dyDescent="0.45">
      <c r="A971" t="s">
        <v>1006</v>
      </c>
      <c r="B971">
        <v>58.49</v>
      </c>
      <c r="C971" t="s">
        <v>16</v>
      </c>
      <c r="D971" t="s">
        <v>17</v>
      </c>
      <c r="E971" t="s">
        <v>18</v>
      </c>
      <c r="F971" t="s">
        <v>19</v>
      </c>
      <c r="G971" t="s">
        <v>20</v>
      </c>
      <c r="H971" t="s">
        <v>20</v>
      </c>
      <c r="I971" t="s">
        <v>20</v>
      </c>
      <c r="J971" t="s">
        <v>27</v>
      </c>
      <c r="K971">
        <v>8</v>
      </c>
      <c r="L971">
        <v>107.26666666666701</v>
      </c>
      <c r="M971" t="s">
        <v>30</v>
      </c>
      <c r="N971" t="str">
        <f>_xlfn.XLOOKUP(A971,[1]!brca_metabric_clinical_data__2[Patient ID], [1]!brca_metabric_clinical_data__2[Tumor Size])</f>
        <v>25</v>
      </c>
      <c r="O971" t="str">
        <f>_xlfn.XLOOKUP(A971,[1]!brca_metabric_clinical_data__2[Sample ID],[1]!brca_metabric_clinical_data__2[Tumor Stage])</f>
        <v>NA</v>
      </c>
    </row>
    <row r="972" spans="1:15" x14ac:dyDescent="0.45">
      <c r="A972" t="s">
        <v>1007</v>
      </c>
      <c r="B972">
        <v>76.06</v>
      </c>
      <c r="C972" t="s">
        <v>16</v>
      </c>
      <c r="D972" t="s">
        <v>17</v>
      </c>
      <c r="E972" t="s">
        <v>18</v>
      </c>
      <c r="F972" t="s">
        <v>19</v>
      </c>
      <c r="G972" t="s">
        <v>20</v>
      </c>
      <c r="H972" t="s">
        <v>20</v>
      </c>
      <c r="I972" t="s">
        <v>21</v>
      </c>
      <c r="J972" t="s">
        <v>58</v>
      </c>
      <c r="K972">
        <v>10</v>
      </c>
      <c r="L972">
        <v>198.3</v>
      </c>
      <c r="M972" t="s">
        <v>24</v>
      </c>
      <c r="N972" t="str">
        <f>_xlfn.XLOOKUP(A972,[1]!brca_metabric_clinical_data__2[Patient ID], [1]!brca_metabric_clinical_data__2[Tumor Size])</f>
        <v>20</v>
      </c>
      <c r="O972" t="str">
        <f>_xlfn.XLOOKUP(A972,[1]!brca_metabric_clinical_data__2[Sample ID],[1]!brca_metabric_clinical_data__2[Tumor Stage])</f>
        <v>1</v>
      </c>
    </row>
    <row r="973" spans="1:15" x14ac:dyDescent="0.45">
      <c r="A973" t="s">
        <v>1008</v>
      </c>
      <c r="B973">
        <v>61.12</v>
      </c>
      <c r="C973" t="s">
        <v>16</v>
      </c>
      <c r="D973" t="s">
        <v>17</v>
      </c>
      <c r="E973" t="s">
        <v>18</v>
      </c>
      <c r="F973" t="s">
        <v>19</v>
      </c>
      <c r="G973" t="s">
        <v>20</v>
      </c>
      <c r="H973" t="s">
        <v>21</v>
      </c>
      <c r="I973" t="s">
        <v>20</v>
      </c>
      <c r="J973" t="s">
        <v>38</v>
      </c>
      <c r="K973" t="s">
        <v>23</v>
      </c>
      <c r="L973">
        <v>21.3</v>
      </c>
      <c r="M973" t="s">
        <v>30</v>
      </c>
      <c r="N973" t="str">
        <f>_xlfn.XLOOKUP(A973,[1]!brca_metabric_clinical_data__2[Patient ID], [1]!brca_metabric_clinical_data__2[Tumor Size])</f>
        <v>50</v>
      </c>
      <c r="O973" t="str">
        <f>_xlfn.XLOOKUP(A973,[1]!brca_metabric_clinical_data__2[Sample ID],[1]!brca_metabric_clinical_data__2[Tumor Stage])</f>
        <v>2</v>
      </c>
    </row>
    <row r="974" spans="1:15" x14ac:dyDescent="0.45">
      <c r="A974" t="s">
        <v>1009</v>
      </c>
      <c r="B974">
        <v>49.98</v>
      </c>
      <c r="C974" t="s">
        <v>16</v>
      </c>
      <c r="D974" t="s">
        <v>26</v>
      </c>
      <c r="E974" t="s">
        <v>37</v>
      </c>
      <c r="F974" t="s">
        <v>35</v>
      </c>
      <c r="G974" t="s">
        <v>20</v>
      </c>
      <c r="H974" t="s">
        <v>20</v>
      </c>
      <c r="I974" t="s">
        <v>20</v>
      </c>
      <c r="J974" t="s">
        <v>22</v>
      </c>
      <c r="K974">
        <v>10</v>
      </c>
      <c r="L974">
        <v>255.26666666666699</v>
      </c>
      <c r="M974" t="s">
        <v>24</v>
      </c>
      <c r="N974" t="str">
        <f>_xlfn.XLOOKUP(A974,[1]!brca_metabric_clinical_data__2[Patient ID], [1]!brca_metabric_clinical_data__2[Tumor Size])</f>
        <v>45</v>
      </c>
      <c r="O974" t="str">
        <f>_xlfn.XLOOKUP(A974,[1]!brca_metabric_clinical_data__2[Sample ID],[1]!brca_metabric_clinical_data__2[Tumor Stage])</f>
        <v>NA</v>
      </c>
    </row>
    <row r="975" spans="1:15" x14ac:dyDescent="0.45">
      <c r="A975" t="s">
        <v>1010</v>
      </c>
      <c r="B975">
        <v>79.010000000000005</v>
      </c>
      <c r="C975" t="s">
        <v>16</v>
      </c>
      <c r="D975" t="s">
        <v>17</v>
      </c>
      <c r="E975" t="s">
        <v>18</v>
      </c>
      <c r="F975" t="s">
        <v>19</v>
      </c>
      <c r="G975" t="s">
        <v>20</v>
      </c>
      <c r="H975" t="s">
        <v>20</v>
      </c>
      <c r="I975" t="s">
        <v>20</v>
      </c>
      <c r="J975" t="s">
        <v>613</v>
      </c>
      <c r="K975">
        <v>3</v>
      </c>
      <c r="L975">
        <v>118</v>
      </c>
      <c r="M975" t="s">
        <v>30</v>
      </c>
      <c r="N975" t="str">
        <f>_xlfn.XLOOKUP(A975,[1]!brca_metabric_clinical_data__2[Patient ID], [1]!brca_metabric_clinical_data__2[Tumor Size])</f>
        <v>30</v>
      </c>
      <c r="O975" t="str">
        <f>_xlfn.XLOOKUP(A975,[1]!brca_metabric_clinical_data__2[Sample ID],[1]!brca_metabric_clinical_data__2[Tumor Stage])</f>
        <v>NA</v>
      </c>
    </row>
    <row r="976" spans="1:15" x14ac:dyDescent="0.45">
      <c r="A976" t="s">
        <v>1011</v>
      </c>
      <c r="B976">
        <v>59.18</v>
      </c>
      <c r="C976" t="s">
        <v>16</v>
      </c>
      <c r="D976" t="s">
        <v>17</v>
      </c>
      <c r="E976" t="s">
        <v>18</v>
      </c>
      <c r="F976" t="s">
        <v>19</v>
      </c>
      <c r="G976" t="s">
        <v>20</v>
      </c>
      <c r="H976" t="s">
        <v>21</v>
      </c>
      <c r="I976" t="s">
        <v>20</v>
      </c>
      <c r="J976" t="s">
        <v>27</v>
      </c>
      <c r="K976">
        <v>3</v>
      </c>
      <c r="L976">
        <v>170.666666666667</v>
      </c>
      <c r="M976" t="s">
        <v>30</v>
      </c>
      <c r="N976" t="str">
        <f>_xlfn.XLOOKUP(A976,[1]!brca_metabric_clinical_data__2[Patient ID], [1]!brca_metabric_clinical_data__2[Tumor Size])</f>
        <v>20</v>
      </c>
      <c r="O976" t="str">
        <f>_xlfn.XLOOKUP(A976,[1]!brca_metabric_clinical_data__2[Sample ID],[1]!brca_metabric_clinical_data__2[Tumor Stage])</f>
        <v>2</v>
      </c>
    </row>
    <row r="977" spans="1:15" x14ac:dyDescent="0.45">
      <c r="A977" t="s">
        <v>1012</v>
      </c>
      <c r="B977">
        <v>47.62</v>
      </c>
      <c r="C977" t="s">
        <v>16</v>
      </c>
      <c r="D977" t="s">
        <v>26</v>
      </c>
      <c r="E977" t="s">
        <v>18</v>
      </c>
      <c r="F977" t="s">
        <v>19</v>
      </c>
      <c r="G977" t="s">
        <v>20</v>
      </c>
      <c r="H977" t="s">
        <v>20</v>
      </c>
      <c r="I977" t="s">
        <v>21</v>
      </c>
      <c r="J977" t="s">
        <v>27</v>
      </c>
      <c r="K977">
        <v>8</v>
      </c>
      <c r="L977">
        <v>127.533333333333</v>
      </c>
      <c r="M977" t="s">
        <v>24</v>
      </c>
      <c r="N977" t="str">
        <f>_xlfn.XLOOKUP(A977,[1]!brca_metabric_clinical_data__2[Patient ID], [1]!brca_metabric_clinical_data__2[Tumor Size])</f>
        <v>25</v>
      </c>
      <c r="O977" t="str">
        <f>_xlfn.XLOOKUP(A977,[1]!brca_metabric_clinical_data__2[Sample ID],[1]!brca_metabric_clinical_data__2[Tumor Stage])</f>
        <v>2</v>
      </c>
    </row>
    <row r="978" spans="1:15" x14ac:dyDescent="0.45">
      <c r="A978" t="s">
        <v>1013</v>
      </c>
      <c r="B978">
        <v>52.13</v>
      </c>
      <c r="C978" t="s">
        <v>16</v>
      </c>
      <c r="D978" t="s">
        <v>17</v>
      </c>
      <c r="E978" t="s">
        <v>18</v>
      </c>
      <c r="F978" t="s">
        <v>19</v>
      </c>
      <c r="G978" t="s">
        <v>20</v>
      </c>
      <c r="H978" t="s">
        <v>21</v>
      </c>
      <c r="I978" t="s">
        <v>20</v>
      </c>
      <c r="J978" t="s">
        <v>29</v>
      </c>
      <c r="K978">
        <v>9</v>
      </c>
      <c r="L978">
        <v>300.86666666666702</v>
      </c>
      <c r="M978" t="s">
        <v>24</v>
      </c>
      <c r="N978" t="str">
        <f>_xlfn.XLOOKUP(A978,[1]!brca_metabric_clinical_data__2[Patient ID], [1]!brca_metabric_clinical_data__2[Tumor Size])</f>
        <v>35</v>
      </c>
      <c r="O978" t="str">
        <f>_xlfn.XLOOKUP(A978,[1]!brca_metabric_clinical_data__2[Sample ID],[1]!brca_metabric_clinical_data__2[Tumor Stage])</f>
        <v>2</v>
      </c>
    </row>
    <row r="979" spans="1:15" x14ac:dyDescent="0.45">
      <c r="A979" t="s">
        <v>1014</v>
      </c>
      <c r="B979">
        <v>67.790000000000006</v>
      </c>
      <c r="C979" t="s">
        <v>16</v>
      </c>
      <c r="D979" t="s">
        <v>17</v>
      </c>
      <c r="E979" t="s">
        <v>18</v>
      </c>
      <c r="F979" t="s">
        <v>43</v>
      </c>
      <c r="G979" t="s">
        <v>20</v>
      </c>
      <c r="H979" t="s">
        <v>20</v>
      </c>
      <c r="I979" t="s">
        <v>20</v>
      </c>
      <c r="J979" t="s">
        <v>27</v>
      </c>
      <c r="K979" t="s">
        <v>23</v>
      </c>
      <c r="L979">
        <v>64</v>
      </c>
      <c r="M979" t="s">
        <v>30</v>
      </c>
      <c r="N979" t="str">
        <f>_xlfn.XLOOKUP(A979,[1]!brca_metabric_clinical_data__2[Patient ID], [1]!brca_metabric_clinical_data__2[Tumor Size])</f>
        <v>49</v>
      </c>
      <c r="O979" t="str">
        <f>_xlfn.XLOOKUP(A979,[1]!brca_metabric_clinical_data__2[Sample ID],[1]!brca_metabric_clinical_data__2[Tumor Stage])</f>
        <v>2</v>
      </c>
    </row>
    <row r="980" spans="1:15" x14ac:dyDescent="0.45">
      <c r="A980" t="s">
        <v>1015</v>
      </c>
      <c r="B980">
        <v>63.58</v>
      </c>
      <c r="C980" t="s">
        <v>16</v>
      </c>
      <c r="D980" t="s">
        <v>17</v>
      </c>
      <c r="E980" t="s">
        <v>18</v>
      </c>
      <c r="F980" t="s">
        <v>19</v>
      </c>
      <c r="G980" t="s">
        <v>20</v>
      </c>
      <c r="H980" t="s">
        <v>20</v>
      </c>
      <c r="I980" t="s">
        <v>20</v>
      </c>
      <c r="J980" t="s">
        <v>27</v>
      </c>
      <c r="K980">
        <v>3</v>
      </c>
      <c r="L980">
        <v>213.1</v>
      </c>
      <c r="M980" t="s">
        <v>30</v>
      </c>
      <c r="N980" t="str">
        <f>_xlfn.XLOOKUP(A980,[1]!brca_metabric_clinical_data__2[Patient ID], [1]!brca_metabric_clinical_data__2[Tumor Size])</f>
        <v>27</v>
      </c>
      <c r="O980" t="str">
        <f>_xlfn.XLOOKUP(A980,[1]!brca_metabric_clinical_data__2[Sample ID],[1]!brca_metabric_clinical_data__2[Tumor Stage])</f>
        <v>2</v>
      </c>
    </row>
    <row r="981" spans="1:15" x14ac:dyDescent="0.45">
      <c r="A981" t="s">
        <v>1016</v>
      </c>
      <c r="B981">
        <v>75.48</v>
      </c>
      <c r="C981" t="s">
        <v>16</v>
      </c>
      <c r="D981" t="s">
        <v>17</v>
      </c>
      <c r="E981" t="s">
        <v>18</v>
      </c>
      <c r="F981" t="s">
        <v>19</v>
      </c>
      <c r="G981" t="s">
        <v>20</v>
      </c>
      <c r="H981" t="s">
        <v>20</v>
      </c>
      <c r="I981" t="s">
        <v>21</v>
      </c>
      <c r="J981" t="s">
        <v>27</v>
      </c>
      <c r="K981">
        <v>3</v>
      </c>
      <c r="L981">
        <v>55.6666666666667</v>
      </c>
      <c r="M981" t="s">
        <v>30</v>
      </c>
      <c r="N981" t="str">
        <f>_xlfn.XLOOKUP(A981,[1]!brca_metabric_clinical_data__2[Patient ID], [1]!brca_metabric_clinical_data__2[Tumor Size])</f>
        <v>15</v>
      </c>
      <c r="O981" t="str">
        <f>_xlfn.XLOOKUP(A981,[1]!brca_metabric_clinical_data__2[Sample ID],[1]!brca_metabric_clinical_data__2[Tumor Stage])</f>
        <v>1</v>
      </c>
    </row>
    <row r="982" spans="1:15" x14ac:dyDescent="0.45">
      <c r="A982" t="s">
        <v>1017</v>
      </c>
      <c r="B982">
        <v>59.85</v>
      </c>
      <c r="C982" t="s">
        <v>16</v>
      </c>
      <c r="D982" t="s">
        <v>17</v>
      </c>
      <c r="E982" t="s">
        <v>37</v>
      </c>
      <c r="F982" t="s">
        <v>19</v>
      </c>
      <c r="G982" t="s">
        <v>20</v>
      </c>
      <c r="H982" t="s">
        <v>20</v>
      </c>
      <c r="I982" t="s">
        <v>21</v>
      </c>
      <c r="J982" t="s">
        <v>58</v>
      </c>
      <c r="K982">
        <v>10</v>
      </c>
      <c r="L982">
        <v>221.2</v>
      </c>
      <c r="M982" t="s">
        <v>24</v>
      </c>
      <c r="N982" t="str">
        <f>_xlfn.XLOOKUP(A982,[1]!brca_metabric_clinical_data__2[Patient ID], [1]!brca_metabric_clinical_data__2[Tumor Size])</f>
        <v>27</v>
      </c>
      <c r="O982" t="str">
        <f>_xlfn.XLOOKUP(A982,[1]!brca_metabric_clinical_data__2[Sample ID],[1]!brca_metabric_clinical_data__2[Tumor Stage])</f>
        <v>2</v>
      </c>
    </row>
    <row r="983" spans="1:15" x14ac:dyDescent="0.45">
      <c r="A983" t="s">
        <v>1018</v>
      </c>
      <c r="B983">
        <v>63.03</v>
      </c>
      <c r="C983" t="s">
        <v>16</v>
      </c>
      <c r="D983" t="s">
        <v>17</v>
      </c>
      <c r="E983" t="s">
        <v>18</v>
      </c>
      <c r="F983" t="s">
        <v>19</v>
      </c>
      <c r="G983" t="s">
        <v>20</v>
      </c>
      <c r="H983" t="s">
        <v>20</v>
      </c>
      <c r="I983" t="s">
        <v>20</v>
      </c>
      <c r="J983" t="s">
        <v>27</v>
      </c>
      <c r="K983">
        <v>3</v>
      </c>
      <c r="L983">
        <v>227.9</v>
      </c>
      <c r="M983" t="s">
        <v>30</v>
      </c>
      <c r="N983" t="str">
        <f>_xlfn.XLOOKUP(A983,[1]!brca_metabric_clinical_data__2[Patient ID], [1]!brca_metabric_clinical_data__2[Tumor Size])</f>
        <v>18</v>
      </c>
      <c r="O983" t="str">
        <f>_xlfn.XLOOKUP(A983,[1]!brca_metabric_clinical_data__2[Sample ID],[1]!brca_metabric_clinical_data__2[Tumor Stage])</f>
        <v>1</v>
      </c>
    </row>
    <row r="984" spans="1:15" x14ac:dyDescent="0.45">
      <c r="A984" t="s">
        <v>1019</v>
      </c>
      <c r="B984">
        <v>49.02</v>
      </c>
      <c r="C984" t="s">
        <v>16</v>
      </c>
      <c r="D984" t="s">
        <v>26</v>
      </c>
      <c r="E984" t="s">
        <v>18</v>
      </c>
      <c r="F984" t="s">
        <v>19</v>
      </c>
      <c r="G984" t="s">
        <v>20</v>
      </c>
      <c r="H984" t="s">
        <v>20</v>
      </c>
      <c r="I984" t="s">
        <v>21</v>
      </c>
      <c r="J984" t="s">
        <v>27</v>
      </c>
      <c r="K984">
        <v>8</v>
      </c>
      <c r="L984">
        <v>146.76666666666699</v>
      </c>
      <c r="M984" t="s">
        <v>24</v>
      </c>
      <c r="N984" t="str">
        <f>_xlfn.XLOOKUP(A984,[1]!brca_metabric_clinical_data__2[Patient ID], [1]!brca_metabric_clinical_data__2[Tumor Size])</f>
        <v>20</v>
      </c>
      <c r="O984" t="str">
        <f>_xlfn.XLOOKUP(A984,[1]!brca_metabric_clinical_data__2[Sample ID],[1]!brca_metabric_clinical_data__2[Tumor Stage])</f>
        <v>1</v>
      </c>
    </row>
    <row r="985" spans="1:15" x14ac:dyDescent="0.45">
      <c r="A985" t="s">
        <v>1020</v>
      </c>
      <c r="B985">
        <v>77.12</v>
      </c>
      <c r="C985" t="s">
        <v>16</v>
      </c>
      <c r="D985" t="s">
        <v>17</v>
      </c>
      <c r="E985" t="s">
        <v>18</v>
      </c>
      <c r="F985" t="s">
        <v>19</v>
      </c>
      <c r="G985" t="s">
        <v>20</v>
      </c>
      <c r="H985" t="s">
        <v>21</v>
      </c>
      <c r="I985" t="s">
        <v>20</v>
      </c>
      <c r="J985" t="s">
        <v>27</v>
      </c>
      <c r="K985">
        <v>3</v>
      </c>
      <c r="L985">
        <v>57.6666666666667</v>
      </c>
      <c r="M985" t="s">
        <v>24</v>
      </c>
      <c r="N985" t="str">
        <f>_xlfn.XLOOKUP(A985,[1]!brca_metabric_clinical_data__2[Patient ID], [1]!brca_metabric_clinical_data__2[Tumor Size])</f>
        <v>19</v>
      </c>
      <c r="O985" t="str">
        <f>_xlfn.XLOOKUP(A985,[1]!brca_metabric_clinical_data__2[Sample ID],[1]!brca_metabric_clinical_data__2[Tumor Stage])</f>
        <v>1</v>
      </c>
    </row>
    <row r="986" spans="1:15" x14ac:dyDescent="0.45">
      <c r="A986" t="s">
        <v>1021</v>
      </c>
      <c r="B986">
        <v>56.07</v>
      </c>
      <c r="C986" t="s">
        <v>16</v>
      </c>
      <c r="D986" t="s">
        <v>17</v>
      </c>
      <c r="E986" t="s">
        <v>37</v>
      </c>
      <c r="F986" t="s">
        <v>43</v>
      </c>
      <c r="G986" t="s">
        <v>21</v>
      </c>
      <c r="H986" t="s">
        <v>20</v>
      </c>
      <c r="I986" t="s">
        <v>21</v>
      </c>
      <c r="J986" t="s">
        <v>22</v>
      </c>
      <c r="K986">
        <v>5</v>
      </c>
      <c r="L986">
        <v>31.466666666666701</v>
      </c>
      <c r="M986" t="s">
        <v>30</v>
      </c>
      <c r="N986" t="str">
        <f>_xlfn.XLOOKUP(A986,[1]!brca_metabric_clinical_data__2[Patient ID], [1]!brca_metabric_clinical_data__2[Tumor Size])</f>
        <v>99</v>
      </c>
      <c r="O986" t="str">
        <f>_xlfn.XLOOKUP(A986,[1]!brca_metabric_clinical_data__2[Sample ID],[1]!brca_metabric_clinical_data__2[Tumor Stage])</f>
        <v>3</v>
      </c>
    </row>
    <row r="987" spans="1:15" x14ac:dyDescent="0.45">
      <c r="A987" t="s">
        <v>1022</v>
      </c>
      <c r="B987">
        <v>46.59</v>
      </c>
      <c r="C987" t="s">
        <v>16</v>
      </c>
      <c r="D987" t="s">
        <v>26</v>
      </c>
      <c r="E987" t="s">
        <v>37</v>
      </c>
      <c r="F987" t="s">
        <v>19</v>
      </c>
      <c r="G987" t="s">
        <v>20</v>
      </c>
      <c r="H987" t="s">
        <v>20</v>
      </c>
      <c r="I987" t="s">
        <v>20</v>
      </c>
      <c r="J987" t="s">
        <v>38</v>
      </c>
      <c r="K987">
        <v>9</v>
      </c>
      <c r="L987">
        <v>249.53333333333299</v>
      </c>
      <c r="M987" t="s">
        <v>30</v>
      </c>
      <c r="N987" t="str">
        <f>_xlfn.XLOOKUP(A987,[1]!brca_metabric_clinical_data__2[Patient ID], [1]!brca_metabric_clinical_data__2[Tumor Size])</f>
        <v>50</v>
      </c>
      <c r="O987" t="str">
        <f>_xlfn.XLOOKUP(A987,[1]!brca_metabric_clinical_data__2[Sample ID],[1]!brca_metabric_clinical_data__2[Tumor Stage])</f>
        <v>2</v>
      </c>
    </row>
    <row r="988" spans="1:15" x14ac:dyDescent="0.45">
      <c r="A988" t="s">
        <v>1023</v>
      </c>
      <c r="B988">
        <v>64.680000000000007</v>
      </c>
      <c r="C988" t="s">
        <v>16</v>
      </c>
      <c r="D988" t="s">
        <v>17</v>
      </c>
      <c r="E988" t="s">
        <v>37</v>
      </c>
      <c r="F988" t="s">
        <v>19</v>
      </c>
      <c r="G988" t="s">
        <v>21</v>
      </c>
      <c r="H988" t="s">
        <v>21</v>
      </c>
      <c r="I988" t="s">
        <v>21</v>
      </c>
      <c r="J988" t="s">
        <v>58</v>
      </c>
      <c r="K988">
        <v>10</v>
      </c>
      <c r="L988">
        <v>83.6666666666667</v>
      </c>
      <c r="M988" t="s">
        <v>30</v>
      </c>
      <c r="N988" t="str">
        <f>_xlfn.XLOOKUP(A988,[1]!brca_metabric_clinical_data__2[Patient ID], [1]!brca_metabric_clinical_data__2[Tumor Size])</f>
        <v>1</v>
      </c>
      <c r="O988" t="str">
        <f>_xlfn.XLOOKUP(A988,[1]!brca_metabric_clinical_data__2[Sample ID],[1]!brca_metabric_clinical_data__2[Tumor Stage])</f>
        <v>2</v>
      </c>
    </row>
    <row r="989" spans="1:15" x14ac:dyDescent="0.45">
      <c r="A989" t="s">
        <v>1024</v>
      </c>
      <c r="B989">
        <v>67.8</v>
      </c>
      <c r="C989" t="s">
        <v>16</v>
      </c>
      <c r="D989" t="s">
        <v>17</v>
      </c>
      <c r="E989" t="s">
        <v>37</v>
      </c>
      <c r="F989" t="s">
        <v>19</v>
      </c>
      <c r="G989" t="s">
        <v>21</v>
      </c>
      <c r="H989" t="s">
        <v>20</v>
      </c>
      <c r="I989" t="s">
        <v>20</v>
      </c>
      <c r="J989" t="s">
        <v>58</v>
      </c>
      <c r="K989">
        <v>8</v>
      </c>
      <c r="L989">
        <v>35.233333333333299</v>
      </c>
      <c r="M989" t="s">
        <v>30</v>
      </c>
      <c r="N989" t="str">
        <f>_xlfn.XLOOKUP(A989,[1]!brca_metabric_clinical_data__2[Patient ID], [1]!brca_metabric_clinical_data__2[Tumor Size])</f>
        <v>45</v>
      </c>
      <c r="O989" t="str">
        <f>_xlfn.XLOOKUP(A989,[1]!brca_metabric_clinical_data__2[Sample ID],[1]!brca_metabric_clinical_data__2[Tumor Stage])</f>
        <v>2</v>
      </c>
    </row>
    <row r="990" spans="1:15" x14ac:dyDescent="0.45">
      <c r="A990" t="s">
        <v>1025</v>
      </c>
      <c r="B990">
        <v>52.98</v>
      </c>
      <c r="C990" t="s">
        <v>16</v>
      </c>
      <c r="D990" t="s">
        <v>17</v>
      </c>
      <c r="E990" t="s">
        <v>18</v>
      </c>
      <c r="F990" t="s">
        <v>19</v>
      </c>
      <c r="G990" t="s">
        <v>20</v>
      </c>
      <c r="H990" t="s">
        <v>20</v>
      </c>
      <c r="I990" t="s">
        <v>21</v>
      </c>
      <c r="J990" t="s">
        <v>27</v>
      </c>
      <c r="K990">
        <v>3</v>
      </c>
      <c r="L990">
        <v>76.133333333333297</v>
      </c>
      <c r="M990" t="s">
        <v>30</v>
      </c>
      <c r="N990" t="str">
        <f>_xlfn.XLOOKUP(A990,[1]!brca_metabric_clinical_data__2[Patient ID], [1]!brca_metabric_clinical_data__2[Tumor Size])</f>
        <v>28</v>
      </c>
      <c r="O990" t="str">
        <f>_xlfn.XLOOKUP(A990,[1]!brca_metabric_clinical_data__2[Sample ID],[1]!brca_metabric_clinical_data__2[Tumor Stage])</f>
        <v>2</v>
      </c>
    </row>
    <row r="991" spans="1:15" x14ac:dyDescent="0.45">
      <c r="A991" t="s">
        <v>1026</v>
      </c>
      <c r="B991">
        <v>43.51</v>
      </c>
      <c r="C991" t="s">
        <v>16</v>
      </c>
      <c r="D991" t="s">
        <v>26</v>
      </c>
      <c r="E991" t="s">
        <v>37</v>
      </c>
      <c r="F991" t="s">
        <v>35</v>
      </c>
      <c r="G991" t="s">
        <v>20</v>
      </c>
      <c r="H991" t="s">
        <v>20</v>
      </c>
      <c r="I991" t="s">
        <v>20</v>
      </c>
      <c r="J991" t="s">
        <v>58</v>
      </c>
      <c r="K991">
        <v>10</v>
      </c>
      <c r="L991">
        <v>42.9</v>
      </c>
      <c r="M991" t="s">
        <v>30</v>
      </c>
      <c r="N991" t="str">
        <f>_xlfn.XLOOKUP(A991,[1]!brca_metabric_clinical_data__2[Patient ID], [1]!brca_metabric_clinical_data__2[Tumor Size])</f>
        <v>25</v>
      </c>
      <c r="O991" t="str">
        <f>_xlfn.XLOOKUP(A991,[1]!brca_metabric_clinical_data__2[Sample ID],[1]!brca_metabric_clinical_data__2[Tumor Stage])</f>
        <v>2</v>
      </c>
    </row>
    <row r="992" spans="1:15" x14ac:dyDescent="0.45">
      <c r="A992" t="s">
        <v>1027</v>
      </c>
      <c r="B992">
        <v>44.27</v>
      </c>
      <c r="C992" t="s">
        <v>16</v>
      </c>
      <c r="D992" t="s">
        <v>26</v>
      </c>
      <c r="E992" t="s">
        <v>18</v>
      </c>
      <c r="F992" t="s">
        <v>19</v>
      </c>
      <c r="G992" t="s">
        <v>20</v>
      </c>
      <c r="H992" t="s">
        <v>21</v>
      </c>
      <c r="I992" t="s">
        <v>21</v>
      </c>
      <c r="J992" t="s">
        <v>38</v>
      </c>
      <c r="K992" t="s">
        <v>23</v>
      </c>
      <c r="L992">
        <v>198.333333333333</v>
      </c>
      <c r="M992" t="s">
        <v>30</v>
      </c>
      <c r="N992" t="str">
        <f>_xlfn.XLOOKUP(A992,[1]!brca_metabric_clinical_data__2[Patient ID], [1]!brca_metabric_clinical_data__2[Tumor Size])</f>
        <v>99</v>
      </c>
      <c r="O992" t="str">
        <f>_xlfn.XLOOKUP(A992,[1]!brca_metabric_clinical_data__2[Sample ID],[1]!brca_metabric_clinical_data__2[Tumor Stage])</f>
        <v>2</v>
      </c>
    </row>
    <row r="993" spans="1:15" x14ac:dyDescent="0.45">
      <c r="A993" t="s">
        <v>1028</v>
      </c>
      <c r="B993">
        <v>67.27</v>
      </c>
      <c r="C993" t="s">
        <v>16</v>
      </c>
      <c r="D993" t="s">
        <v>17</v>
      </c>
      <c r="E993" t="s">
        <v>18</v>
      </c>
      <c r="F993" t="s">
        <v>19</v>
      </c>
      <c r="G993" t="s">
        <v>20</v>
      </c>
      <c r="H993" t="s">
        <v>21</v>
      </c>
      <c r="I993" t="s">
        <v>20</v>
      </c>
      <c r="J993" t="s">
        <v>27</v>
      </c>
      <c r="K993">
        <v>8</v>
      </c>
      <c r="L993">
        <v>81.566666666666706</v>
      </c>
      <c r="M993" t="s">
        <v>30</v>
      </c>
      <c r="N993" t="str">
        <f>_xlfn.XLOOKUP(A993,[1]!brca_metabric_clinical_data__2[Patient ID], [1]!brca_metabric_clinical_data__2[Tumor Size])</f>
        <v>22</v>
      </c>
      <c r="O993" t="str">
        <f>_xlfn.XLOOKUP(A993,[1]!brca_metabric_clinical_data__2[Sample ID],[1]!brca_metabric_clinical_data__2[Tumor Stage])</f>
        <v>2</v>
      </c>
    </row>
    <row r="994" spans="1:15" x14ac:dyDescent="0.45">
      <c r="A994" t="s">
        <v>1029</v>
      </c>
      <c r="B994">
        <v>66.39</v>
      </c>
      <c r="C994" t="s">
        <v>16</v>
      </c>
      <c r="D994" t="s">
        <v>17</v>
      </c>
      <c r="E994" t="s">
        <v>18</v>
      </c>
      <c r="F994" t="s">
        <v>19</v>
      </c>
      <c r="G994" t="s">
        <v>20</v>
      </c>
      <c r="H994" t="s">
        <v>21</v>
      </c>
      <c r="I994" t="s">
        <v>21</v>
      </c>
      <c r="J994" t="s">
        <v>27</v>
      </c>
      <c r="K994">
        <v>8</v>
      </c>
      <c r="L994">
        <v>23.733333333333299</v>
      </c>
      <c r="M994" t="s">
        <v>30</v>
      </c>
      <c r="N994" t="str">
        <f>_xlfn.XLOOKUP(A994,[1]!brca_metabric_clinical_data__2[Patient ID], [1]!brca_metabric_clinical_data__2[Tumor Size])</f>
        <v>60</v>
      </c>
      <c r="O994" t="str">
        <f>_xlfn.XLOOKUP(A994,[1]!brca_metabric_clinical_data__2[Sample ID],[1]!brca_metabric_clinical_data__2[Tumor Stage])</f>
        <v>3</v>
      </c>
    </row>
    <row r="995" spans="1:15" x14ac:dyDescent="0.45">
      <c r="A995" t="s">
        <v>1030</v>
      </c>
      <c r="B995">
        <v>64.02</v>
      </c>
      <c r="C995" t="s">
        <v>16</v>
      </c>
      <c r="D995" t="s">
        <v>17</v>
      </c>
      <c r="F995" t="s">
        <v>19</v>
      </c>
      <c r="G995" t="s">
        <v>20</v>
      </c>
      <c r="H995" t="s">
        <v>20</v>
      </c>
      <c r="I995" t="s">
        <v>20</v>
      </c>
      <c r="J995" t="s">
        <v>27</v>
      </c>
      <c r="K995">
        <v>8</v>
      </c>
      <c r="L995">
        <v>86.1</v>
      </c>
      <c r="M995" t="s">
        <v>24</v>
      </c>
      <c r="N995" t="str">
        <f>_xlfn.XLOOKUP(A995,[1]!brca_metabric_clinical_data__2[Patient ID], [1]!brca_metabric_clinical_data__2[Tumor Size])</f>
        <v>25</v>
      </c>
      <c r="O995" t="str">
        <f>_xlfn.XLOOKUP(A995,[1]!brca_metabric_clinical_data__2[Sample ID],[1]!brca_metabric_clinical_data__2[Tumor Stage])</f>
        <v>2</v>
      </c>
    </row>
    <row r="996" spans="1:15" x14ac:dyDescent="0.45">
      <c r="A996" t="s">
        <v>1031</v>
      </c>
      <c r="B996">
        <v>64.760000000000005</v>
      </c>
      <c r="C996" t="s">
        <v>16</v>
      </c>
      <c r="D996" t="s">
        <v>17</v>
      </c>
      <c r="E996" t="s">
        <v>18</v>
      </c>
      <c r="F996" t="s">
        <v>43</v>
      </c>
      <c r="G996" t="s">
        <v>20</v>
      </c>
      <c r="H996" t="s">
        <v>20</v>
      </c>
      <c r="I996" t="s">
        <v>21</v>
      </c>
      <c r="J996" t="s">
        <v>29</v>
      </c>
      <c r="K996">
        <v>1</v>
      </c>
      <c r="L996">
        <v>211.96666666666701</v>
      </c>
      <c r="M996" t="s">
        <v>24</v>
      </c>
      <c r="N996" t="str">
        <f>_xlfn.XLOOKUP(A996,[1]!brca_metabric_clinical_data__2[Patient ID], [1]!brca_metabric_clinical_data__2[Tumor Size])</f>
        <v>15</v>
      </c>
      <c r="O996" t="str">
        <f>_xlfn.XLOOKUP(A996,[1]!brca_metabric_clinical_data__2[Sample ID],[1]!brca_metabric_clinical_data__2[Tumor Stage])</f>
        <v>1</v>
      </c>
    </row>
    <row r="997" spans="1:15" x14ac:dyDescent="0.45">
      <c r="A997" t="s">
        <v>1032</v>
      </c>
      <c r="B997">
        <v>60.44</v>
      </c>
      <c r="C997" t="s">
        <v>16</v>
      </c>
      <c r="D997" t="s">
        <v>17</v>
      </c>
      <c r="E997" t="s">
        <v>37</v>
      </c>
      <c r="F997" t="s">
        <v>43</v>
      </c>
      <c r="G997" t="s">
        <v>20</v>
      </c>
      <c r="H997" t="s">
        <v>20</v>
      </c>
      <c r="I997" t="s">
        <v>21</v>
      </c>
      <c r="J997" t="s">
        <v>45</v>
      </c>
      <c r="K997" t="s">
        <v>39</v>
      </c>
      <c r="L997">
        <v>146.066666666667</v>
      </c>
      <c r="M997" t="s">
        <v>24</v>
      </c>
      <c r="N997" t="str">
        <f>_xlfn.XLOOKUP(A997,[1]!brca_metabric_clinical_data__2[Patient ID], [1]!brca_metabric_clinical_data__2[Tumor Size])</f>
        <v>20</v>
      </c>
      <c r="O997" t="str">
        <f>_xlfn.XLOOKUP(A997,[1]!brca_metabric_clinical_data__2[Sample ID],[1]!brca_metabric_clinical_data__2[Tumor Stage])</f>
        <v>1</v>
      </c>
    </row>
    <row r="998" spans="1:15" x14ac:dyDescent="0.45">
      <c r="A998" t="s">
        <v>1033</v>
      </c>
      <c r="B998">
        <v>65.83</v>
      </c>
      <c r="C998" t="s">
        <v>16</v>
      </c>
      <c r="D998" t="s">
        <v>17</v>
      </c>
      <c r="E998" t="s">
        <v>18</v>
      </c>
      <c r="F998" t="s">
        <v>43</v>
      </c>
      <c r="G998" t="s">
        <v>20</v>
      </c>
      <c r="H998" t="s">
        <v>21</v>
      </c>
      <c r="I998" t="s">
        <v>20</v>
      </c>
      <c r="J998" t="s">
        <v>45</v>
      </c>
      <c r="K998">
        <v>5</v>
      </c>
      <c r="L998">
        <v>98.766666666666694</v>
      </c>
      <c r="M998" t="s">
        <v>30</v>
      </c>
      <c r="N998" t="str">
        <f>_xlfn.XLOOKUP(A998,[1]!brca_metabric_clinical_data__2[Patient ID], [1]!brca_metabric_clinical_data__2[Tumor Size])</f>
        <v>26</v>
      </c>
      <c r="O998" t="str">
        <f>_xlfn.XLOOKUP(A998,[1]!brca_metabric_clinical_data__2[Sample ID],[1]!brca_metabric_clinical_data__2[Tumor Stage])</f>
        <v>2</v>
      </c>
    </row>
    <row r="999" spans="1:15" x14ac:dyDescent="0.45">
      <c r="A999" t="s">
        <v>1034</v>
      </c>
      <c r="B999">
        <v>75.41</v>
      </c>
      <c r="C999" t="s">
        <v>16</v>
      </c>
      <c r="D999" t="s">
        <v>17</v>
      </c>
      <c r="E999" t="s">
        <v>18</v>
      </c>
      <c r="F999" t="s">
        <v>43</v>
      </c>
      <c r="G999" t="s">
        <v>20</v>
      </c>
      <c r="H999" t="s">
        <v>21</v>
      </c>
      <c r="I999" t="s">
        <v>21</v>
      </c>
      <c r="J999" t="s">
        <v>27</v>
      </c>
      <c r="K999">
        <v>5</v>
      </c>
      <c r="L999">
        <v>28</v>
      </c>
      <c r="M999" t="s">
        <v>30</v>
      </c>
      <c r="N999" t="str">
        <f>_xlfn.XLOOKUP(A999,[1]!brca_metabric_clinical_data__2[Patient ID], [1]!brca_metabric_clinical_data__2[Tumor Size])</f>
        <v>25</v>
      </c>
      <c r="O999" t="str">
        <f>_xlfn.XLOOKUP(A999,[1]!brca_metabric_clinical_data__2[Sample ID],[1]!brca_metabric_clinical_data__2[Tumor Stage])</f>
        <v>NA</v>
      </c>
    </row>
    <row r="1000" spans="1:15" x14ac:dyDescent="0.45">
      <c r="A1000" t="s">
        <v>1035</v>
      </c>
      <c r="B1000">
        <v>51.29</v>
      </c>
      <c r="C1000" t="s">
        <v>16</v>
      </c>
      <c r="D1000" t="s">
        <v>17</v>
      </c>
      <c r="E1000" t="s">
        <v>18</v>
      </c>
      <c r="F1000" t="s">
        <v>19</v>
      </c>
      <c r="G1000" t="s">
        <v>20</v>
      </c>
      <c r="H1000" t="s">
        <v>20</v>
      </c>
      <c r="I1000" t="s">
        <v>20</v>
      </c>
      <c r="J1000" t="s">
        <v>27</v>
      </c>
      <c r="K1000">
        <v>8</v>
      </c>
      <c r="L1000">
        <v>131.30000000000001</v>
      </c>
      <c r="M1000" t="s">
        <v>30</v>
      </c>
      <c r="N1000" t="str">
        <f>_xlfn.XLOOKUP(A1000,[1]!brca_metabric_clinical_data__2[Patient ID], [1]!brca_metabric_clinical_data__2[Tumor Size])</f>
        <v>68</v>
      </c>
      <c r="O1000" t="str">
        <f>_xlfn.XLOOKUP(A1000,[1]!brca_metabric_clinical_data__2[Sample ID],[1]!brca_metabric_clinical_data__2[Tumor Stage])</f>
        <v>2</v>
      </c>
    </row>
    <row r="1001" spans="1:15" x14ac:dyDescent="0.45">
      <c r="A1001" t="s">
        <v>1036</v>
      </c>
      <c r="B1001">
        <v>49.43</v>
      </c>
      <c r="C1001" t="s">
        <v>16</v>
      </c>
      <c r="D1001" t="s">
        <v>26</v>
      </c>
      <c r="E1001" t="s">
        <v>37</v>
      </c>
      <c r="F1001" t="s">
        <v>43</v>
      </c>
      <c r="G1001" t="s">
        <v>21</v>
      </c>
      <c r="H1001" t="s">
        <v>20</v>
      </c>
      <c r="I1001" t="s">
        <v>20</v>
      </c>
      <c r="J1001" t="s">
        <v>45</v>
      </c>
      <c r="K1001">
        <v>5</v>
      </c>
      <c r="L1001">
        <v>44.866666666666703</v>
      </c>
      <c r="M1001" t="s">
        <v>30</v>
      </c>
      <c r="N1001" t="str">
        <f>_xlfn.XLOOKUP(A1001,[1]!brca_metabric_clinical_data__2[Patient ID], [1]!brca_metabric_clinical_data__2[Tumor Size])</f>
        <v>60</v>
      </c>
      <c r="O1001" t="str">
        <f>_xlfn.XLOOKUP(A1001,[1]!brca_metabric_clinical_data__2[Sample ID],[1]!brca_metabric_clinical_data__2[Tumor Stage])</f>
        <v>NA</v>
      </c>
    </row>
    <row r="1002" spans="1:15" x14ac:dyDescent="0.45">
      <c r="A1002" t="s">
        <v>1037</v>
      </c>
      <c r="B1002">
        <v>26.72</v>
      </c>
      <c r="C1002" t="s">
        <v>16</v>
      </c>
      <c r="D1002" t="s">
        <v>26</v>
      </c>
      <c r="E1002" t="s">
        <v>37</v>
      </c>
      <c r="F1002" t="s">
        <v>19</v>
      </c>
      <c r="G1002" t="s">
        <v>21</v>
      </c>
      <c r="H1002" t="s">
        <v>20</v>
      </c>
      <c r="I1002" t="s">
        <v>21</v>
      </c>
      <c r="J1002" t="s">
        <v>58</v>
      </c>
      <c r="K1002">
        <v>10</v>
      </c>
      <c r="L1002">
        <v>149.86666666666699</v>
      </c>
      <c r="M1002" t="s">
        <v>24</v>
      </c>
      <c r="N1002" t="str">
        <f>_xlfn.XLOOKUP(A1002,[1]!brca_metabric_clinical_data__2[Patient ID], [1]!brca_metabric_clinical_data__2[Tumor Size])</f>
        <v>45</v>
      </c>
      <c r="O1002" t="str">
        <f>_xlfn.XLOOKUP(A1002,[1]!brca_metabric_clinical_data__2[Sample ID],[1]!brca_metabric_clinical_data__2[Tumor Stage])</f>
        <v>2</v>
      </c>
    </row>
    <row r="1003" spans="1:15" x14ac:dyDescent="0.45">
      <c r="A1003" t="s">
        <v>1038</v>
      </c>
      <c r="B1003">
        <v>56.27</v>
      </c>
      <c r="C1003" t="s">
        <v>16</v>
      </c>
      <c r="D1003" t="s">
        <v>17</v>
      </c>
      <c r="E1003" t="s">
        <v>37</v>
      </c>
      <c r="F1003" t="s">
        <v>19</v>
      </c>
      <c r="G1003" t="s">
        <v>21</v>
      </c>
      <c r="H1003" t="s">
        <v>21</v>
      </c>
      <c r="I1003" t="s">
        <v>21</v>
      </c>
      <c r="J1003" t="s">
        <v>22</v>
      </c>
      <c r="K1003" t="s">
        <v>39</v>
      </c>
      <c r="L1003">
        <v>19.733333333333299</v>
      </c>
      <c r="M1003" t="s">
        <v>30</v>
      </c>
      <c r="N1003" t="str">
        <f>_xlfn.XLOOKUP(A1003,[1]!brca_metabric_clinical_data__2[Patient ID], [1]!brca_metabric_clinical_data__2[Tumor Size])</f>
        <v>18</v>
      </c>
      <c r="O1003" t="str">
        <f>_xlfn.XLOOKUP(A1003,[1]!brca_metabric_clinical_data__2[Sample ID],[1]!brca_metabric_clinical_data__2[Tumor Stage])</f>
        <v>2</v>
      </c>
    </row>
    <row r="1004" spans="1:15" x14ac:dyDescent="0.45">
      <c r="A1004" t="s">
        <v>1039</v>
      </c>
      <c r="B1004">
        <v>54.18</v>
      </c>
      <c r="C1004" t="s">
        <v>16</v>
      </c>
      <c r="D1004" t="s">
        <v>17</v>
      </c>
      <c r="E1004" t="s">
        <v>18</v>
      </c>
      <c r="F1004" t="s">
        <v>19</v>
      </c>
      <c r="G1004" t="s">
        <v>20</v>
      </c>
      <c r="H1004" t="s">
        <v>20</v>
      </c>
      <c r="I1004" t="s">
        <v>20</v>
      </c>
      <c r="J1004" t="s">
        <v>27</v>
      </c>
      <c r="K1004">
        <v>8</v>
      </c>
      <c r="L1004">
        <v>297.8</v>
      </c>
      <c r="M1004" t="s">
        <v>24</v>
      </c>
      <c r="N1004" t="str">
        <f>_xlfn.XLOOKUP(A1004,[1]!brca_metabric_clinical_data__2[Patient ID], [1]!brca_metabric_clinical_data__2[Tumor Size])</f>
        <v>40</v>
      </c>
      <c r="O1004" t="str">
        <f>_xlfn.XLOOKUP(A1004,[1]!brca_metabric_clinical_data__2[Sample ID],[1]!brca_metabric_clinical_data__2[Tumor Stage])</f>
        <v>2</v>
      </c>
    </row>
    <row r="1005" spans="1:15" x14ac:dyDescent="0.45">
      <c r="A1005" t="s">
        <v>1040</v>
      </c>
      <c r="B1005">
        <v>52.29</v>
      </c>
      <c r="C1005" t="s">
        <v>16</v>
      </c>
      <c r="D1005" t="s">
        <v>17</v>
      </c>
      <c r="E1005" t="s">
        <v>18</v>
      </c>
      <c r="F1005" t="s">
        <v>35</v>
      </c>
      <c r="G1005" t="s">
        <v>20</v>
      </c>
      <c r="H1005" t="s">
        <v>21</v>
      </c>
      <c r="I1005" t="s">
        <v>20</v>
      </c>
      <c r="J1005" t="s">
        <v>29</v>
      </c>
      <c r="K1005">
        <v>1</v>
      </c>
      <c r="L1005">
        <v>122.2</v>
      </c>
      <c r="M1005" t="s">
        <v>24</v>
      </c>
      <c r="N1005" t="str">
        <f>_xlfn.XLOOKUP(A1005,[1]!brca_metabric_clinical_data__2[Patient ID], [1]!brca_metabric_clinical_data__2[Tumor Size])</f>
        <v>46</v>
      </c>
      <c r="O1005" t="str">
        <f>_xlfn.XLOOKUP(A1005,[1]!brca_metabric_clinical_data__2[Sample ID],[1]!brca_metabric_clinical_data__2[Tumor Stage])</f>
        <v>2</v>
      </c>
    </row>
    <row r="1006" spans="1:15" x14ac:dyDescent="0.45">
      <c r="A1006" t="s">
        <v>1041</v>
      </c>
      <c r="B1006">
        <v>42.27</v>
      </c>
      <c r="C1006" t="s">
        <v>16</v>
      </c>
      <c r="D1006" t="s">
        <v>26</v>
      </c>
      <c r="E1006" t="s">
        <v>18</v>
      </c>
      <c r="F1006" t="s">
        <v>19</v>
      </c>
      <c r="G1006" t="s">
        <v>20</v>
      </c>
      <c r="H1006" t="s">
        <v>20</v>
      </c>
      <c r="I1006" t="s">
        <v>20</v>
      </c>
      <c r="J1006" t="s">
        <v>38</v>
      </c>
      <c r="K1006">
        <v>3</v>
      </c>
      <c r="L1006">
        <v>176.066666666667</v>
      </c>
      <c r="M1006" t="s">
        <v>24</v>
      </c>
      <c r="N1006" t="str">
        <f>_xlfn.XLOOKUP(A1006,[1]!brca_metabric_clinical_data__2[Patient ID], [1]!brca_metabric_clinical_data__2[Tumor Size])</f>
        <v>20</v>
      </c>
      <c r="O1006" t="str">
        <f>_xlfn.XLOOKUP(A1006,[1]!brca_metabric_clinical_data__2[Sample ID],[1]!brca_metabric_clinical_data__2[Tumor Stage])</f>
        <v>1</v>
      </c>
    </row>
    <row r="1007" spans="1:15" x14ac:dyDescent="0.45">
      <c r="A1007" t="s">
        <v>1042</v>
      </c>
      <c r="B1007">
        <v>56.08</v>
      </c>
      <c r="C1007" t="s">
        <v>16</v>
      </c>
      <c r="D1007" t="s">
        <v>17</v>
      </c>
      <c r="E1007" t="s">
        <v>18</v>
      </c>
      <c r="F1007" t="s">
        <v>19</v>
      </c>
      <c r="G1007" t="s">
        <v>20</v>
      </c>
      <c r="H1007" t="s">
        <v>20</v>
      </c>
      <c r="I1007" t="s">
        <v>21</v>
      </c>
      <c r="J1007" t="s">
        <v>27</v>
      </c>
      <c r="K1007">
        <v>3</v>
      </c>
      <c r="L1007">
        <v>161.666666666667</v>
      </c>
      <c r="M1007" t="s">
        <v>30</v>
      </c>
      <c r="N1007" t="str">
        <f>_xlfn.XLOOKUP(A1007,[1]!brca_metabric_clinical_data__2[Patient ID], [1]!brca_metabric_clinical_data__2[Tumor Size])</f>
        <v>15</v>
      </c>
      <c r="O1007" t="str">
        <f>_xlfn.XLOOKUP(A1007,[1]!brca_metabric_clinical_data__2[Sample ID],[1]!brca_metabric_clinical_data__2[Tumor Stage])</f>
        <v>1</v>
      </c>
    </row>
    <row r="1008" spans="1:15" x14ac:dyDescent="0.45">
      <c r="A1008" t="s">
        <v>1043</v>
      </c>
      <c r="B1008">
        <v>53.02</v>
      </c>
      <c r="C1008" t="s">
        <v>16</v>
      </c>
      <c r="D1008" t="s">
        <v>17</v>
      </c>
      <c r="E1008" t="s">
        <v>18</v>
      </c>
      <c r="F1008" t="s">
        <v>19</v>
      </c>
      <c r="G1008" t="s">
        <v>20</v>
      </c>
      <c r="H1008" t="s">
        <v>21</v>
      </c>
      <c r="I1008" t="s">
        <v>20</v>
      </c>
      <c r="J1008" t="s">
        <v>29</v>
      </c>
      <c r="K1008">
        <v>8</v>
      </c>
      <c r="L1008">
        <v>56.5</v>
      </c>
      <c r="M1008" t="s">
        <v>30</v>
      </c>
      <c r="N1008" t="str">
        <f>_xlfn.XLOOKUP(A1008,[1]!brca_metabric_clinical_data__2[Patient ID], [1]!brca_metabric_clinical_data__2[Tumor Size])</f>
        <v>20</v>
      </c>
      <c r="O1008" t="str">
        <f>_xlfn.XLOOKUP(A1008,[1]!brca_metabric_clinical_data__2[Sample ID],[1]!brca_metabric_clinical_data__2[Tumor Stage])</f>
        <v>2</v>
      </c>
    </row>
    <row r="1009" spans="1:15" x14ac:dyDescent="0.45">
      <c r="A1009" t="s">
        <v>1044</v>
      </c>
      <c r="B1009">
        <v>76.42</v>
      </c>
      <c r="C1009" t="s">
        <v>16</v>
      </c>
      <c r="D1009" t="s">
        <v>17</v>
      </c>
      <c r="E1009" t="s">
        <v>18</v>
      </c>
      <c r="F1009" t="s">
        <v>19</v>
      </c>
      <c r="G1009" t="s">
        <v>20</v>
      </c>
      <c r="H1009" t="s">
        <v>21</v>
      </c>
      <c r="I1009" t="s">
        <v>20</v>
      </c>
      <c r="J1009" t="s">
        <v>27</v>
      </c>
      <c r="K1009">
        <v>8</v>
      </c>
      <c r="L1009">
        <v>83.133333333333297</v>
      </c>
      <c r="M1009" t="s">
        <v>30</v>
      </c>
      <c r="N1009" t="str">
        <f>_xlfn.XLOOKUP(A1009,[1]!brca_metabric_clinical_data__2[Patient ID], [1]!brca_metabric_clinical_data__2[Tumor Size])</f>
        <v>35</v>
      </c>
      <c r="O1009" t="str">
        <f>_xlfn.XLOOKUP(A1009,[1]!brca_metabric_clinical_data__2[Sample ID],[1]!brca_metabric_clinical_data__2[Tumor Stage])</f>
        <v>2</v>
      </c>
    </row>
    <row r="1010" spans="1:15" x14ac:dyDescent="0.45">
      <c r="A1010" t="s">
        <v>1045</v>
      </c>
      <c r="B1010">
        <v>52.61</v>
      </c>
      <c r="C1010" t="s">
        <v>16</v>
      </c>
      <c r="D1010" t="s">
        <v>17</v>
      </c>
      <c r="E1010" t="s">
        <v>18</v>
      </c>
      <c r="F1010" t="s">
        <v>19</v>
      </c>
      <c r="G1010" t="s">
        <v>20</v>
      </c>
      <c r="H1010" t="s">
        <v>20</v>
      </c>
      <c r="I1010" t="s">
        <v>20</v>
      </c>
      <c r="J1010" t="s">
        <v>38</v>
      </c>
      <c r="K1010" t="s">
        <v>23</v>
      </c>
      <c r="L1010">
        <v>230.166666666667</v>
      </c>
      <c r="M1010" t="s">
        <v>24</v>
      </c>
      <c r="N1010" t="str">
        <f>_xlfn.XLOOKUP(A1010,[1]!brca_metabric_clinical_data__2[Patient ID], [1]!brca_metabric_clinical_data__2[Tumor Size])</f>
        <v>15</v>
      </c>
      <c r="O1010" t="str">
        <f>_xlfn.XLOOKUP(A1010,[1]!brca_metabric_clinical_data__2[Sample ID],[1]!brca_metabric_clinical_data__2[Tumor Stage])</f>
        <v>1</v>
      </c>
    </row>
    <row r="1011" spans="1:15" x14ac:dyDescent="0.45">
      <c r="A1011" t="s">
        <v>1046</v>
      </c>
      <c r="B1011">
        <v>64.209999999999994</v>
      </c>
      <c r="C1011" t="s">
        <v>16</v>
      </c>
      <c r="D1011" t="s">
        <v>17</v>
      </c>
      <c r="E1011" t="s">
        <v>18</v>
      </c>
      <c r="F1011" t="s">
        <v>19</v>
      </c>
      <c r="G1011" t="s">
        <v>20</v>
      </c>
      <c r="H1011" t="s">
        <v>21</v>
      </c>
      <c r="I1011" t="s">
        <v>21</v>
      </c>
      <c r="J1011" t="s">
        <v>29</v>
      </c>
      <c r="K1011">
        <v>8</v>
      </c>
      <c r="L1011">
        <v>153</v>
      </c>
      <c r="M1011" t="s">
        <v>30</v>
      </c>
      <c r="N1011" t="str">
        <f>_xlfn.XLOOKUP(A1011,[1]!brca_metabric_clinical_data__2[Patient ID], [1]!brca_metabric_clinical_data__2[Tumor Size])</f>
        <v>16</v>
      </c>
      <c r="O1011" t="str">
        <f>_xlfn.XLOOKUP(A1011,[1]!brca_metabric_clinical_data__2[Sample ID],[1]!brca_metabric_clinical_data__2[Tumor Stage])</f>
        <v>2</v>
      </c>
    </row>
    <row r="1012" spans="1:15" x14ac:dyDescent="0.45">
      <c r="A1012" t="s">
        <v>1047</v>
      </c>
      <c r="B1012">
        <v>50.08</v>
      </c>
      <c r="C1012" t="s">
        <v>16</v>
      </c>
      <c r="D1012" t="s">
        <v>17</v>
      </c>
      <c r="E1012" t="s">
        <v>37</v>
      </c>
      <c r="F1012" t="s">
        <v>43</v>
      </c>
      <c r="G1012" t="s">
        <v>21</v>
      </c>
      <c r="H1012" t="s">
        <v>20</v>
      </c>
      <c r="I1012" t="s">
        <v>21</v>
      </c>
      <c r="J1012" t="s">
        <v>45</v>
      </c>
      <c r="K1012">
        <v>5</v>
      </c>
      <c r="L1012">
        <v>42.6666666666667</v>
      </c>
      <c r="M1012" t="s">
        <v>30</v>
      </c>
      <c r="N1012" t="str">
        <f>_xlfn.XLOOKUP(A1012,[1]!brca_metabric_clinical_data__2[Patient ID], [1]!brca_metabric_clinical_data__2[Tumor Size])</f>
        <v>37</v>
      </c>
      <c r="O1012" t="str">
        <f>_xlfn.XLOOKUP(A1012,[1]!brca_metabric_clinical_data__2[Sample ID],[1]!brca_metabric_clinical_data__2[Tumor Stage])</f>
        <v>2</v>
      </c>
    </row>
    <row r="1013" spans="1:15" x14ac:dyDescent="0.45">
      <c r="A1013" t="s">
        <v>1048</v>
      </c>
      <c r="B1013">
        <v>38.1</v>
      </c>
      <c r="C1013" t="s">
        <v>16</v>
      </c>
      <c r="D1013" t="s">
        <v>26</v>
      </c>
      <c r="E1013" t="s">
        <v>37</v>
      </c>
      <c r="F1013" t="s">
        <v>19</v>
      </c>
      <c r="G1013" t="s">
        <v>21</v>
      </c>
      <c r="H1013" t="s">
        <v>20</v>
      </c>
      <c r="I1013" t="s">
        <v>20</v>
      </c>
      <c r="J1013" t="s">
        <v>38</v>
      </c>
      <c r="K1013">
        <v>3</v>
      </c>
      <c r="L1013">
        <v>244.433333333333</v>
      </c>
      <c r="M1013" t="s">
        <v>24</v>
      </c>
      <c r="N1013" t="str">
        <f>_xlfn.XLOOKUP(A1013,[1]!brca_metabric_clinical_data__2[Patient ID], [1]!brca_metabric_clinical_data__2[Tumor Size])</f>
        <v>45</v>
      </c>
      <c r="O1013" t="str">
        <f>_xlfn.XLOOKUP(A1013,[1]!brca_metabric_clinical_data__2[Sample ID],[1]!brca_metabric_clinical_data__2[Tumor Stage])</f>
        <v>NA</v>
      </c>
    </row>
    <row r="1014" spans="1:15" x14ac:dyDescent="0.45">
      <c r="A1014" t="s">
        <v>1049</v>
      </c>
      <c r="B1014">
        <v>70.569999999999993</v>
      </c>
      <c r="C1014" t="s">
        <v>16</v>
      </c>
      <c r="D1014" t="s">
        <v>17</v>
      </c>
      <c r="E1014" t="s">
        <v>18</v>
      </c>
      <c r="F1014" t="s">
        <v>19</v>
      </c>
      <c r="G1014" t="s">
        <v>20</v>
      </c>
      <c r="H1014" t="s">
        <v>20</v>
      </c>
      <c r="I1014" t="s">
        <v>20</v>
      </c>
      <c r="J1014" t="s">
        <v>27</v>
      </c>
      <c r="K1014">
        <v>8</v>
      </c>
      <c r="L1014">
        <v>51.466666666666697</v>
      </c>
      <c r="M1014" t="s">
        <v>30</v>
      </c>
      <c r="N1014" t="str">
        <f>_xlfn.XLOOKUP(A1014,[1]!brca_metabric_clinical_data__2[Patient ID], [1]!brca_metabric_clinical_data__2[Tumor Size])</f>
        <v>22</v>
      </c>
      <c r="O1014" t="str">
        <f>_xlfn.XLOOKUP(A1014,[1]!brca_metabric_clinical_data__2[Sample ID],[1]!brca_metabric_clinical_data__2[Tumor Stage])</f>
        <v>2</v>
      </c>
    </row>
    <row r="1015" spans="1:15" x14ac:dyDescent="0.45">
      <c r="A1015" t="s">
        <v>1050</v>
      </c>
      <c r="B1015">
        <v>73.209999999999994</v>
      </c>
      <c r="C1015" t="s">
        <v>16</v>
      </c>
      <c r="D1015" t="s">
        <v>17</v>
      </c>
      <c r="E1015" t="s">
        <v>18</v>
      </c>
      <c r="F1015" t="s">
        <v>19</v>
      </c>
      <c r="G1015" t="s">
        <v>20</v>
      </c>
      <c r="H1015" t="s">
        <v>21</v>
      </c>
      <c r="I1015" t="s">
        <v>20</v>
      </c>
      <c r="J1015" t="s">
        <v>29</v>
      </c>
      <c r="K1015">
        <v>8</v>
      </c>
      <c r="L1015">
        <v>37.733333333333299</v>
      </c>
      <c r="M1015" t="s">
        <v>30</v>
      </c>
      <c r="N1015" t="str">
        <f>_xlfn.XLOOKUP(A1015,[1]!brca_metabric_clinical_data__2[Patient ID], [1]!brca_metabric_clinical_data__2[Tumor Size])</f>
        <v>25</v>
      </c>
      <c r="O1015" t="str">
        <f>_xlfn.XLOOKUP(A1015,[1]!brca_metabric_clinical_data__2[Sample ID],[1]!brca_metabric_clinical_data__2[Tumor Stage])</f>
        <v>2</v>
      </c>
    </row>
    <row r="1016" spans="1:15" x14ac:dyDescent="0.45">
      <c r="A1016" t="s">
        <v>1051</v>
      </c>
      <c r="B1016">
        <v>63.7</v>
      </c>
      <c r="C1016" t="s">
        <v>16</v>
      </c>
      <c r="D1016" t="s">
        <v>17</v>
      </c>
      <c r="E1016" t="s">
        <v>18</v>
      </c>
      <c r="F1016" t="s">
        <v>19</v>
      </c>
      <c r="G1016" t="s">
        <v>20</v>
      </c>
      <c r="H1016" t="s">
        <v>21</v>
      </c>
      <c r="I1016" t="s">
        <v>20</v>
      </c>
      <c r="J1016" t="s">
        <v>27</v>
      </c>
      <c r="K1016">
        <v>6</v>
      </c>
      <c r="L1016">
        <v>125.26666666666701</v>
      </c>
      <c r="M1016" t="s">
        <v>30</v>
      </c>
      <c r="N1016" t="str">
        <f>_xlfn.XLOOKUP(A1016,[1]!brca_metabric_clinical_data__2[Patient ID], [1]!brca_metabric_clinical_data__2[Tumor Size])</f>
        <v>60</v>
      </c>
      <c r="O1016" t="str">
        <f>_xlfn.XLOOKUP(A1016,[1]!brca_metabric_clinical_data__2[Sample ID],[1]!brca_metabric_clinical_data__2[Tumor Stage])</f>
        <v>3</v>
      </c>
    </row>
    <row r="1017" spans="1:15" x14ac:dyDescent="0.45">
      <c r="A1017" t="s">
        <v>1052</v>
      </c>
      <c r="B1017">
        <v>38.93</v>
      </c>
      <c r="C1017" t="s">
        <v>16</v>
      </c>
      <c r="D1017" t="s">
        <v>26</v>
      </c>
      <c r="E1017" t="s">
        <v>37</v>
      </c>
      <c r="F1017" t="s">
        <v>19</v>
      </c>
      <c r="G1017" t="s">
        <v>21</v>
      </c>
      <c r="H1017" t="s">
        <v>20</v>
      </c>
      <c r="I1017" t="s">
        <v>20</v>
      </c>
      <c r="J1017" t="s">
        <v>58</v>
      </c>
      <c r="K1017">
        <v>10</v>
      </c>
      <c r="L1017">
        <v>27.4</v>
      </c>
      <c r="M1017" t="s">
        <v>30</v>
      </c>
      <c r="N1017" t="str">
        <f>_xlfn.XLOOKUP(A1017,[1]!brca_metabric_clinical_data__2[Patient ID], [1]!brca_metabric_clinical_data__2[Tumor Size])</f>
        <v>10</v>
      </c>
      <c r="O1017" t="str">
        <f>_xlfn.XLOOKUP(A1017,[1]!brca_metabric_clinical_data__2[Sample ID],[1]!brca_metabric_clinical_data__2[Tumor Stage])</f>
        <v>NA</v>
      </c>
    </row>
    <row r="1018" spans="1:15" x14ac:dyDescent="0.45">
      <c r="A1018" t="s">
        <v>1053</v>
      </c>
      <c r="B1018">
        <v>45.77</v>
      </c>
      <c r="C1018" t="s">
        <v>16</v>
      </c>
      <c r="D1018" t="s">
        <v>26</v>
      </c>
      <c r="E1018" t="s">
        <v>37</v>
      </c>
      <c r="F1018" t="s">
        <v>19</v>
      </c>
      <c r="G1018" t="s">
        <v>20</v>
      </c>
      <c r="H1018" t="s">
        <v>20</v>
      </c>
      <c r="I1018" t="s">
        <v>21</v>
      </c>
      <c r="J1018" t="s">
        <v>58</v>
      </c>
      <c r="K1018">
        <v>10</v>
      </c>
      <c r="L1018">
        <v>211.933333333333</v>
      </c>
      <c r="M1018" t="s">
        <v>24</v>
      </c>
      <c r="N1018" t="str">
        <f>_xlfn.XLOOKUP(A1018,[1]!brca_metabric_clinical_data__2[Patient ID], [1]!brca_metabric_clinical_data__2[Tumor Size])</f>
        <v>10</v>
      </c>
      <c r="O1018" t="str">
        <f>_xlfn.XLOOKUP(A1018,[1]!brca_metabric_clinical_data__2[Sample ID],[1]!brca_metabric_clinical_data__2[Tumor Stage])</f>
        <v>NA</v>
      </c>
    </row>
    <row r="1019" spans="1:15" x14ac:dyDescent="0.45">
      <c r="A1019" t="s">
        <v>1054</v>
      </c>
      <c r="B1019">
        <v>48.41</v>
      </c>
      <c r="C1019" t="s">
        <v>16</v>
      </c>
      <c r="D1019" t="s">
        <v>26</v>
      </c>
      <c r="E1019" t="s">
        <v>18</v>
      </c>
      <c r="F1019" t="s">
        <v>19</v>
      </c>
      <c r="G1019" t="s">
        <v>20</v>
      </c>
      <c r="H1019" t="s">
        <v>21</v>
      </c>
      <c r="I1019" t="s">
        <v>20</v>
      </c>
      <c r="J1019" t="s">
        <v>27</v>
      </c>
      <c r="K1019" t="s">
        <v>23</v>
      </c>
      <c r="L1019">
        <v>124.8</v>
      </c>
      <c r="M1019" t="s">
        <v>30</v>
      </c>
      <c r="N1019" t="str">
        <f>_xlfn.XLOOKUP(A1019,[1]!brca_metabric_clinical_data__2[Patient ID], [1]!brca_metabric_clinical_data__2[Tumor Size])</f>
        <v>15</v>
      </c>
      <c r="O1019" t="str">
        <f>_xlfn.XLOOKUP(A1019,[1]!brca_metabric_clinical_data__2[Sample ID],[1]!brca_metabric_clinical_data__2[Tumor Stage])</f>
        <v>NA</v>
      </c>
    </row>
    <row r="1020" spans="1:15" x14ac:dyDescent="0.45">
      <c r="A1020" t="s">
        <v>1055</v>
      </c>
      <c r="B1020">
        <v>67.819999999999993</v>
      </c>
      <c r="C1020" t="s">
        <v>16</v>
      </c>
      <c r="D1020" t="s">
        <v>17</v>
      </c>
      <c r="E1020" t="s">
        <v>18</v>
      </c>
      <c r="F1020" t="s">
        <v>19</v>
      </c>
      <c r="G1020" t="s">
        <v>20</v>
      </c>
      <c r="H1020" t="s">
        <v>20</v>
      </c>
      <c r="I1020" t="s">
        <v>21</v>
      </c>
      <c r="J1020" t="s">
        <v>27</v>
      </c>
      <c r="K1020">
        <v>7</v>
      </c>
      <c r="L1020">
        <v>252.1</v>
      </c>
      <c r="M1020" t="s">
        <v>24</v>
      </c>
      <c r="N1020" t="str">
        <f>_xlfn.XLOOKUP(A1020,[1]!brca_metabric_clinical_data__2[Patient ID], [1]!brca_metabric_clinical_data__2[Tumor Size])</f>
        <v>15</v>
      </c>
      <c r="O1020" t="str">
        <f>_xlfn.XLOOKUP(A1020,[1]!brca_metabric_clinical_data__2[Sample ID],[1]!brca_metabric_clinical_data__2[Tumor Stage])</f>
        <v>1</v>
      </c>
    </row>
    <row r="1021" spans="1:15" x14ac:dyDescent="0.45">
      <c r="A1021" t="s">
        <v>1056</v>
      </c>
      <c r="B1021">
        <v>44.07</v>
      </c>
      <c r="C1021" t="s">
        <v>16</v>
      </c>
      <c r="D1021" t="s">
        <v>26</v>
      </c>
      <c r="E1021" t="s">
        <v>37</v>
      </c>
      <c r="F1021" t="s">
        <v>43</v>
      </c>
      <c r="G1021" t="s">
        <v>21</v>
      </c>
      <c r="H1021" t="s">
        <v>20</v>
      </c>
      <c r="I1021" t="s">
        <v>21</v>
      </c>
      <c r="J1021" t="s">
        <v>45</v>
      </c>
      <c r="K1021">
        <v>5</v>
      </c>
      <c r="L1021">
        <v>102.1</v>
      </c>
      <c r="M1021" t="s">
        <v>24</v>
      </c>
      <c r="N1021" t="str">
        <f>_xlfn.XLOOKUP(A1021,[1]!brca_metabric_clinical_data__2[Patient ID], [1]!brca_metabric_clinical_data__2[Tumor Size])</f>
        <v>30</v>
      </c>
      <c r="O1021" t="str">
        <f>_xlfn.XLOOKUP(A1021,[1]!brca_metabric_clinical_data__2[Sample ID],[1]!brca_metabric_clinical_data__2[Tumor Stage])</f>
        <v>2</v>
      </c>
    </row>
    <row r="1022" spans="1:15" x14ac:dyDescent="0.45">
      <c r="A1022" t="s">
        <v>1057</v>
      </c>
      <c r="B1022">
        <v>57.95</v>
      </c>
      <c r="C1022" t="s">
        <v>16</v>
      </c>
      <c r="D1022" t="s">
        <v>17</v>
      </c>
      <c r="E1022" t="s">
        <v>18</v>
      </c>
      <c r="F1022" t="s">
        <v>19</v>
      </c>
      <c r="G1022" t="s">
        <v>20</v>
      </c>
      <c r="H1022" t="s">
        <v>21</v>
      </c>
      <c r="I1022" t="s">
        <v>21</v>
      </c>
      <c r="J1022" t="s">
        <v>27</v>
      </c>
      <c r="K1022">
        <v>3</v>
      </c>
      <c r="L1022">
        <v>245.5</v>
      </c>
      <c r="M1022" t="s">
        <v>24</v>
      </c>
      <c r="N1022" t="str">
        <f>_xlfn.XLOOKUP(A1022,[1]!brca_metabric_clinical_data__2[Patient ID], [1]!brca_metabric_clinical_data__2[Tumor Size])</f>
        <v>50</v>
      </c>
      <c r="O1022" t="str">
        <f>_xlfn.XLOOKUP(A1022,[1]!brca_metabric_clinical_data__2[Sample ID],[1]!brca_metabric_clinical_data__2[Tumor Stage])</f>
        <v>2</v>
      </c>
    </row>
    <row r="1023" spans="1:15" x14ac:dyDescent="0.45">
      <c r="A1023" t="s">
        <v>1058</v>
      </c>
      <c r="B1023">
        <v>74.86</v>
      </c>
      <c r="C1023" t="s">
        <v>16</v>
      </c>
      <c r="D1023" t="s">
        <v>17</v>
      </c>
      <c r="E1023" t="s">
        <v>18</v>
      </c>
      <c r="F1023" t="s">
        <v>35</v>
      </c>
      <c r="G1023" t="s">
        <v>20</v>
      </c>
      <c r="H1023" t="s">
        <v>21</v>
      </c>
      <c r="I1023" t="s">
        <v>20</v>
      </c>
      <c r="J1023" t="s">
        <v>29</v>
      </c>
      <c r="K1023">
        <v>9</v>
      </c>
      <c r="L1023">
        <v>47.133333333333297</v>
      </c>
      <c r="M1023" t="s">
        <v>30</v>
      </c>
      <c r="N1023" t="str">
        <f>_xlfn.XLOOKUP(A1023,[1]!brca_metabric_clinical_data__2[Patient ID], [1]!brca_metabric_clinical_data__2[Tumor Size])</f>
        <v>40</v>
      </c>
      <c r="O1023" t="str">
        <f>_xlfn.XLOOKUP(A1023,[1]!brca_metabric_clinical_data__2[Sample ID],[1]!brca_metabric_clinical_data__2[Tumor Stage])</f>
        <v>2</v>
      </c>
    </row>
    <row r="1024" spans="1:15" x14ac:dyDescent="0.45">
      <c r="A1024" t="s">
        <v>1059</v>
      </c>
      <c r="B1024">
        <v>65.86</v>
      </c>
      <c r="C1024" t="s">
        <v>16</v>
      </c>
      <c r="D1024" t="s">
        <v>17</v>
      </c>
      <c r="E1024" t="s">
        <v>37</v>
      </c>
      <c r="F1024" t="s">
        <v>19</v>
      </c>
      <c r="G1024" t="s">
        <v>20</v>
      </c>
      <c r="H1024" t="s">
        <v>20</v>
      </c>
      <c r="I1024" t="s">
        <v>21</v>
      </c>
      <c r="J1024" t="s">
        <v>58</v>
      </c>
      <c r="K1024">
        <v>1</v>
      </c>
      <c r="L1024">
        <v>21.7</v>
      </c>
      <c r="M1024" t="s">
        <v>30</v>
      </c>
      <c r="N1024" t="str">
        <f>_xlfn.XLOOKUP(A1024,[1]!brca_metabric_clinical_data__2[Patient ID], [1]!brca_metabric_clinical_data__2[Tumor Size])</f>
        <v>35</v>
      </c>
      <c r="O1024" t="str">
        <f>_xlfn.XLOOKUP(A1024,[1]!brca_metabric_clinical_data__2[Sample ID],[1]!brca_metabric_clinical_data__2[Tumor Stage])</f>
        <v>2</v>
      </c>
    </row>
    <row r="1025" spans="1:15" x14ac:dyDescent="0.45">
      <c r="A1025" t="s">
        <v>1060</v>
      </c>
      <c r="B1025">
        <v>70.22</v>
      </c>
      <c r="C1025" t="s">
        <v>16</v>
      </c>
      <c r="D1025" t="s">
        <v>17</v>
      </c>
      <c r="E1025" t="s">
        <v>37</v>
      </c>
      <c r="F1025" t="s">
        <v>43</v>
      </c>
      <c r="G1025" t="s">
        <v>20</v>
      </c>
      <c r="H1025" t="s">
        <v>20</v>
      </c>
      <c r="I1025" t="s">
        <v>20</v>
      </c>
      <c r="J1025" t="s">
        <v>45</v>
      </c>
      <c r="K1025">
        <v>10</v>
      </c>
      <c r="L1025">
        <v>152.066666666667</v>
      </c>
      <c r="M1025" t="s">
        <v>30</v>
      </c>
      <c r="N1025" t="str">
        <f>_xlfn.XLOOKUP(A1025,[1]!brca_metabric_clinical_data__2[Patient ID], [1]!brca_metabric_clinical_data__2[Tumor Size])</f>
        <v>13</v>
      </c>
      <c r="O1025" t="str">
        <f>_xlfn.XLOOKUP(A1025,[1]!brca_metabric_clinical_data__2[Sample ID],[1]!brca_metabric_clinical_data__2[Tumor Stage])</f>
        <v>1</v>
      </c>
    </row>
    <row r="1026" spans="1:15" x14ac:dyDescent="0.45">
      <c r="A1026" t="s">
        <v>1061</v>
      </c>
      <c r="B1026">
        <v>47.86</v>
      </c>
      <c r="C1026" t="s">
        <v>16</v>
      </c>
      <c r="D1026" t="s">
        <v>26</v>
      </c>
      <c r="E1026" t="s">
        <v>18</v>
      </c>
      <c r="F1026" t="s">
        <v>19</v>
      </c>
      <c r="G1026" t="s">
        <v>20</v>
      </c>
      <c r="H1026" t="s">
        <v>20</v>
      </c>
      <c r="I1026" t="s">
        <v>21</v>
      </c>
      <c r="J1026" t="s">
        <v>27</v>
      </c>
      <c r="K1026">
        <v>8</v>
      </c>
      <c r="L1026">
        <v>297.23333333333301</v>
      </c>
      <c r="M1026" t="s">
        <v>24</v>
      </c>
      <c r="N1026" t="str">
        <f>_xlfn.XLOOKUP(A1026,[1]!brca_metabric_clinical_data__2[Patient ID], [1]!brca_metabric_clinical_data__2[Tumor Size])</f>
        <v>30</v>
      </c>
      <c r="O1026" t="str">
        <f>_xlfn.XLOOKUP(A1026,[1]!brca_metabric_clinical_data__2[Sample ID],[1]!brca_metabric_clinical_data__2[Tumor Stage])</f>
        <v>2</v>
      </c>
    </row>
    <row r="1027" spans="1:15" x14ac:dyDescent="0.45">
      <c r="A1027" t="s">
        <v>1062</v>
      </c>
      <c r="B1027">
        <v>78.62</v>
      </c>
      <c r="C1027" t="s">
        <v>16</v>
      </c>
      <c r="D1027" t="s">
        <v>17</v>
      </c>
      <c r="E1027" t="s">
        <v>18</v>
      </c>
      <c r="F1027" t="s">
        <v>19</v>
      </c>
      <c r="G1027" t="s">
        <v>20</v>
      </c>
      <c r="H1027" t="s">
        <v>20</v>
      </c>
      <c r="I1027" t="s">
        <v>20</v>
      </c>
      <c r="J1027" t="s">
        <v>27</v>
      </c>
      <c r="K1027" t="s">
        <v>23</v>
      </c>
      <c r="L1027">
        <v>206.13333333333301</v>
      </c>
      <c r="M1027" t="s">
        <v>30</v>
      </c>
      <c r="N1027" t="str">
        <f>_xlfn.XLOOKUP(A1027,[1]!brca_metabric_clinical_data__2[Patient ID], [1]!brca_metabric_clinical_data__2[Tumor Size])</f>
        <v>25</v>
      </c>
      <c r="O1027" t="str">
        <f>_xlfn.XLOOKUP(A1027,[1]!brca_metabric_clinical_data__2[Sample ID],[1]!brca_metabric_clinical_data__2[Tumor Stage])</f>
        <v>2</v>
      </c>
    </row>
    <row r="1028" spans="1:15" x14ac:dyDescent="0.45">
      <c r="A1028" t="s">
        <v>1063</v>
      </c>
      <c r="B1028">
        <v>53.39</v>
      </c>
      <c r="C1028" t="s">
        <v>16</v>
      </c>
      <c r="D1028" t="s">
        <v>17</v>
      </c>
      <c r="E1028" t="s">
        <v>18</v>
      </c>
      <c r="F1028" t="s">
        <v>19</v>
      </c>
      <c r="G1028" t="s">
        <v>20</v>
      </c>
      <c r="H1028" t="s">
        <v>21</v>
      </c>
      <c r="I1028" t="s">
        <v>21</v>
      </c>
      <c r="J1028" t="s">
        <v>27</v>
      </c>
      <c r="K1028">
        <v>3</v>
      </c>
      <c r="L1028">
        <v>101.566666666667</v>
      </c>
      <c r="M1028" t="s">
        <v>24</v>
      </c>
      <c r="N1028" t="str">
        <f>_xlfn.XLOOKUP(A1028,[1]!brca_metabric_clinical_data__2[Patient ID], [1]!brca_metabric_clinical_data__2[Tumor Size])</f>
        <v>13</v>
      </c>
      <c r="O1028" t="str">
        <f>_xlfn.XLOOKUP(A1028,[1]!brca_metabric_clinical_data__2[Sample ID],[1]!brca_metabric_clinical_data__2[Tumor Stage])</f>
        <v>2</v>
      </c>
    </row>
    <row r="1029" spans="1:15" x14ac:dyDescent="0.45">
      <c r="A1029" t="s">
        <v>1064</v>
      </c>
      <c r="B1029">
        <v>43.85</v>
      </c>
      <c r="C1029" t="s">
        <v>16</v>
      </c>
      <c r="D1029" t="s">
        <v>26</v>
      </c>
      <c r="F1029" t="s">
        <v>19</v>
      </c>
      <c r="G1029" t="s">
        <v>20</v>
      </c>
      <c r="H1029" t="s">
        <v>20</v>
      </c>
      <c r="I1029" t="s">
        <v>20</v>
      </c>
      <c r="J1029" t="s">
        <v>38</v>
      </c>
      <c r="K1029" t="s">
        <v>23</v>
      </c>
      <c r="L1029">
        <v>251.066666666667</v>
      </c>
      <c r="M1029" t="s">
        <v>24</v>
      </c>
      <c r="N1029" t="str">
        <f>_xlfn.XLOOKUP(A1029,[1]!brca_metabric_clinical_data__2[Patient ID], [1]!brca_metabric_clinical_data__2[Tumor Size])</f>
        <v>NA</v>
      </c>
      <c r="O1029" t="str">
        <f>_xlfn.XLOOKUP(A1029,[1]!brca_metabric_clinical_data__2[Sample ID],[1]!brca_metabric_clinical_data__2[Tumor Stage])</f>
        <v>NA</v>
      </c>
    </row>
    <row r="1030" spans="1:15" x14ac:dyDescent="0.45">
      <c r="A1030" t="s">
        <v>1065</v>
      </c>
      <c r="B1030">
        <v>63.35</v>
      </c>
      <c r="C1030" t="s">
        <v>16</v>
      </c>
      <c r="D1030" t="s">
        <v>17</v>
      </c>
      <c r="E1030" t="s">
        <v>18</v>
      </c>
      <c r="F1030" t="s">
        <v>19</v>
      </c>
      <c r="G1030" t="s">
        <v>20</v>
      </c>
      <c r="H1030" t="s">
        <v>21</v>
      </c>
      <c r="I1030" t="s">
        <v>20</v>
      </c>
      <c r="J1030" t="s">
        <v>38</v>
      </c>
      <c r="K1030">
        <v>1</v>
      </c>
      <c r="L1030">
        <v>145.73333333333301</v>
      </c>
      <c r="M1030" t="s">
        <v>30</v>
      </c>
      <c r="N1030" t="str">
        <f>_xlfn.XLOOKUP(A1030,[1]!brca_metabric_clinical_data__2[Patient ID], [1]!brca_metabric_clinical_data__2[Tumor Size])</f>
        <v>20</v>
      </c>
      <c r="O1030" t="str">
        <f>_xlfn.XLOOKUP(A1030,[1]!brca_metabric_clinical_data__2[Sample ID],[1]!brca_metabric_clinical_data__2[Tumor Stage])</f>
        <v>NA</v>
      </c>
    </row>
    <row r="1031" spans="1:15" x14ac:dyDescent="0.45">
      <c r="A1031" t="s">
        <v>1066</v>
      </c>
      <c r="B1031">
        <v>75.459999999999994</v>
      </c>
      <c r="C1031" t="s">
        <v>16</v>
      </c>
      <c r="D1031" t="s">
        <v>17</v>
      </c>
      <c r="E1031" t="s">
        <v>18</v>
      </c>
      <c r="F1031" t="s">
        <v>35</v>
      </c>
      <c r="G1031" t="s">
        <v>20</v>
      </c>
      <c r="H1031" t="s">
        <v>20</v>
      </c>
      <c r="I1031" t="s">
        <v>21</v>
      </c>
      <c r="J1031" t="s">
        <v>27</v>
      </c>
      <c r="K1031">
        <v>8</v>
      </c>
      <c r="L1031">
        <v>121.666666666667</v>
      </c>
      <c r="M1031" t="s">
        <v>30</v>
      </c>
      <c r="N1031" t="str">
        <f>_xlfn.XLOOKUP(A1031,[1]!brca_metabric_clinical_data__2[Patient ID], [1]!brca_metabric_clinical_data__2[Tumor Size])</f>
        <v>28</v>
      </c>
      <c r="O1031" t="str">
        <f>_xlfn.XLOOKUP(A1031,[1]!brca_metabric_clinical_data__2[Sample ID],[1]!brca_metabric_clinical_data__2[Tumor Stage])</f>
        <v>2</v>
      </c>
    </row>
    <row r="1032" spans="1:15" x14ac:dyDescent="0.45">
      <c r="A1032" t="s">
        <v>1067</v>
      </c>
      <c r="B1032">
        <v>68.849999999999994</v>
      </c>
      <c r="C1032" t="s">
        <v>16</v>
      </c>
      <c r="D1032" t="s">
        <v>17</v>
      </c>
      <c r="E1032" t="s">
        <v>18</v>
      </c>
      <c r="F1032" t="s">
        <v>43</v>
      </c>
      <c r="G1032" t="s">
        <v>20</v>
      </c>
      <c r="H1032" t="s">
        <v>20</v>
      </c>
      <c r="I1032" t="s">
        <v>20</v>
      </c>
      <c r="J1032" t="s">
        <v>27</v>
      </c>
      <c r="K1032">
        <v>6</v>
      </c>
      <c r="L1032">
        <v>81.066666666666706</v>
      </c>
      <c r="M1032" t="s">
        <v>30</v>
      </c>
      <c r="N1032" t="str">
        <f>_xlfn.XLOOKUP(A1032,[1]!brca_metabric_clinical_data__2[Patient ID], [1]!brca_metabric_clinical_data__2[Tumor Size])</f>
        <v>30</v>
      </c>
      <c r="O1032" t="str">
        <f>_xlfn.XLOOKUP(A1032,[1]!brca_metabric_clinical_data__2[Sample ID],[1]!brca_metabric_clinical_data__2[Tumor Stage])</f>
        <v>2</v>
      </c>
    </row>
    <row r="1033" spans="1:15" x14ac:dyDescent="0.45">
      <c r="A1033" t="s">
        <v>1068</v>
      </c>
      <c r="B1033">
        <v>43.73</v>
      </c>
      <c r="C1033" t="s">
        <v>16</v>
      </c>
      <c r="D1033" t="s">
        <v>26</v>
      </c>
      <c r="E1033" t="s">
        <v>18</v>
      </c>
      <c r="F1033" t="s">
        <v>43</v>
      </c>
      <c r="G1033" t="s">
        <v>20</v>
      </c>
      <c r="H1033" t="s">
        <v>20</v>
      </c>
      <c r="I1033" t="s">
        <v>20</v>
      </c>
      <c r="J1033" t="s">
        <v>27</v>
      </c>
      <c r="K1033">
        <v>7</v>
      </c>
      <c r="L1033">
        <v>70.466666666666697</v>
      </c>
      <c r="M1033" t="s">
        <v>30</v>
      </c>
      <c r="N1033" t="str">
        <f>_xlfn.XLOOKUP(A1033,[1]!brca_metabric_clinical_data__2[Patient ID], [1]!brca_metabric_clinical_data__2[Tumor Size])</f>
        <v>28</v>
      </c>
      <c r="O1033" t="str">
        <f>_xlfn.XLOOKUP(A1033,[1]!brca_metabric_clinical_data__2[Sample ID],[1]!brca_metabric_clinical_data__2[Tumor Stage])</f>
        <v>2</v>
      </c>
    </row>
    <row r="1034" spans="1:15" x14ac:dyDescent="0.45">
      <c r="A1034" t="s">
        <v>1069</v>
      </c>
      <c r="B1034">
        <v>83.49</v>
      </c>
      <c r="C1034" t="s">
        <v>16</v>
      </c>
      <c r="D1034" t="s">
        <v>17</v>
      </c>
      <c r="E1034" t="s">
        <v>18</v>
      </c>
      <c r="F1034" t="s">
        <v>19</v>
      </c>
      <c r="G1034" t="s">
        <v>20</v>
      </c>
      <c r="H1034" t="s">
        <v>20</v>
      </c>
      <c r="I1034" t="s">
        <v>20</v>
      </c>
      <c r="J1034" t="s">
        <v>29</v>
      </c>
      <c r="K1034" t="s">
        <v>23</v>
      </c>
      <c r="L1034">
        <v>173.833333333333</v>
      </c>
      <c r="M1034" t="s">
        <v>30</v>
      </c>
      <c r="N1034" t="str">
        <f>_xlfn.XLOOKUP(A1034,[1]!brca_metabric_clinical_data__2[Patient ID], [1]!brca_metabric_clinical_data__2[Tumor Size])</f>
        <v>20</v>
      </c>
      <c r="O1034" t="str">
        <f>_xlfn.XLOOKUP(A1034,[1]!brca_metabric_clinical_data__2[Sample ID],[1]!brca_metabric_clinical_data__2[Tumor Stage])</f>
        <v>1</v>
      </c>
    </row>
    <row r="1035" spans="1:15" x14ac:dyDescent="0.45">
      <c r="A1035" t="s">
        <v>1070</v>
      </c>
      <c r="B1035">
        <v>49.92</v>
      </c>
      <c r="C1035" t="s">
        <v>16</v>
      </c>
      <c r="D1035" t="s">
        <v>26</v>
      </c>
      <c r="E1035" t="s">
        <v>37</v>
      </c>
      <c r="F1035" t="s">
        <v>19</v>
      </c>
      <c r="G1035" t="s">
        <v>21</v>
      </c>
      <c r="H1035" t="s">
        <v>20</v>
      </c>
      <c r="I1035" t="s">
        <v>21</v>
      </c>
      <c r="J1035" t="s">
        <v>58</v>
      </c>
      <c r="K1035">
        <v>10</v>
      </c>
      <c r="L1035">
        <v>40.633333333333297</v>
      </c>
      <c r="M1035" t="s">
        <v>30</v>
      </c>
      <c r="N1035" t="str">
        <f>_xlfn.XLOOKUP(A1035,[1]!brca_metabric_clinical_data__2[Patient ID], [1]!brca_metabric_clinical_data__2[Tumor Size])</f>
        <v>20</v>
      </c>
      <c r="O1035" t="str">
        <f>_xlfn.XLOOKUP(A1035,[1]!brca_metabric_clinical_data__2[Sample ID],[1]!brca_metabric_clinical_data__2[Tumor Stage])</f>
        <v>2</v>
      </c>
    </row>
    <row r="1036" spans="1:15" x14ac:dyDescent="0.45">
      <c r="A1036" t="s">
        <v>1071</v>
      </c>
      <c r="B1036">
        <v>72.489999999999995</v>
      </c>
      <c r="C1036" t="s">
        <v>16</v>
      </c>
      <c r="D1036" t="s">
        <v>17</v>
      </c>
      <c r="E1036" t="s">
        <v>37</v>
      </c>
      <c r="F1036" t="s">
        <v>19</v>
      </c>
      <c r="G1036" t="s">
        <v>20</v>
      </c>
      <c r="H1036" t="s">
        <v>20</v>
      </c>
      <c r="I1036" t="s">
        <v>21</v>
      </c>
      <c r="J1036" t="s">
        <v>58</v>
      </c>
      <c r="K1036">
        <v>10</v>
      </c>
      <c r="L1036">
        <v>83.366666666666703</v>
      </c>
      <c r="M1036" t="s">
        <v>30</v>
      </c>
      <c r="N1036" t="str">
        <f>_xlfn.XLOOKUP(A1036,[1]!brca_metabric_clinical_data__2[Patient ID], [1]!brca_metabric_clinical_data__2[Tumor Size])</f>
        <v>50</v>
      </c>
      <c r="O1036" t="str">
        <f>_xlfn.XLOOKUP(A1036,[1]!brca_metabric_clinical_data__2[Sample ID],[1]!brca_metabric_clinical_data__2[Tumor Stage])</f>
        <v>2</v>
      </c>
    </row>
    <row r="1037" spans="1:15" x14ac:dyDescent="0.45">
      <c r="A1037" t="s">
        <v>1072</v>
      </c>
      <c r="B1037">
        <v>89</v>
      </c>
      <c r="C1037" t="s">
        <v>16</v>
      </c>
      <c r="D1037" t="s">
        <v>17</v>
      </c>
      <c r="E1037" t="s">
        <v>18</v>
      </c>
      <c r="F1037" t="s">
        <v>19</v>
      </c>
      <c r="G1037" t="s">
        <v>20</v>
      </c>
      <c r="H1037" t="s">
        <v>21</v>
      </c>
      <c r="I1037" t="s">
        <v>20</v>
      </c>
      <c r="J1037" t="s">
        <v>27</v>
      </c>
      <c r="K1037">
        <v>7</v>
      </c>
      <c r="L1037">
        <v>45.5</v>
      </c>
      <c r="M1037" t="s">
        <v>30</v>
      </c>
      <c r="N1037" t="str">
        <f>_xlfn.XLOOKUP(A1037,[1]!brca_metabric_clinical_data__2[Patient ID], [1]!brca_metabric_clinical_data__2[Tumor Size])</f>
        <v>35</v>
      </c>
      <c r="O1037" t="str">
        <f>_xlfn.XLOOKUP(A1037,[1]!brca_metabric_clinical_data__2[Sample ID],[1]!brca_metabric_clinical_data__2[Tumor Stage])</f>
        <v>2</v>
      </c>
    </row>
    <row r="1038" spans="1:15" x14ac:dyDescent="0.45">
      <c r="A1038" t="s">
        <v>1073</v>
      </c>
      <c r="B1038">
        <v>53.18</v>
      </c>
      <c r="C1038" t="s">
        <v>16</v>
      </c>
      <c r="D1038" t="s">
        <v>17</v>
      </c>
      <c r="E1038" t="s">
        <v>18</v>
      </c>
      <c r="F1038" t="s">
        <v>43</v>
      </c>
      <c r="G1038" t="s">
        <v>20</v>
      </c>
      <c r="H1038" t="s">
        <v>20</v>
      </c>
      <c r="I1038" t="s">
        <v>20</v>
      </c>
      <c r="J1038" t="s">
        <v>29</v>
      </c>
      <c r="K1038">
        <v>5</v>
      </c>
      <c r="L1038">
        <v>128.26666666666699</v>
      </c>
      <c r="M1038" t="s">
        <v>24</v>
      </c>
      <c r="N1038" t="str">
        <f>_xlfn.XLOOKUP(A1038,[1]!brca_metabric_clinical_data__2[Patient ID], [1]!brca_metabric_clinical_data__2[Tumor Size])</f>
        <v>25</v>
      </c>
      <c r="O1038" t="str">
        <f>_xlfn.XLOOKUP(A1038,[1]!brca_metabric_clinical_data__2[Sample ID],[1]!brca_metabric_clinical_data__2[Tumor Stage])</f>
        <v>2</v>
      </c>
    </row>
    <row r="1039" spans="1:15" x14ac:dyDescent="0.45">
      <c r="A1039" t="s">
        <v>1074</v>
      </c>
      <c r="B1039">
        <v>81.06</v>
      </c>
      <c r="C1039" t="s">
        <v>16</v>
      </c>
      <c r="D1039" t="s">
        <v>17</v>
      </c>
      <c r="E1039" t="s">
        <v>18</v>
      </c>
      <c r="F1039" t="s">
        <v>43</v>
      </c>
      <c r="G1039" t="s">
        <v>20</v>
      </c>
      <c r="H1039" t="s">
        <v>21</v>
      </c>
      <c r="I1039" t="s">
        <v>21</v>
      </c>
      <c r="J1039" t="s">
        <v>27</v>
      </c>
      <c r="K1039">
        <v>2</v>
      </c>
      <c r="L1039">
        <v>99.366666666666703</v>
      </c>
      <c r="M1039" t="s">
        <v>30</v>
      </c>
      <c r="N1039" t="str">
        <f>_xlfn.XLOOKUP(A1039,[1]!brca_metabric_clinical_data__2[Patient ID], [1]!brca_metabric_clinical_data__2[Tumor Size])</f>
        <v>20</v>
      </c>
      <c r="O1039" t="str">
        <f>_xlfn.XLOOKUP(A1039,[1]!brca_metabric_clinical_data__2[Sample ID],[1]!brca_metabric_clinical_data__2[Tumor Stage])</f>
        <v>1</v>
      </c>
    </row>
    <row r="1040" spans="1:15" x14ac:dyDescent="0.45">
      <c r="A1040" t="s">
        <v>1075</v>
      </c>
      <c r="B1040">
        <v>44.51</v>
      </c>
      <c r="C1040" t="s">
        <v>16</v>
      </c>
      <c r="D1040" t="s">
        <v>26</v>
      </c>
      <c r="E1040" t="s">
        <v>18</v>
      </c>
      <c r="F1040" t="s">
        <v>19</v>
      </c>
      <c r="G1040" t="s">
        <v>20</v>
      </c>
      <c r="H1040" t="s">
        <v>20</v>
      </c>
      <c r="I1040" t="s">
        <v>21</v>
      </c>
      <c r="J1040" t="s">
        <v>38</v>
      </c>
      <c r="K1040">
        <v>3</v>
      </c>
      <c r="L1040">
        <v>257.16666666666703</v>
      </c>
      <c r="M1040" t="s">
        <v>24</v>
      </c>
      <c r="N1040" t="str">
        <f>_xlfn.XLOOKUP(A1040,[1]!brca_metabric_clinical_data__2[Patient ID], [1]!brca_metabric_clinical_data__2[Tumor Size])</f>
        <v>25</v>
      </c>
      <c r="O1040" t="str">
        <f>_xlfn.XLOOKUP(A1040,[1]!brca_metabric_clinical_data__2[Sample ID],[1]!brca_metabric_clinical_data__2[Tumor Stage])</f>
        <v>2</v>
      </c>
    </row>
    <row r="1041" spans="1:15" x14ac:dyDescent="0.45">
      <c r="A1041" t="s">
        <v>1076</v>
      </c>
      <c r="B1041">
        <v>61.3</v>
      </c>
      <c r="C1041" t="s">
        <v>16</v>
      </c>
      <c r="D1041" t="s">
        <v>17</v>
      </c>
      <c r="E1041" t="s">
        <v>18</v>
      </c>
      <c r="F1041" t="s">
        <v>43</v>
      </c>
      <c r="G1041" t="s">
        <v>20</v>
      </c>
      <c r="H1041" t="s">
        <v>20</v>
      </c>
      <c r="I1041" t="s">
        <v>20</v>
      </c>
      <c r="J1041" t="s">
        <v>27</v>
      </c>
      <c r="K1041">
        <v>6</v>
      </c>
      <c r="L1041">
        <v>110.933333333333</v>
      </c>
      <c r="M1041" t="s">
        <v>30</v>
      </c>
      <c r="N1041" t="str">
        <f>_xlfn.XLOOKUP(A1041,[1]!brca_metabric_clinical_data__2[Patient ID], [1]!brca_metabric_clinical_data__2[Tumor Size])</f>
        <v>25</v>
      </c>
      <c r="O1041" t="str">
        <f>_xlfn.XLOOKUP(A1041,[1]!brca_metabric_clinical_data__2[Sample ID],[1]!brca_metabric_clinical_data__2[Tumor Stage])</f>
        <v>2</v>
      </c>
    </row>
    <row r="1042" spans="1:15" x14ac:dyDescent="0.45">
      <c r="A1042" t="s">
        <v>1077</v>
      </c>
      <c r="B1042">
        <v>65.83</v>
      </c>
      <c r="C1042" t="s">
        <v>16</v>
      </c>
      <c r="D1042" t="s">
        <v>17</v>
      </c>
      <c r="E1042" t="s">
        <v>18</v>
      </c>
      <c r="F1042" t="s">
        <v>19</v>
      </c>
      <c r="G1042" t="s">
        <v>20</v>
      </c>
      <c r="H1042" t="s">
        <v>21</v>
      </c>
      <c r="I1042" t="s">
        <v>21</v>
      </c>
      <c r="J1042" t="s">
        <v>27</v>
      </c>
      <c r="K1042">
        <v>8</v>
      </c>
      <c r="L1042">
        <v>130.36666666666699</v>
      </c>
      <c r="M1042" t="s">
        <v>30</v>
      </c>
      <c r="N1042" t="str">
        <f>_xlfn.XLOOKUP(A1042,[1]!brca_metabric_clinical_data__2[Patient ID], [1]!brca_metabric_clinical_data__2[Tumor Size])</f>
        <v>35</v>
      </c>
      <c r="O1042" t="str">
        <f>_xlfn.XLOOKUP(A1042,[1]!brca_metabric_clinical_data__2[Sample ID],[1]!brca_metabric_clinical_data__2[Tumor Stage])</f>
        <v>2</v>
      </c>
    </row>
    <row r="1043" spans="1:15" x14ac:dyDescent="0.45">
      <c r="A1043" t="s">
        <v>1078</v>
      </c>
      <c r="B1043">
        <v>71.67</v>
      </c>
      <c r="C1043" t="s">
        <v>16</v>
      </c>
      <c r="D1043" t="s">
        <v>17</v>
      </c>
      <c r="F1043" t="s">
        <v>19</v>
      </c>
      <c r="G1043" t="s">
        <v>20</v>
      </c>
      <c r="H1043" t="s">
        <v>20</v>
      </c>
      <c r="I1043" t="s">
        <v>20</v>
      </c>
      <c r="J1043" t="s">
        <v>29</v>
      </c>
      <c r="K1043">
        <v>8</v>
      </c>
      <c r="L1043">
        <v>43.9</v>
      </c>
      <c r="M1043" t="s">
        <v>30</v>
      </c>
      <c r="N1043" t="str">
        <f>_xlfn.XLOOKUP(A1043,[1]!brca_metabric_clinical_data__2[Patient ID], [1]!brca_metabric_clinical_data__2[Tumor Size])</f>
        <v>40</v>
      </c>
      <c r="O1043" t="str">
        <f>_xlfn.XLOOKUP(A1043,[1]!brca_metabric_clinical_data__2[Sample ID],[1]!brca_metabric_clinical_data__2[Tumor Stage])</f>
        <v>2</v>
      </c>
    </row>
    <row r="1044" spans="1:15" x14ac:dyDescent="0.45">
      <c r="A1044" t="s">
        <v>1079</v>
      </c>
      <c r="B1044">
        <v>45.39</v>
      </c>
      <c r="C1044" t="s">
        <v>16</v>
      </c>
      <c r="D1044" t="s">
        <v>26</v>
      </c>
      <c r="E1044" t="s">
        <v>18</v>
      </c>
      <c r="F1044" t="s">
        <v>19</v>
      </c>
      <c r="G1044" t="s">
        <v>20</v>
      </c>
      <c r="H1044" t="s">
        <v>21</v>
      </c>
      <c r="I1044" t="s">
        <v>20</v>
      </c>
      <c r="J1044" t="s">
        <v>27</v>
      </c>
      <c r="K1044">
        <v>7</v>
      </c>
      <c r="L1044">
        <v>129.80000000000001</v>
      </c>
      <c r="M1044" t="s">
        <v>30</v>
      </c>
      <c r="N1044" t="str">
        <f>_xlfn.XLOOKUP(A1044,[1]!brca_metabric_clinical_data__2[Patient ID], [1]!brca_metabric_clinical_data__2[Tumor Size])</f>
        <v>35</v>
      </c>
      <c r="O1044" t="str">
        <f>_xlfn.XLOOKUP(A1044,[1]!brca_metabric_clinical_data__2[Sample ID],[1]!brca_metabric_clinical_data__2[Tumor Stage])</f>
        <v>2</v>
      </c>
    </row>
    <row r="1045" spans="1:15" x14ac:dyDescent="0.45">
      <c r="A1045" t="s">
        <v>1080</v>
      </c>
      <c r="B1045">
        <v>49.77</v>
      </c>
      <c r="C1045" t="s">
        <v>16</v>
      </c>
      <c r="D1045" t="s">
        <v>26</v>
      </c>
      <c r="E1045" t="s">
        <v>18</v>
      </c>
      <c r="F1045" t="s">
        <v>19</v>
      </c>
      <c r="G1045" t="s">
        <v>20</v>
      </c>
      <c r="H1045" t="s">
        <v>21</v>
      </c>
      <c r="I1045" t="s">
        <v>20</v>
      </c>
      <c r="J1045" t="s">
        <v>27</v>
      </c>
      <c r="K1045">
        <v>3</v>
      </c>
      <c r="L1045">
        <v>201.76666666666699</v>
      </c>
      <c r="M1045" t="s">
        <v>30</v>
      </c>
      <c r="N1045" t="str">
        <f>_xlfn.XLOOKUP(A1045,[1]!brca_metabric_clinical_data__2[Patient ID], [1]!brca_metabric_clinical_data__2[Tumor Size])</f>
        <v>10</v>
      </c>
      <c r="O1045" t="str">
        <f>_xlfn.XLOOKUP(A1045,[1]!brca_metabric_clinical_data__2[Sample ID],[1]!brca_metabric_clinical_data__2[Tumor Stage])</f>
        <v>2</v>
      </c>
    </row>
    <row r="1046" spans="1:15" x14ac:dyDescent="0.45">
      <c r="A1046" t="s">
        <v>1081</v>
      </c>
      <c r="B1046">
        <v>43.77</v>
      </c>
      <c r="C1046" t="s">
        <v>16</v>
      </c>
      <c r="D1046" t="s">
        <v>26</v>
      </c>
      <c r="E1046" t="s">
        <v>37</v>
      </c>
      <c r="F1046" t="s">
        <v>43</v>
      </c>
      <c r="G1046" t="s">
        <v>20</v>
      </c>
      <c r="H1046" t="s">
        <v>20</v>
      </c>
      <c r="I1046" t="s">
        <v>20</v>
      </c>
      <c r="J1046" t="s">
        <v>58</v>
      </c>
      <c r="K1046">
        <v>10</v>
      </c>
      <c r="L1046">
        <v>286.066666666667</v>
      </c>
      <c r="M1046" t="s">
        <v>24</v>
      </c>
      <c r="N1046" t="str">
        <f>_xlfn.XLOOKUP(A1046,[1]!brca_metabric_clinical_data__2[Patient ID], [1]!brca_metabric_clinical_data__2[Tumor Size])</f>
        <v>14</v>
      </c>
      <c r="O1046" t="str">
        <f>_xlfn.XLOOKUP(A1046,[1]!brca_metabric_clinical_data__2[Sample ID],[1]!brca_metabric_clinical_data__2[Tumor Stage])</f>
        <v>1</v>
      </c>
    </row>
    <row r="1047" spans="1:15" x14ac:dyDescent="0.45">
      <c r="A1047" t="s">
        <v>1082</v>
      </c>
      <c r="B1047">
        <v>39.92</v>
      </c>
      <c r="C1047" t="s">
        <v>16</v>
      </c>
      <c r="D1047" t="s">
        <v>26</v>
      </c>
      <c r="E1047" t="s">
        <v>18</v>
      </c>
      <c r="F1047" t="s">
        <v>19</v>
      </c>
      <c r="G1047" t="s">
        <v>20</v>
      </c>
      <c r="H1047" t="s">
        <v>20</v>
      </c>
      <c r="I1047" t="s">
        <v>20</v>
      </c>
      <c r="J1047" t="s">
        <v>38</v>
      </c>
      <c r="K1047" t="s">
        <v>23</v>
      </c>
      <c r="L1047">
        <v>73.466666666666697</v>
      </c>
      <c r="M1047" t="s">
        <v>30</v>
      </c>
      <c r="N1047" t="str">
        <f>_xlfn.XLOOKUP(A1047,[1]!brca_metabric_clinical_data__2[Patient ID], [1]!brca_metabric_clinical_data__2[Tumor Size])</f>
        <v>50</v>
      </c>
      <c r="O1047" t="str">
        <f>_xlfn.XLOOKUP(A1047,[1]!brca_metabric_clinical_data__2[Sample ID],[1]!brca_metabric_clinical_data__2[Tumor Stage])</f>
        <v>2</v>
      </c>
    </row>
    <row r="1048" spans="1:15" x14ac:dyDescent="0.45">
      <c r="A1048" t="s">
        <v>1083</v>
      </c>
      <c r="B1048">
        <v>75.739999999999995</v>
      </c>
      <c r="C1048" t="s">
        <v>16</v>
      </c>
      <c r="D1048" t="s">
        <v>17</v>
      </c>
      <c r="E1048" t="s">
        <v>18</v>
      </c>
      <c r="F1048" t="s">
        <v>19</v>
      </c>
      <c r="G1048" t="s">
        <v>20</v>
      </c>
      <c r="H1048" t="s">
        <v>21</v>
      </c>
      <c r="I1048" t="s">
        <v>21</v>
      </c>
      <c r="J1048" t="s">
        <v>29</v>
      </c>
      <c r="K1048">
        <v>3</v>
      </c>
      <c r="L1048">
        <v>76.233333333333306</v>
      </c>
      <c r="M1048" t="s">
        <v>30</v>
      </c>
      <c r="N1048" t="str">
        <f>_xlfn.XLOOKUP(A1048,[1]!brca_metabric_clinical_data__2[Patient ID], [1]!brca_metabric_clinical_data__2[Tumor Size])</f>
        <v>57</v>
      </c>
      <c r="O1048" t="str">
        <f>_xlfn.XLOOKUP(A1048,[1]!brca_metabric_clinical_data__2[Sample ID],[1]!brca_metabric_clinical_data__2[Tumor Stage])</f>
        <v>3</v>
      </c>
    </row>
    <row r="1049" spans="1:15" x14ac:dyDescent="0.45">
      <c r="A1049" t="s">
        <v>1084</v>
      </c>
      <c r="B1049">
        <v>67.19</v>
      </c>
      <c r="C1049" t="s">
        <v>16</v>
      </c>
      <c r="D1049" t="s">
        <v>17</v>
      </c>
      <c r="E1049" t="s">
        <v>18</v>
      </c>
      <c r="F1049" t="s">
        <v>19</v>
      </c>
      <c r="G1049" t="s">
        <v>20</v>
      </c>
      <c r="H1049" t="s">
        <v>21</v>
      </c>
      <c r="I1049" t="s">
        <v>21</v>
      </c>
      <c r="J1049" t="s">
        <v>27</v>
      </c>
      <c r="K1049">
        <v>2</v>
      </c>
      <c r="L1049">
        <v>57.3</v>
      </c>
      <c r="M1049" t="s">
        <v>30</v>
      </c>
      <c r="N1049" t="str">
        <f>_xlfn.XLOOKUP(A1049,[1]!brca_metabric_clinical_data__2[Patient ID], [1]!brca_metabric_clinical_data__2[Tumor Size])</f>
        <v>16</v>
      </c>
      <c r="O1049" t="str">
        <f>_xlfn.XLOOKUP(A1049,[1]!brca_metabric_clinical_data__2[Sample ID],[1]!brca_metabric_clinical_data__2[Tumor Stage])</f>
        <v>NA</v>
      </c>
    </row>
    <row r="1050" spans="1:15" x14ac:dyDescent="0.45">
      <c r="A1050" t="s">
        <v>1085</v>
      </c>
      <c r="B1050">
        <v>76.88</v>
      </c>
      <c r="C1050" t="s">
        <v>16</v>
      </c>
      <c r="D1050" t="s">
        <v>17</v>
      </c>
      <c r="E1050" t="s">
        <v>18</v>
      </c>
      <c r="F1050" t="s">
        <v>19</v>
      </c>
      <c r="G1050" t="s">
        <v>20</v>
      </c>
      <c r="H1050" t="s">
        <v>20</v>
      </c>
      <c r="I1050" t="s">
        <v>20</v>
      </c>
      <c r="J1050" t="s">
        <v>27</v>
      </c>
      <c r="K1050" t="s">
        <v>23</v>
      </c>
      <c r="L1050">
        <v>91.633333333333297</v>
      </c>
      <c r="M1050" t="s">
        <v>30</v>
      </c>
      <c r="N1050" t="str">
        <f>_xlfn.XLOOKUP(A1050,[1]!brca_metabric_clinical_data__2[Patient ID], [1]!brca_metabric_clinical_data__2[Tumor Size])</f>
        <v>10</v>
      </c>
      <c r="O1050" t="str">
        <f>_xlfn.XLOOKUP(A1050,[1]!brca_metabric_clinical_data__2[Sample ID],[1]!brca_metabric_clinical_data__2[Tumor Stage])</f>
        <v>1</v>
      </c>
    </row>
    <row r="1051" spans="1:15" x14ac:dyDescent="0.45">
      <c r="A1051" t="s">
        <v>1086</v>
      </c>
      <c r="B1051">
        <v>64.150000000000006</v>
      </c>
      <c r="C1051" t="s">
        <v>16</v>
      </c>
      <c r="D1051" t="s">
        <v>17</v>
      </c>
      <c r="E1051" t="s">
        <v>18</v>
      </c>
      <c r="F1051" t="s">
        <v>43</v>
      </c>
      <c r="G1051" t="s">
        <v>20</v>
      </c>
      <c r="H1051" t="s">
        <v>20</v>
      </c>
      <c r="I1051" t="s">
        <v>20</v>
      </c>
      <c r="J1051" t="s">
        <v>45</v>
      </c>
      <c r="K1051">
        <v>5</v>
      </c>
      <c r="L1051">
        <v>282.3</v>
      </c>
      <c r="M1051" t="s">
        <v>30</v>
      </c>
      <c r="N1051" t="str">
        <f>_xlfn.XLOOKUP(A1051,[1]!brca_metabric_clinical_data__2[Patient ID], [1]!brca_metabric_clinical_data__2[Tumor Size])</f>
        <v>1</v>
      </c>
      <c r="O1051" t="str">
        <f>_xlfn.XLOOKUP(A1051,[1]!brca_metabric_clinical_data__2[Sample ID],[1]!brca_metabric_clinical_data__2[Tumor Stage])</f>
        <v>1</v>
      </c>
    </row>
    <row r="1052" spans="1:15" x14ac:dyDescent="0.45">
      <c r="A1052" t="s">
        <v>1087</v>
      </c>
      <c r="B1052">
        <v>65.930000000000007</v>
      </c>
      <c r="C1052" t="s">
        <v>16</v>
      </c>
      <c r="D1052" t="s">
        <v>17</v>
      </c>
      <c r="E1052" t="s">
        <v>18</v>
      </c>
      <c r="F1052" t="s">
        <v>19</v>
      </c>
      <c r="G1052" t="s">
        <v>20</v>
      </c>
      <c r="H1052" t="s">
        <v>20</v>
      </c>
      <c r="I1052" t="s">
        <v>20</v>
      </c>
      <c r="J1052" t="s">
        <v>27</v>
      </c>
      <c r="K1052">
        <v>8</v>
      </c>
      <c r="L1052">
        <v>214.433333333333</v>
      </c>
      <c r="M1052" t="s">
        <v>30</v>
      </c>
      <c r="N1052" t="str">
        <f>_xlfn.XLOOKUP(A1052,[1]!brca_metabric_clinical_data__2[Patient ID], [1]!brca_metabric_clinical_data__2[Tumor Size])</f>
        <v>10</v>
      </c>
      <c r="O1052" t="str">
        <f>_xlfn.XLOOKUP(A1052,[1]!brca_metabric_clinical_data__2[Sample ID],[1]!brca_metabric_clinical_data__2[Tumor Stage])</f>
        <v>1</v>
      </c>
    </row>
    <row r="1053" spans="1:15" x14ac:dyDescent="0.45">
      <c r="A1053" t="s">
        <v>1088</v>
      </c>
      <c r="B1053">
        <v>78.540000000000006</v>
      </c>
      <c r="C1053" t="s">
        <v>16</v>
      </c>
      <c r="D1053" t="s">
        <v>17</v>
      </c>
      <c r="E1053" t="s">
        <v>18</v>
      </c>
      <c r="F1053" t="s">
        <v>19</v>
      </c>
      <c r="G1053" t="s">
        <v>20</v>
      </c>
      <c r="H1053" t="s">
        <v>21</v>
      </c>
      <c r="I1053" t="s">
        <v>20</v>
      </c>
      <c r="J1053" t="s">
        <v>27</v>
      </c>
      <c r="K1053">
        <v>3</v>
      </c>
      <c r="L1053">
        <v>45.7</v>
      </c>
      <c r="M1053" t="s">
        <v>30</v>
      </c>
      <c r="N1053" t="str">
        <f>_xlfn.XLOOKUP(A1053,[1]!brca_metabric_clinical_data__2[Patient ID], [1]!brca_metabric_clinical_data__2[Tumor Size])</f>
        <v>22</v>
      </c>
      <c r="O1053" t="str">
        <f>_xlfn.XLOOKUP(A1053,[1]!brca_metabric_clinical_data__2[Sample ID],[1]!brca_metabric_clinical_data__2[Tumor Stage])</f>
        <v>2</v>
      </c>
    </row>
    <row r="1054" spans="1:15" x14ac:dyDescent="0.45">
      <c r="A1054" t="s">
        <v>1089</v>
      </c>
      <c r="B1054">
        <v>78.87</v>
      </c>
      <c r="C1054" t="s">
        <v>16</v>
      </c>
      <c r="D1054" t="s">
        <v>17</v>
      </c>
      <c r="E1054" t="s">
        <v>18</v>
      </c>
      <c r="F1054" t="s">
        <v>19</v>
      </c>
      <c r="G1054" t="s">
        <v>20</v>
      </c>
      <c r="H1054" t="s">
        <v>21</v>
      </c>
      <c r="I1054" t="s">
        <v>21</v>
      </c>
      <c r="J1054" t="s">
        <v>29</v>
      </c>
      <c r="K1054">
        <v>1</v>
      </c>
      <c r="L1054">
        <v>42.5</v>
      </c>
      <c r="M1054" t="s">
        <v>30</v>
      </c>
      <c r="N1054" t="str">
        <f>_xlfn.XLOOKUP(A1054,[1]!brca_metabric_clinical_data__2[Patient ID], [1]!brca_metabric_clinical_data__2[Tumor Size])</f>
        <v>80</v>
      </c>
      <c r="O1054" t="str">
        <f>_xlfn.XLOOKUP(A1054,[1]!brca_metabric_clinical_data__2[Sample ID],[1]!brca_metabric_clinical_data__2[Tumor Stage])</f>
        <v>3</v>
      </c>
    </row>
    <row r="1055" spans="1:15" x14ac:dyDescent="0.45">
      <c r="A1055" t="s">
        <v>1090</v>
      </c>
      <c r="B1055">
        <v>83.27</v>
      </c>
      <c r="C1055" t="s">
        <v>16</v>
      </c>
      <c r="D1055" t="s">
        <v>17</v>
      </c>
      <c r="E1055" t="s">
        <v>18</v>
      </c>
      <c r="F1055" t="s">
        <v>19</v>
      </c>
      <c r="G1055" t="s">
        <v>20</v>
      </c>
      <c r="H1055" t="s">
        <v>21</v>
      </c>
      <c r="I1055" t="s">
        <v>21</v>
      </c>
      <c r="J1055" t="s">
        <v>29</v>
      </c>
      <c r="K1055">
        <v>7</v>
      </c>
      <c r="L1055">
        <v>176.26666666666699</v>
      </c>
      <c r="M1055" t="s">
        <v>30</v>
      </c>
      <c r="N1055" t="str">
        <f>_xlfn.XLOOKUP(A1055,[1]!brca_metabric_clinical_data__2[Patient ID], [1]!brca_metabric_clinical_data__2[Tumor Size])</f>
        <v>10</v>
      </c>
      <c r="O1055" t="str">
        <f>_xlfn.XLOOKUP(A1055,[1]!brca_metabric_clinical_data__2[Sample ID],[1]!brca_metabric_clinical_data__2[Tumor Stage])</f>
        <v>2</v>
      </c>
    </row>
    <row r="1056" spans="1:15" x14ac:dyDescent="0.45">
      <c r="A1056" t="s">
        <v>1091</v>
      </c>
      <c r="B1056">
        <v>45.44</v>
      </c>
      <c r="C1056" t="s">
        <v>16</v>
      </c>
      <c r="D1056" t="s">
        <v>26</v>
      </c>
      <c r="E1056" t="s">
        <v>18</v>
      </c>
      <c r="F1056" t="s">
        <v>19</v>
      </c>
      <c r="G1056" t="s">
        <v>20</v>
      </c>
      <c r="H1056" t="s">
        <v>20</v>
      </c>
      <c r="I1056" t="s">
        <v>21</v>
      </c>
      <c r="J1056" t="s">
        <v>27</v>
      </c>
      <c r="K1056">
        <v>3</v>
      </c>
      <c r="L1056">
        <v>141.73333333333301</v>
      </c>
      <c r="M1056" t="s">
        <v>30</v>
      </c>
      <c r="N1056" t="str">
        <f>_xlfn.XLOOKUP(A1056,[1]!brca_metabric_clinical_data__2[Patient ID], [1]!brca_metabric_clinical_data__2[Tumor Size])</f>
        <v>11</v>
      </c>
      <c r="O1056" t="str">
        <f>_xlfn.XLOOKUP(A1056,[1]!brca_metabric_clinical_data__2[Sample ID],[1]!brca_metabric_clinical_data__2[Tumor Stage])</f>
        <v>1</v>
      </c>
    </row>
    <row r="1057" spans="1:15" x14ac:dyDescent="0.45">
      <c r="A1057" t="s">
        <v>1092</v>
      </c>
      <c r="B1057">
        <v>49.61</v>
      </c>
      <c r="C1057" t="s">
        <v>16</v>
      </c>
      <c r="D1057" t="s">
        <v>26</v>
      </c>
      <c r="E1057" t="s">
        <v>18</v>
      </c>
      <c r="F1057" t="s">
        <v>35</v>
      </c>
      <c r="G1057" t="s">
        <v>20</v>
      </c>
      <c r="H1057" t="s">
        <v>21</v>
      </c>
      <c r="I1057" t="s">
        <v>21</v>
      </c>
      <c r="J1057" t="s">
        <v>29</v>
      </c>
      <c r="K1057">
        <v>1</v>
      </c>
      <c r="L1057">
        <v>36.1666666666667</v>
      </c>
      <c r="M1057" t="s">
        <v>30</v>
      </c>
      <c r="N1057" t="str">
        <f>_xlfn.XLOOKUP(A1057,[1]!brca_metabric_clinical_data__2[Patient ID], [1]!brca_metabric_clinical_data__2[Tumor Size])</f>
        <v>25</v>
      </c>
      <c r="O1057" t="str">
        <f>_xlfn.XLOOKUP(A1057,[1]!brca_metabric_clinical_data__2[Sample ID],[1]!brca_metabric_clinical_data__2[Tumor Stage])</f>
        <v>NA</v>
      </c>
    </row>
    <row r="1058" spans="1:15" x14ac:dyDescent="0.45">
      <c r="A1058" t="s">
        <v>1093</v>
      </c>
      <c r="B1058">
        <v>55.66</v>
      </c>
      <c r="C1058" t="s">
        <v>16</v>
      </c>
      <c r="D1058" t="s">
        <v>17</v>
      </c>
      <c r="E1058" t="s">
        <v>18</v>
      </c>
      <c r="F1058" t="s">
        <v>19</v>
      </c>
      <c r="G1058" t="s">
        <v>20</v>
      </c>
      <c r="H1058" t="s">
        <v>20</v>
      </c>
      <c r="I1058" t="s">
        <v>21</v>
      </c>
      <c r="J1058" t="s">
        <v>45</v>
      </c>
      <c r="K1058" t="s">
        <v>23</v>
      </c>
      <c r="L1058">
        <v>23.433333333333302</v>
      </c>
      <c r="M1058" t="s">
        <v>30</v>
      </c>
      <c r="N1058" t="str">
        <f>_xlfn.XLOOKUP(A1058,[1]!brca_metabric_clinical_data__2[Patient ID], [1]!brca_metabric_clinical_data__2[Tumor Size])</f>
        <v>16</v>
      </c>
      <c r="O1058" t="str">
        <f>_xlfn.XLOOKUP(A1058,[1]!brca_metabric_clinical_data__2[Sample ID],[1]!brca_metabric_clinical_data__2[Tumor Stage])</f>
        <v>NA</v>
      </c>
    </row>
    <row r="1059" spans="1:15" x14ac:dyDescent="0.45">
      <c r="A1059" t="s">
        <v>1094</v>
      </c>
      <c r="B1059">
        <v>74.39</v>
      </c>
      <c r="C1059" t="s">
        <v>16</v>
      </c>
      <c r="D1059" t="s">
        <v>17</v>
      </c>
      <c r="E1059" t="s">
        <v>18</v>
      </c>
      <c r="F1059" t="s">
        <v>43</v>
      </c>
      <c r="G1059" t="s">
        <v>20</v>
      </c>
      <c r="H1059" t="s">
        <v>21</v>
      </c>
      <c r="I1059" t="s">
        <v>21</v>
      </c>
      <c r="J1059" t="s">
        <v>29</v>
      </c>
      <c r="K1059">
        <v>8</v>
      </c>
      <c r="L1059">
        <v>200.76666666666699</v>
      </c>
      <c r="M1059" t="s">
        <v>30</v>
      </c>
      <c r="N1059" t="str">
        <f>_xlfn.XLOOKUP(A1059,[1]!brca_metabric_clinical_data__2[Patient ID], [1]!brca_metabric_clinical_data__2[Tumor Size])</f>
        <v>99</v>
      </c>
      <c r="O1059" t="str">
        <f>_xlfn.XLOOKUP(A1059,[1]!brca_metabric_clinical_data__2[Sample ID],[1]!brca_metabric_clinical_data__2[Tumor Stage])</f>
        <v>3</v>
      </c>
    </row>
    <row r="1060" spans="1:15" x14ac:dyDescent="0.45">
      <c r="A1060" t="s">
        <v>1095</v>
      </c>
      <c r="B1060">
        <v>67.260000000000005</v>
      </c>
      <c r="C1060" t="s">
        <v>16</v>
      </c>
      <c r="D1060" t="s">
        <v>17</v>
      </c>
      <c r="F1060" t="s">
        <v>19</v>
      </c>
      <c r="G1060" t="s">
        <v>20</v>
      </c>
      <c r="H1060" t="s">
        <v>20</v>
      </c>
      <c r="I1060" t="s">
        <v>20</v>
      </c>
      <c r="J1060" t="s">
        <v>29</v>
      </c>
      <c r="K1060">
        <v>3</v>
      </c>
      <c r="L1060">
        <v>299.39999999999998</v>
      </c>
      <c r="M1060" t="s">
        <v>24</v>
      </c>
      <c r="N1060" t="str">
        <f>_xlfn.XLOOKUP(A1060,[1]!brca_metabric_clinical_data__2[Patient ID], [1]!brca_metabric_clinical_data__2[Tumor Size])</f>
        <v>12</v>
      </c>
      <c r="O1060" t="str">
        <f>_xlfn.XLOOKUP(A1060,[1]!brca_metabric_clinical_data__2[Sample ID],[1]!brca_metabric_clinical_data__2[Tumor Stage])</f>
        <v>NA</v>
      </c>
    </row>
    <row r="1061" spans="1:15" x14ac:dyDescent="0.45">
      <c r="A1061" t="s">
        <v>1096</v>
      </c>
      <c r="B1061">
        <v>54.35</v>
      </c>
      <c r="C1061" t="s">
        <v>16</v>
      </c>
      <c r="D1061" t="s">
        <v>17</v>
      </c>
      <c r="E1061" t="s">
        <v>18</v>
      </c>
      <c r="F1061" t="s">
        <v>19</v>
      </c>
      <c r="G1061" t="s">
        <v>20</v>
      </c>
      <c r="H1061" t="s">
        <v>21</v>
      </c>
      <c r="I1061" t="s">
        <v>20</v>
      </c>
      <c r="J1061" t="s">
        <v>27</v>
      </c>
      <c r="K1061">
        <v>8</v>
      </c>
      <c r="L1061">
        <v>265.13333333333298</v>
      </c>
      <c r="M1061" t="s">
        <v>24</v>
      </c>
      <c r="N1061" t="str">
        <f>_xlfn.XLOOKUP(A1061,[1]!brca_metabric_clinical_data__2[Patient ID], [1]!brca_metabric_clinical_data__2[Tumor Size])</f>
        <v>30</v>
      </c>
      <c r="O1061" t="str">
        <f>_xlfn.XLOOKUP(A1061,[1]!brca_metabric_clinical_data__2[Sample ID],[1]!brca_metabric_clinical_data__2[Tumor Stage])</f>
        <v>2</v>
      </c>
    </row>
    <row r="1062" spans="1:15" x14ac:dyDescent="0.45">
      <c r="A1062" t="s">
        <v>1097</v>
      </c>
      <c r="B1062">
        <v>86.75</v>
      </c>
      <c r="C1062" t="s">
        <v>16</v>
      </c>
      <c r="D1062" t="s">
        <v>17</v>
      </c>
      <c r="E1062" t="s">
        <v>18</v>
      </c>
      <c r="F1062" t="s">
        <v>19</v>
      </c>
      <c r="G1062" t="s">
        <v>20</v>
      </c>
      <c r="H1062" t="s">
        <v>21</v>
      </c>
      <c r="I1062" t="s">
        <v>20</v>
      </c>
      <c r="J1062" t="s">
        <v>27</v>
      </c>
      <c r="K1062">
        <v>8</v>
      </c>
      <c r="L1062">
        <v>25.466666666666701</v>
      </c>
      <c r="M1062" t="s">
        <v>30</v>
      </c>
      <c r="N1062" t="str">
        <f>_xlfn.XLOOKUP(A1062,[1]!brca_metabric_clinical_data__2[Patient ID], [1]!brca_metabric_clinical_data__2[Tumor Size])</f>
        <v>20</v>
      </c>
      <c r="O1062" t="str">
        <f>_xlfn.XLOOKUP(A1062,[1]!brca_metabric_clinical_data__2[Sample ID],[1]!brca_metabric_clinical_data__2[Tumor Stage])</f>
        <v>2</v>
      </c>
    </row>
    <row r="1063" spans="1:15" x14ac:dyDescent="0.45">
      <c r="A1063" t="s">
        <v>1098</v>
      </c>
      <c r="B1063">
        <v>63.07</v>
      </c>
      <c r="C1063" t="s">
        <v>16</v>
      </c>
      <c r="D1063" t="s">
        <v>17</v>
      </c>
      <c r="E1063" t="s">
        <v>18</v>
      </c>
      <c r="F1063" t="s">
        <v>43</v>
      </c>
      <c r="G1063" t="s">
        <v>20</v>
      </c>
      <c r="H1063" t="s">
        <v>21</v>
      </c>
      <c r="I1063" t="s">
        <v>21</v>
      </c>
      <c r="J1063" t="s">
        <v>29</v>
      </c>
      <c r="K1063">
        <v>5</v>
      </c>
      <c r="L1063">
        <v>101.633333333333</v>
      </c>
      <c r="M1063" t="s">
        <v>30</v>
      </c>
      <c r="N1063" t="str">
        <f>_xlfn.XLOOKUP(A1063,[1]!brca_metabric_clinical_data__2[Patient ID], [1]!brca_metabric_clinical_data__2[Tumor Size])</f>
        <v>25</v>
      </c>
      <c r="O1063" t="str">
        <f>_xlfn.XLOOKUP(A1063,[1]!brca_metabric_clinical_data__2[Sample ID],[1]!brca_metabric_clinical_data__2[Tumor Stage])</f>
        <v>2</v>
      </c>
    </row>
    <row r="1064" spans="1:15" x14ac:dyDescent="0.45">
      <c r="A1064" t="s">
        <v>1099</v>
      </c>
      <c r="B1064">
        <v>81.52</v>
      </c>
      <c r="C1064" t="s">
        <v>16</v>
      </c>
      <c r="D1064" t="s">
        <v>17</v>
      </c>
      <c r="E1064" t="s">
        <v>18</v>
      </c>
      <c r="F1064" t="s">
        <v>19</v>
      </c>
      <c r="G1064" t="s">
        <v>20</v>
      </c>
      <c r="H1064" t="s">
        <v>21</v>
      </c>
      <c r="I1064" t="s">
        <v>20</v>
      </c>
      <c r="J1064" t="s">
        <v>27</v>
      </c>
      <c r="K1064">
        <v>8</v>
      </c>
      <c r="L1064">
        <v>45.3333333333333</v>
      </c>
      <c r="M1064" t="s">
        <v>30</v>
      </c>
      <c r="N1064" t="str">
        <f>_xlfn.XLOOKUP(A1064,[1]!brca_metabric_clinical_data__2[Patient ID], [1]!brca_metabric_clinical_data__2[Tumor Size])</f>
        <v>30</v>
      </c>
      <c r="O1064" t="str">
        <f>_xlfn.XLOOKUP(A1064,[1]!brca_metabric_clinical_data__2[Sample ID],[1]!brca_metabric_clinical_data__2[Tumor Stage])</f>
        <v>2</v>
      </c>
    </row>
    <row r="1065" spans="1:15" x14ac:dyDescent="0.45">
      <c r="A1065" t="s">
        <v>1100</v>
      </c>
      <c r="B1065">
        <v>73.95</v>
      </c>
      <c r="C1065" t="s">
        <v>16</v>
      </c>
      <c r="D1065" t="s">
        <v>17</v>
      </c>
      <c r="E1065" t="s">
        <v>18</v>
      </c>
      <c r="F1065" t="s">
        <v>19</v>
      </c>
      <c r="G1065" t="s">
        <v>20</v>
      </c>
      <c r="H1065" t="s">
        <v>21</v>
      </c>
      <c r="I1065" t="s">
        <v>20</v>
      </c>
      <c r="J1065" t="s">
        <v>27</v>
      </c>
      <c r="K1065">
        <v>2</v>
      </c>
      <c r="L1065">
        <v>90.266666666666694</v>
      </c>
      <c r="M1065" t="s">
        <v>30</v>
      </c>
      <c r="N1065" t="str">
        <f>_xlfn.XLOOKUP(A1065,[1]!brca_metabric_clinical_data__2[Patient ID], [1]!brca_metabric_clinical_data__2[Tumor Size])</f>
        <v>25</v>
      </c>
      <c r="O1065" t="str">
        <f>_xlfn.XLOOKUP(A1065,[1]!brca_metabric_clinical_data__2[Sample ID],[1]!brca_metabric_clinical_data__2[Tumor Stage])</f>
        <v>2</v>
      </c>
    </row>
    <row r="1066" spans="1:15" x14ac:dyDescent="0.45">
      <c r="A1066" t="s">
        <v>1101</v>
      </c>
      <c r="B1066">
        <v>62.35</v>
      </c>
      <c r="C1066" t="s">
        <v>16</v>
      </c>
      <c r="D1066" t="s">
        <v>17</v>
      </c>
      <c r="E1066" t="s">
        <v>18</v>
      </c>
      <c r="F1066" t="s">
        <v>19</v>
      </c>
      <c r="G1066" t="s">
        <v>20</v>
      </c>
      <c r="H1066" t="s">
        <v>20</v>
      </c>
      <c r="I1066" t="s">
        <v>20</v>
      </c>
      <c r="J1066" t="s">
        <v>27</v>
      </c>
      <c r="K1066">
        <v>8</v>
      </c>
      <c r="L1066">
        <v>265.933333333333</v>
      </c>
      <c r="M1066" t="s">
        <v>24</v>
      </c>
      <c r="N1066" t="str">
        <f>_xlfn.XLOOKUP(A1066,[1]!brca_metabric_clinical_data__2[Patient ID], [1]!brca_metabric_clinical_data__2[Tumor Size])</f>
        <v>16</v>
      </c>
      <c r="O1066" t="str">
        <f>_xlfn.XLOOKUP(A1066,[1]!brca_metabric_clinical_data__2[Sample ID],[1]!brca_metabric_clinical_data__2[Tumor Stage])</f>
        <v>1</v>
      </c>
    </row>
    <row r="1067" spans="1:15" x14ac:dyDescent="0.45">
      <c r="A1067" t="s">
        <v>1102</v>
      </c>
      <c r="B1067">
        <v>74.8</v>
      </c>
      <c r="C1067" t="s">
        <v>16</v>
      </c>
      <c r="D1067" t="s">
        <v>17</v>
      </c>
      <c r="E1067" t="s">
        <v>18</v>
      </c>
      <c r="F1067" t="s">
        <v>19</v>
      </c>
      <c r="G1067" t="s">
        <v>20</v>
      </c>
      <c r="H1067" t="s">
        <v>21</v>
      </c>
      <c r="I1067" t="s">
        <v>20</v>
      </c>
      <c r="J1067" t="s">
        <v>27</v>
      </c>
      <c r="K1067">
        <v>7</v>
      </c>
      <c r="L1067">
        <v>41.466666666666697</v>
      </c>
      <c r="M1067" t="s">
        <v>30</v>
      </c>
      <c r="N1067" t="str">
        <f>_xlfn.XLOOKUP(A1067,[1]!brca_metabric_clinical_data__2[Patient ID], [1]!brca_metabric_clinical_data__2[Tumor Size])</f>
        <v>30</v>
      </c>
      <c r="O1067" t="str">
        <f>_xlfn.XLOOKUP(A1067,[1]!brca_metabric_clinical_data__2[Sample ID],[1]!brca_metabric_clinical_data__2[Tumor Stage])</f>
        <v>NA</v>
      </c>
    </row>
    <row r="1068" spans="1:15" x14ac:dyDescent="0.45">
      <c r="A1068" t="s">
        <v>1103</v>
      </c>
      <c r="B1068">
        <v>74.56</v>
      </c>
      <c r="C1068" t="s">
        <v>16</v>
      </c>
      <c r="D1068" t="s">
        <v>17</v>
      </c>
      <c r="E1068" t="s">
        <v>18</v>
      </c>
      <c r="F1068" t="s">
        <v>43</v>
      </c>
      <c r="G1068" t="s">
        <v>20</v>
      </c>
      <c r="H1068" t="s">
        <v>20</v>
      </c>
      <c r="I1068" t="s">
        <v>20</v>
      </c>
      <c r="J1068" t="s">
        <v>27</v>
      </c>
      <c r="K1068">
        <v>5</v>
      </c>
      <c r="L1068">
        <v>129.333333333333</v>
      </c>
      <c r="M1068" t="s">
        <v>30</v>
      </c>
      <c r="N1068" t="str">
        <f>_xlfn.XLOOKUP(A1068,[1]!brca_metabric_clinical_data__2[Patient ID], [1]!brca_metabric_clinical_data__2[Tumor Size])</f>
        <v>15</v>
      </c>
      <c r="O1068" t="str">
        <f>_xlfn.XLOOKUP(A1068,[1]!brca_metabric_clinical_data__2[Sample ID],[1]!brca_metabric_clinical_data__2[Tumor Stage])</f>
        <v>NA</v>
      </c>
    </row>
    <row r="1069" spans="1:15" x14ac:dyDescent="0.45">
      <c r="A1069" t="s">
        <v>1104</v>
      </c>
      <c r="B1069">
        <v>74.290000000000006</v>
      </c>
      <c r="C1069" t="s">
        <v>16</v>
      </c>
      <c r="D1069" t="s">
        <v>17</v>
      </c>
      <c r="E1069" t="s">
        <v>18</v>
      </c>
      <c r="F1069" t="s">
        <v>19</v>
      </c>
      <c r="G1069" t="s">
        <v>20</v>
      </c>
      <c r="H1069" t="s">
        <v>20</v>
      </c>
      <c r="I1069" t="s">
        <v>21</v>
      </c>
      <c r="J1069" t="s">
        <v>22</v>
      </c>
      <c r="K1069" t="s">
        <v>23</v>
      </c>
      <c r="L1069">
        <v>157.80000000000001</v>
      </c>
      <c r="M1069" t="s">
        <v>30</v>
      </c>
      <c r="N1069" t="str">
        <f>_xlfn.XLOOKUP(A1069,[1]!brca_metabric_clinical_data__2[Patient ID], [1]!brca_metabric_clinical_data__2[Tumor Size])</f>
        <v>17</v>
      </c>
      <c r="O1069" t="str">
        <f>_xlfn.XLOOKUP(A1069,[1]!brca_metabric_clinical_data__2[Sample ID],[1]!brca_metabric_clinical_data__2[Tumor Stage])</f>
        <v>1</v>
      </c>
    </row>
    <row r="1070" spans="1:15" x14ac:dyDescent="0.45">
      <c r="A1070" t="s">
        <v>1105</v>
      </c>
      <c r="B1070">
        <v>44.95</v>
      </c>
      <c r="C1070" t="s">
        <v>16</v>
      </c>
      <c r="D1070" t="s">
        <v>26</v>
      </c>
      <c r="E1070" t="s">
        <v>18</v>
      </c>
      <c r="F1070" t="s">
        <v>19</v>
      </c>
      <c r="G1070" t="s">
        <v>20</v>
      </c>
      <c r="H1070" t="s">
        <v>20</v>
      </c>
      <c r="I1070" t="s">
        <v>21</v>
      </c>
      <c r="J1070" t="s">
        <v>27</v>
      </c>
      <c r="K1070">
        <v>3</v>
      </c>
      <c r="L1070">
        <v>234.6</v>
      </c>
      <c r="M1070" t="s">
        <v>24</v>
      </c>
      <c r="N1070" t="str">
        <f>_xlfn.XLOOKUP(A1070,[1]!brca_metabric_clinical_data__2[Patient ID], [1]!brca_metabric_clinical_data__2[Tumor Size])</f>
        <v>10</v>
      </c>
      <c r="O1070" t="str">
        <f>_xlfn.XLOOKUP(A1070,[1]!brca_metabric_clinical_data__2[Sample ID],[1]!brca_metabric_clinical_data__2[Tumor Stage])</f>
        <v>1</v>
      </c>
    </row>
    <row r="1071" spans="1:15" x14ac:dyDescent="0.45">
      <c r="A1071" t="s">
        <v>1106</v>
      </c>
      <c r="B1071">
        <v>64.319999999999993</v>
      </c>
      <c r="C1071" t="s">
        <v>16</v>
      </c>
      <c r="D1071" t="s">
        <v>17</v>
      </c>
      <c r="E1071" t="s">
        <v>18</v>
      </c>
      <c r="F1071" t="s">
        <v>19</v>
      </c>
      <c r="G1071" t="s">
        <v>20</v>
      </c>
      <c r="H1071" t="s">
        <v>21</v>
      </c>
      <c r="I1071" t="s">
        <v>21</v>
      </c>
      <c r="J1071" t="s">
        <v>29</v>
      </c>
      <c r="K1071">
        <v>1</v>
      </c>
      <c r="L1071">
        <v>187.3</v>
      </c>
      <c r="M1071" t="s">
        <v>24</v>
      </c>
      <c r="N1071" t="str">
        <f>_xlfn.XLOOKUP(A1071,[1]!brca_metabric_clinical_data__2[Patient ID], [1]!brca_metabric_clinical_data__2[Tumor Size])</f>
        <v>23</v>
      </c>
      <c r="O1071" t="str">
        <f>_xlfn.XLOOKUP(A1071,[1]!brca_metabric_clinical_data__2[Sample ID],[1]!brca_metabric_clinical_data__2[Tumor Stage])</f>
        <v>2</v>
      </c>
    </row>
    <row r="1072" spans="1:15" x14ac:dyDescent="0.45">
      <c r="A1072" t="s">
        <v>1107</v>
      </c>
      <c r="B1072">
        <v>50.7</v>
      </c>
      <c r="C1072" t="s">
        <v>16</v>
      </c>
      <c r="D1072" t="s">
        <v>17</v>
      </c>
      <c r="E1072" t="s">
        <v>37</v>
      </c>
      <c r="F1072" t="s">
        <v>19</v>
      </c>
      <c r="G1072" t="s">
        <v>20</v>
      </c>
      <c r="H1072" t="s">
        <v>20</v>
      </c>
      <c r="I1072" t="s">
        <v>20</v>
      </c>
      <c r="J1072" t="s">
        <v>22</v>
      </c>
      <c r="K1072">
        <v>10</v>
      </c>
      <c r="L1072">
        <v>229.9</v>
      </c>
      <c r="M1072" t="s">
        <v>24</v>
      </c>
      <c r="N1072" t="str">
        <f>_xlfn.XLOOKUP(A1072,[1]!brca_metabric_clinical_data__2[Patient ID], [1]!brca_metabric_clinical_data__2[Tumor Size])</f>
        <v>35</v>
      </c>
      <c r="O1072" t="str">
        <f>_xlfn.XLOOKUP(A1072,[1]!brca_metabric_clinical_data__2[Sample ID],[1]!brca_metabric_clinical_data__2[Tumor Stage])</f>
        <v>2</v>
      </c>
    </row>
    <row r="1073" spans="1:15" x14ac:dyDescent="0.45">
      <c r="A1073" t="s">
        <v>1108</v>
      </c>
      <c r="B1073">
        <v>43.86</v>
      </c>
      <c r="C1073" t="s">
        <v>16</v>
      </c>
      <c r="D1073" t="s">
        <v>26</v>
      </c>
      <c r="E1073" t="s">
        <v>18</v>
      </c>
      <c r="F1073" t="s">
        <v>43</v>
      </c>
      <c r="G1073" t="s">
        <v>20</v>
      </c>
      <c r="H1073" t="s">
        <v>20</v>
      </c>
      <c r="I1073" t="s">
        <v>20</v>
      </c>
      <c r="J1073" t="s">
        <v>27</v>
      </c>
      <c r="K1073" t="s">
        <v>23</v>
      </c>
      <c r="L1073">
        <v>224.3</v>
      </c>
      <c r="M1073" t="s">
        <v>24</v>
      </c>
      <c r="N1073" t="str">
        <f>_xlfn.XLOOKUP(A1073,[1]!brca_metabric_clinical_data__2[Patient ID], [1]!brca_metabric_clinical_data__2[Tumor Size])</f>
        <v>20</v>
      </c>
      <c r="O1073" t="str">
        <f>_xlfn.XLOOKUP(A1073,[1]!brca_metabric_clinical_data__2[Sample ID],[1]!brca_metabric_clinical_data__2[Tumor Stage])</f>
        <v>1</v>
      </c>
    </row>
    <row r="1074" spans="1:15" x14ac:dyDescent="0.45">
      <c r="A1074" t="s">
        <v>1109</v>
      </c>
      <c r="B1074">
        <v>47.03</v>
      </c>
      <c r="C1074" t="s">
        <v>16</v>
      </c>
      <c r="D1074" t="s">
        <v>26</v>
      </c>
      <c r="E1074" t="s">
        <v>18</v>
      </c>
      <c r="F1074" t="s">
        <v>19</v>
      </c>
      <c r="G1074" t="s">
        <v>20</v>
      </c>
      <c r="H1074" t="s">
        <v>20</v>
      </c>
      <c r="I1074" t="s">
        <v>20</v>
      </c>
      <c r="J1074" t="s">
        <v>27</v>
      </c>
      <c r="K1074">
        <v>3</v>
      </c>
      <c r="L1074">
        <v>221.9</v>
      </c>
      <c r="M1074" t="s">
        <v>24</v>
      </c>
      <c r="N1074" t="str">
        <f>_xlfn.XLOOKUP(A1074,[1]!brca_metabric_clinical_data__2[Patient ID], [1]!brca_metabric_clinical_data__2[Tumor Size])</f>
        <v>25</v>
      </c>
      <c r="O1074" t="str">
        <f>_xlfn.XLOOKUP(A1074,[1]!brca_metabric_clinical_data__2[Sample ID],[1]!brca_metabric_clinical_data__2[Tumor Stage])</f>
        <v>2</v>
      </c>
    </row>
    <row r="1075" spans="1:15" x14ac:dyDescent="0.45">
      <c r="A1075" t="s">
        <v>1110</v>
      </c>
      <c r="B1075">
        <v>67.12</v>
      </c>
      <c r="C1075" t="s">
        <v>16</v>
      </c>
      <c r="D1075" t="s">
        <v>17</v>
      </c>
      <c r="E1075" t="s">
        <v>18</v>
      </c>
      <c r="F1075" t="s">
        <v>19</v>
      </c>
      <c r="G1075" t="s">
        <v>20</v>
      </c>
      <c r="H1075" t="s">
        <v>21</v>
      </c>
      <c r="I1075" t="s">
        <v>20</v>
      </c>
      <c r="J1075" t="s">
        <v>27</v>
      </c>
      <c r="K1075">
        <v>8</v>
      </c>
      <c r="L1075">
        <v>29.3</v>
      </c>
      <c r="M1075" t="s">
        <v>30</v>
      </c>
      <c r="N1075" t="str">
        <f>_xlfn.XLOOKUP(A1075,[1]!brca_metabric_clinical_data__2[Patient ID], [1]!brca_metabric_clinical_data__2[Tumor Size])</f>
        <v>30</v>
      </c>
      <c r="O1075" t="str">
        <f>_xlfn.XLOOKUP(A1075,[1]!brca_metabric_clinical_data__2[Sample ID],[1]!brca_metabric_clinical_data__2[Tumor Stage])</f>
        <v>2</v>
      </c>
    </row>
    <row r="1076" spans="1:15" x14ac:dyDescent="0.45">
      <c r="A1076" t="s">
        <v>1111</v>
      </c>
      <c r="B1076">
        <v>57.33</v>
      </c>
      <c r="C1076" t="s">
        <v>16</v>
      </c>
      <c r="D1076" t="s">
        <v>17</v>
      </c>
      <c r="E1076" t="s">
        <v>18</v>
      </c>
      <c r="F1076" t="s">
        <v>19</v>
      </c>
      <c r="G1076" t="s">
        <v>20</v>
      </c>
      <c r="H1076" t="s">
        <v>20</v>
      </c>
      <c r="I1076" t="s">
        <v>21</v>
      </c>
      <c r="J1076" t="s">
        <v>27</v>
      </c>
      <c r="K1076">
        <v>3</v>
      </c>
      <c r="L1076">
        <v>229.066666666667</v>
      </c>
      <c r="M1076" t="s">
        <v>24</v>
      </c>
      <c r="N1076" t="str">
        <f>_xlfn.XLOOKUP(A1076,[1]!brca_metabric_clinical_data__2[Patient ID], [1]!brca_metabric_clinical_data__2[Tumor Size])</f>
        <v>25</v>
      </c>
      <c r="O1076" t="str">
        <f>_xlfn.XLOOKUP(A1076,[1]!brca_metabric_clinical_data__2[Sample ID],[1]!brca_metabric_clinical_data__2[Tumor Stage])</f>
        <v>2</v>
      </c>
    </row>
    <row r="1077" spans="1:15" x14ac:dyDescent="0.45">
      <c r="A1077" t="s">
        <v>1112</v>
      </c>
      <c r="B1077">
        <v>74.53</v>
      </c>
      <c r="C1077" t="s">
        <v>16</v>
      </c>
      <c r="D1077" t="s">
        <v>17</v>
      </c>
      <c r="E1077" t="s">
        <v>37</v>
      </c>
      <c r="F1077" t="s">
        <v>43</v>
      </c>
      <c r="G1077" t="s">
        <v>20</v>
      </c>
      <c r="H1077" t="s">
        <v>20</v>
      </c>
      <c r="I1077" t="s">
        <v>20</v>
      </c>
      <c r="J1077" t="s">
        <v>38</v>
      </c>
      <c r="K1077">
        <v>5</v>
      </c>
      <c r="L1077">
        <v>39.799999999999997</v>
      </c>
      <c r="M1077" t="s">
        <v>30</v>
      </c>
      <c r="N1077" t="str">
        <f>_xlfn.XLOOKUP(A1077,[1]!brca_metabric_clinical_data__2[Patient ID], [1]!brca_metabric_clinical_data__2[Tumor Size])</f>
        <v>40</v>
      </c>
      <c r="O1077" t="str">
        <f>_xlfn.XLOOKUP(A1077,[1]!brca_metabric_clinical_data__2[Sample ID],[1]!brca_metabric_clinical_data__2[Tumor Stage])</f>
        <v>2</v>
      </c>
    </row>
    <row r="1078" spans="1:15" x14ac:dyDescent="0.45">
      <c r="A1078" t="s">
        <v>1113</v>
      </c>
      <c r="B1078">
        <v>58.69</v>
      </c>
      <c r="C1078" t="s">
        <v>16</v>
      </c>
      <c r="D1078" t="s">
        <v>17</v>
      </c>
      <c r="E1078" t="s">
        <v>18</v>
      </c>
      <c r="F1078" t="s">
        <v>19</v>
      </c>
      <c r="G1078" t="s">
        <v>20</v>
      </c>
      <c r="H1078" t="s">
        <v>21</v>
      </c>
      <c r="I1078" t="s">
        <v>20</v>
      </c>
      <c r="J1078" t="s">
        <v>27</v>
      </c>
      <c r="K1078">
        <v>3</v>
      </c>
      <c r="L1078">
        <v>157.1</v>
      </c>
      <c r="M1078" t="s">
        <v>24</v>
      </c>
      <c r="N1078" t="str">
        <f>_xlfn.XLOOKUP(A1078,[1]!brca_metabric_clinical_data__2[Patient ID], [1]!brca_metabric_clinical_data__2[Tumor Size])</f>
        <v>20</v>
      </c>
      <c r="O1078" t="str">
        <f>_xlfn.XLOOKUP(A1078,[1]!brca_metabric_clinical_data__2[Sample ID],[1]!brca_metabric_clinical_data__2[Tumor Stage])</f>
        <v>NA</v>
      </c>
    </row>
    <row r="1079" spans="1:15" x14ac:dyDescent="0.45">
      <c r="A1079" t="s">
        <v>1114</v>
      </c>
      <c r="B1079">
        <v>64.47</v>
      </c>
      <c r="C1079" t="s">
        <v>16</v>
      </c>
      <c r="D1079" t="s">
        <v>17</v>
      </c>
      <c r="E1079" t="s">
        <v>18</v>
      </c>
      <c r="F1079" t="s">
        <v>19</v>
      </c>
      <c r="G1079" t="s">
        <v>20</v>
      </c>
      <c r="H1079" t="s">
        <v>21</v>
      </c>
      <c r="I1079" t="s">
        <v>21</v>
      </c>
      <c r="J1079" t="s">
        <v>29</v>
      </c>
      <c r="K1079">
        <v>8</v>
      </c>
      <c r="L1079">
        <v>117.666666666667</v>
      </c>
      <c r="M1079" t="s">
        <v>30</v>
      </c>
      <c r="N1079" t="str">
        <f>_xlfn.XLOOKUP(A1079,[1]!brca_metabric_clinical_data__2[Patient ID], [1]!brca_metabric_clinical_data__2[Tumor Size])</f>
        <v>30</v>
      </c>
      <c r="O1079" t="str">
        <f>_xlfn.XLOOKUP(A1079,[1]!brca_metabric_clinical_data__2[Sample ID],[1]!brca_metabric_clinical_data__2[Tumor Stage])</f>
        <v>3</v>
      </c>
    </row>
    <row r="1080" spans="1:15" x14ac:dyDescent="0.45">
      <c r="A1080" t="s">
        <v>1115</v>
      </c>
      <c r="B1080">
        <v>42.45</v>
      </c>
      <c r="C1080" t="s">
        <v>16</v>
      </c>
      <c r="D1080" t="s">
        <v>26</v>
      </c>
      <c r="E1080" t="s">
        <v>18</v>
      </c>
      <c r="F1080" t="s">
        <v>19</v>
      </c>
      <c r="G1080" t="s">
        <v>20</v>
      </c>
      <c r="H1080" t="s">
        <v>20</v>
      </c>
      <c r="I1080" t="s">
        <v>21</v>
      </c>
      <c r="J1080" t="s">
        <v>22</v>
      </c>
      <c r="K1080" t="s">
        <v>23</v>
      </c>
      <c r="L1080">
        <v>150.6</v>
      </c>
      <c r="M1080" t="s">
        <v>30</v>
      </c>
      <c r="N1080" t="str">
        <f>_xlfn.XLOOKUP(A1080,[1]!brca_metabric_clinical_data__2[Patient ID], [1]!brca_metabric_clinical_data__2[Tumor Size])</f>
        <v>28</v>
      </c>
      <c r="O1080" t="str">
        <f>_xlfn.XLOOKUP(A1080,[1]!brca_metabric_clinical_data__2[Sample ID],[1]!brca_metabric_clinical_data__2[Tumor Stage])</f>
        <v>2</v>
      </c>
    </row>
    <row r="1081" spans="1:15" x14ac:dyDescent="0.45">
      <c r="A1081" t="s">
        <v>1116</v>
      </c>
      <c r="B1081">
        <v>79.349999999999994</v>
      </c>
      <c r="C1081" t="s">
        <v>16</v>
      </c>
      <c r="D1081" t="s">
        <v>17</v>
      </c>
      <c r="E1081" t="s">
        <v>18</v>
      </c>
      <c r="F1081" t="s">
        <v>43</v>
      </c>
      <c r="G1081" t="s">
        <v>20</v>
      </c>
      <c r="H1081" t="s">
        <v>20</v>
      </c>
      <c r="I1081" t="s">
        <v>20</v>
      </c>
      <c r="J1081" t="s">
        <v>27</v>
      </c>
      <c r="K1081">
        <v>5</v>
      </c>
      <c r="L1081">
        <v>22.466666666666701</v>
      </c>
      <c r="M1081" t="s">
        <v>30</v>
      </c>
      <c r="N1081" t="str">
        <f>_xlfn.XLOOKUP(A1081,[1]!brca_metabric_clinical_data__2[Patient ID], [1]!brca_metabric_clinical_data__2[Tumor Size])</f>
        <v>25</v>
      </c>
      <c r="O1081" t="str">
        <f>_xlfn.XLOOKUP(A1081,[1]!brca_metabric_clinical_data__2[Sample ID],[1]!brca_metabric_clinical_data__2[Tumor Stage])</f>
        <v>2</v>
      </c>
    </row>
    <row r="1082" spans="1:15" x14ac:dyDescent="0.45">
      <c r="A1082" t="s">
        <v>1117</v>
      </c>
      <c r="B1082">
        <v>49.34</v>
      </c>
      <c r="C1082" t="s">
        <v>16</v>
      </c>
      <c r="D1082" t="s">
        <v>26</v>
      </c>
      <c r="F1082" t="s">
        <v>43</v>
      </c>
      <c r="G1082" t="s">
        <v>20</v>
      </c>
      <c r="H1082" t="s">
        <v>20</v>
      </c>
      <c r="I1082" t="s">
        <v>21</v>
      </c>
      <c r="J1082" t="s">
        <v>45</v>
      </c>
      <c r="K1082">
        <v>5</v>
      </c>
      <c r="L1082">
        <v>79.966666666666697</v>
      </c>
      <c r="M1082" t="s">
        <v>30</v>
      </c>
      <c r="N1082" t="str">
        <f>_xlfn.XLOOKUP(A1082,[1]!brca_metabric_clinical_data__2[Patient ID], [1]!brca_metabric_clinical_data__2[Tumor Size])</f>
        <v>18</v>
      </c>
      <c r="O1082" t="str">
        <f>_xlfn.XLOOKUP(A1082,[1]!brca_metabric_clinical_data__2[Sample ID],[1]!brca_metabric_clinical_data__2[Tumor Stage])</f>
        <v>1</v>
      </c>
    </row>
    <row r="1083" spans="1:15" x14ac:dyDescent="0.45">
      <c r="A1083" t="s">
        <v>1118</v>
      </c>
      <c r="B1083">
        <v>69.680000000000007</v>
      </c>
      <c r="C1083" t="s">
        <v>16</v>
      </c>
      <c r="D1083" t="s">
        <v>17</v>
      </c>
      <c r="F1083" t="s">
        <v>19</v>
      </c>
      <c r="G1083" t="s">
        <v>20</v>
      </c>
      <c r="H1083" t="s">
        <v>20</v>
      </c>
      <c r="I1083" t="s">
        <v>20</v>
      </c>
      <c r="J1083" t="s">
        <v>58</v>
      </c>
      <c r="K1083">
        <v>9</v>
      </c>
      <c r="L1083">
        <v>210.96666666666701</v>
      </c>
      <c r="M1083" t="s">
        <v>24</v>
      </c>
      <c r="N1083" t="str">
        <f>_xlfn.XLOOKUP(A1083,[1]!brca_metabric_clinical_data__2[Patient ID], [1]!brca_metabric_clinical_data__2[Tumor Size])</f>
        <v>27</v>
      </c>
      <c r="O1083" t="str">
        <f>_xlfn.XLOOKUP(A1083,[1]!brca_metabric_clinical_data__2[Sample ID],[1]!brca_metabric_clinical_data__2[Tumor Stage])</f>
        <v>2</v>
      </c>
    </row>
    <row r="1084" spans="1:15" x14ac:dyDescent="0.45">
      <c r="A1084" t="s">
        <v>1119</v>
      </c>
      <c r="B1084">
        <v>37.049999999999997</v>
      </c>
      <c r="C1084" t="s">
        <v>16</v>
      </c>
      <c r="D1084" t="s">
        <v>26</v>
      </c>
      <c r="E1084" t="s">
        <v>37</v>
      </c>
      <c r="F1084" t="s">
        <v>19</v>
      </c>
      <c r="G1084" t="s">
        <v>20</v>
      </c>
      <c r="H1084" t="s">
        <v>20</v>
      </c>
      <c r="I1084" t="s">
        <v>21</v>
      </c>
      <c r="J1084" t="s">
        <v>58</v>
      </c>
      <c r="K1084">
        <v>10</v>
      </c>
      <c r="L1084">
        <v>274.2</v>
      </c>
      <c r="M1084" t="s">
        <v>24</v>
      </c>
      <c r="N1084" t="str">
        <f>_xlfn.XLOOKUP(A1084,[1]!brca_metabric_clinical_data__2[Patient ID], [1]!brca_metabric_clinical_data__2[Tumor Size])</f>
        <v>35</v>
      </c>
      <c r="O1084" t="str">
        <f>_xlfn.XLOOKUP(A1084,[1]!brca_metabric_clinical_data__2[Sample ID],[1]!brca_metabric_clinical_data__2[Tumor Stage])</f>
        <v>NA</v>
      </c>
    </row>
    <row r="1085" spans="1:15" x14ac:dyDescent="0.45">
      <c r="A1085" t="s">
        <v>1120</v>
      </c>
      <c r="B1085">
        <v>76.709999999999994</v>
      </c>
      <c r="C1085" t="s">
        <v>16</v>
      </c>
      <c r="D1085" t="s">
        <v>17</v>
      </c>
      <c r="F1085" t="s">
        <v>19</v>
      </c>
      <c r="G1085" t="s">
        <v>20</v>
      </c>
      <c r="H1085" t="s">
        <v>20</v>
      </c>
      <c r="I1085" t="s">
        <v>20</v>
      </c>
      <c r="J1085" t="s">
        <v>27</v>
      </c>
      <c r="K1085">
        <v>3</v>
      </c>
      <c r="L1085">
        <v>266.10000000000002</v>
      </c>
      <c r="M1085" t="s">
        <v>30</v>
      </c>
      <c r="N1085" t="str">
        <f>_xlfn.XLOOKUP(A1085,[1]!brca_metabric_clinical_data__2[Patient ID], [1]!brca_metabric_clinical_data__2[Tumor Size])</f>
        <v>7</v>
      </c>
      <c r="O1085" t="str">
        <f>_xlfn.XLOOKUP(A1085,[1]!brca_metabric_clinical_data__2[Sample ID],[1]!brca_metabric_clinical_data__2[Tumor Stage])</f>
        <v>1</v>
      </c>
    </row>
    <row r="1086" spans="1:15" x14ac:dyDescent="0.45">
      <c r="A1086" t="s">
        <v>1121</v>
      </c>
      <c r="B1086">
        <v>57.93</v>
      </c>
      <c r="C1086" t="s">
        <v>16</v>
      </c>
      <c r="D1086" t="s">
        <v>17</v>
      </c>
      <c r="F1086" t="s">
        <v>19</v>
      </c>
      <c r="G1086" t="s">
        <v>20</v>
      </c>
      <c r="H1086" t="s">
        <v>20</v>
      </c>
      <c r="I1086" t="s">
        <v>21</v>
      </c>
      <c r="J1086" t="s">
        <v>27</v>
      </c>
      <c r="K1086">
        <v>7</v>
      </c>
      <c r="L1086">
        <v>268.89999999999998</v>
      </c>
      <c r="M1086" t="s">
        <v>24</v>
      </c>
      <c r="N1086" t="str">
        <f>_xlfn.XLOOKUP(A1086,[1]!brca_metabric_clinical_data__2[Patient ID], [1]!brca_metabric_clinical_data__2[Tumor Size])</f>
        <v>20</v>
      </c>
      <c r="O1086" t="str">
        <f>_xlfn.XLOOKUP(A1086,[1]!brca_metabric_clinical_data__2[Sample ID],[1]!brca_metabric_clinical_data__2[Tumor Stage])</f>
        <v>1</v>
      </c>
    </row>
    <row r="1087" spans="1:15" x14ac:dyDescent="0.45">
      <c r="A1087" t="s">
        <v>1122</v>
      </c>
      <c r="B1087">
        <v>43.42</v>
      </c>
      <c r="C1087" t="s">
        <v>16</v>
      </c>
      <c r="D1087" t="s">
        <v>26</v>
      </c>
      <c r="E1087" t="s">
        <v>37</v>
      </c>
      <c r="F1087" t="s">
        <v>43</v>
      </c>
      <c r="G1087" t="s">
        <v>21</v>
      </c>
      <c r="H1087" t="s">
        <v>20</v>
      </c>
      <c r="I1087" t="s">
        <v>20</v>
      </c>
      <c r="J1087" t="s">
        <v>45</v>
      </c>
      <c r="K1087">
        <v>5</v>
      </c>
      <c r="L1087">
        <v>48.1666666666667</v>
      </c>
      <c r="M1087" t="s">
        <v>30</v>
      </c>
      <c r="N1087" t="str">
        <f>_xlfn.XLOOKUP(A1087,[1]!brca_metabric_clinical_data__2[Patient ID], [1]!brca_metabric_clinical_data__2[Tumor Size])</f>
        <v>45</v>
      </c>
      <c r="O1087" t="str">
        <f>_xlfn.XLOOKUP(A1087,[1]!brca_metabric_clinical_data__2[Sample ID],[1]!brca_metabric_clinical_data__2[Tumor Stage])</f>
        <v>2</v>
      </c>
    </row>
    <row r="1088" spans="1:15" x14ac:dyDescent="0.45">
      <c r="A1088" t="s">
        <v>1123</v>
      </c>
      <c r="B1088">
        <v>52.09</v>
      </c>
      <c r="C1088" t="s">
        <v>16</v>
      </c>
      <c r="D1088" t="s">
        <v>17</v>
      </c>
      <c r="E1088" t="s">
        <v>18</v>
      </c>
      <c r="F1088" t="s">
        <v>43</v>
      </c>
      <c r="G1088" t="s">
        <v>20</v>
      </c>
      <c r="H1088" t="s">
        <v>21</v>
      </c>
      <c r="I1088" t="s">
        <v>20</v>
      </c>
      <c r="J1088" t="s">
        <v>38</v>
      </c>
      <c r="K1088" t="s">
        <v>23</v>
      </c>
      <c r="L1088">
        <v>35.4</v>
      </c>
      <c r="M1088" t="s">
        <v>30</v>
      </c>
      <c r="N1088" t="str">
        <f>_xlfn.XLOOKUP(A1088,[1]!brca_metabric_clinical_data__2[Patient ID], [1]!brca_metabric_clinical_data__2[Tumor Size])</f>
        <v>33</v>
      </c>
      <c r="O1088" t="str">
        <f>_xlfn.XLOOKUP(A1088,[1]!brca_metabric_clinical_data__2[Sample ID],[1]!brca_metabric_clinical_data__2[Tumor Stage])</f>
        <v>2</v>
      </c>
    </row>
    <row r="1089" spans="1:15" x14ac:dyDescent="0.45">
      <c r="A1089" t="s">
        <v>1124</v>
      </c>
      <c r="B1089">
        <v>63.95</v>
      </c>
      <c r="C1089" t="s">
        <v>16</v>
      </c>
      <c r="D1089" t="s">
        <v>17</v>
      </c>
      <c r="E1089" t="s">
        <v>37</v>
      </c>
      <c r="F1089" t="s">
        <v>19</v>
      </c>
      <c r="G1089" t="s">
        <v>20</v>
      </c>
      <c r="H1089" t="s">
        <v>20</v>
      </c>
      <c r="I1089" t="s">
        <v>21</v>
      </c>
      <c r="J1089" t="s">
        <v>22</v>
      </c>
      <c r="K1089" t="s">
        <v>39</v>
      </c>
      <c r="L1089">
        <v>230.5</v>
      </c>
      <c r="M1089" t="s">
        <v>24</v>
      </c>
      <c r="N1089" t="str">
        <f>_xlfn.XLOOKUP(A1089,[1]!brca_metabric_clinical_data__2[Patient ID], [1]!brca_metabric_clinical_data__2[Tumor Size])</f>
        <v>16</v>
      </c>
      <c r="O1089" t="str">
        <f>_xlfn.XLOOKUP(A1089,[1]!brca_metabric_clinical_data__2[Sample ID],[1]!brca_metabric_clinical_data__2[Tumor Stage])</f>
        <v>1</v>
      </c>
    </row>
    <row r="1090" spans="1:15" x14ac:dyDescent="0.45">
      <c r="A1090" t="s">
        <v>1125</v>
      </c>
      <c r="B1090">
        <v>33.04</v>
      </c>
      <c r="C1090" t="s">
        <v>16</v>
      </c>
      <c r="D1090" t="s">
        <v>26</v>
      </c>
      <c r="E1090" t="s">
        <v>37</v>
      </c>
      <c r="F1090" t="s">
        <v>19</v>
      </c>
      <c r="G1090" t="s">
        <v>21</v>
      </c>
      <c r="H1090" t="s">
        <v>20</v>
      </c>
      <c r="I1090" t="s">
        <v>20</v>
      </c>
      <c r="J1090" t="s">
        <v>22</v>
      </c>
      <c r="K1090">
        <v>10</v>
      </c>
      <c r="L1090">
        <v>176.7</v>
      </c>
      <c r="M1090" t="s">
        <v>24</v>
      </c>
      <c r="N1090" t="str">
        <f>_xlfn.XLOOKUP(A1090,[1]!brca_metabric_clinical_data__2[Patient ID], [1]!brca_metabric_clinical_data__2[Tumor Size])</f>
        <v>20</v>
      </c>
      <c r="O1090" t="str">
        <f>_xlfn.XLOOKUP(A1090,[1]!brca_metabric_clinical_data__2[Sample ID],[1]!brca_metabric_clinical_data__2[Tumor Stage])</f>
        <v>2</v>
      </c>
    </row>
    <row r="1091" spans="1:15" x14ac:dyDescent="0.45">
      <c r="A1091" t="s">
        <v>1126</v>
      </c>
      <c r="B1091">
        <v>47.71</v>
      </c>
      <c r="C1091" t="s">
        <v>16</v>
      </c>
      <c r="D1091" t="s">
        <v>26</v>
      </c>
      <c r="E1091" t="s">
        <v>18</v>
      </c>
      <c r="F1091" t="s">
        <v>19</v>
      </c>
      <c r="G1091" t="s">
        <v>20</v>
      </c>
      <c r="H1091" t="s">
        <v>20</v>
      </c>
      <c r="I1091" t="s">
        <v>20</v>
      </c>
      <c r="J1091" t="s">
        <v>27</v>
      </c>
      <c r="K1091">
        <v>8</v>
      </c>
      <c r="L1091">
        <v>232.4</v>
      </c>
      <c r="M1091" t="s">
        <v>24</v>
      </c>
      <c r="N1091" t="str">
        <f>_xlfn.XLOOKUP(A1091,[1]!brca_metabric_clinical_data__2[Patient ID], [1]!brca_metabric_clinical_data__2[Tumor Size])</f>
        <v>35</v>
      </c>
      <c r="O1091" t="str">
        <f>_xlfn.XLOOKUP(A1091,[1]!brca_metabric_clinical_data__2[Sample ID],[1]!brca_metabric_clinical_data__2[Tumor Stage])</f>
        <v>2</v>
      </c>
    </row>
    <row r="1092" spans="1:15" x14ac:dyDescent="0.45">
      <c r="A1092" t="s">
        <v>1127</v>
      </c>
      <c r="B1092">
        <v>41.53</v>
      </c>
      <c r="C1092" t="s">
        <v>16</v>
      </c>
      <c r="D1092" t="s">
        <v>26</v>
      </c>
      <c r="E1092" t="s">
        <v>37</v>
      </c>
      <c r="F1092" t="s">
        <v>43</v>
      </c>
      <c r="G1092" t="s">
        <v>20</v>
      </c>
      <c r="H1092" t="s">
        <v>20</v>
      </c>
      <c r="I1092" t="s">
        <v>20</v>
      </c>
      <c r="J1092" t="s">
        <v>58</v>
      </c>
      <c r="K1092">
        <v>5</v>
      </c>
      <c r="L1092">
        <v>64.866666666666703</v>
      </c>
      <c r="M1092" t="s">
        <v>30</v>
      </c>
      <c r="N1092" t="str">
        <f>_xlfn.XLOOKUP(A1092,[1]!brca_metabric_clinical_data__2[Patient ID], [1]!brca_metabric_clinical_data__2[Tumor Size])</f>
        <v>30</v>
      </c>
      <c r="O1092" t="str">
        <f>_xlfn.XLOOKUP(A1092,[1]!brca_metabric_clinical_data__2[Sample ID],[1]!brca_metabric_clinical_data__2[Tumor Stage])</f>
        <v>2</v>
      </c>
    </row>
    <row r="1093" spans="1:15" x14ac:dyDescent="0.45">
      <c r="A1093" t="s">
        <v>1128</v>
      </c>
      <c r="B1093">
        <v>40.04</v>
      </c>
      <c r="C1093" t="s">
        <v>16</v>
      </c>
      <c r="D1093" t="s">
        <v>26</v>
      </c>
      <c r="E1093" t="s">
        <v>18</v>
      </c>
      <c r="F1093" t="s">
        <v>19</v>
      </c>
      <c r="G1093" t="s">
        <v>20</v>
      </c>
      <c r="H1093" t="s">
        <v>20</v>
      </c>
      <c r="I1093" t="s">
        <v>20</v>
      </c>
      <c r="J1093" t="s">
        <v>38</v>
      </c>
      <c r="K1093" t="s">
        <v>23</v>
      </c>
      <c r="L1093">
        <v>197.433333333333</v>
      </c>
      <c r="M1093" t="s">
        <v>24</v>
      </c>
      <c r="N1093" t="str">
        <f>_xlfn.XLOOKUP(A1093,[1]!brca_metabric_clinical_data__2[Patient ID], [1]!brca_metabric_clinical_data__2[Tumor Size])</f>
        <v>1</v>
      </c>
      <c r="O1093" t="str">
        <f>_xlfn.XLOOKUP(A1093,[1]!brca_metabric_clinical_data__2[Sample ID],[1]!brca_metabric_clinical_data__2[Tumor Stage])</f>
        <v>1</v>
      </c>
    </row>
    <row r="1094" spans="1:15" x14ac:dyDescent="0.45">
      <c r="A1094" t="s">
        <v>1129</v>
      </c>
      <c r="B1094">
        <v>63.63</v>
      </c>
      <c r="C1094" t="s">
        <v>16</v>
      </c>
      <c r="D1094" t="s">
        <v>17</v>
      </c>
      <c r="E1094" t="s">
        <v>18</v>
      </c>
      <c r="F1094" t="s">
        <v>19</v>
      </c>
      <c r="G1094" t="s">
        <v>20</v>
      </c>
      <c r="H1094" t="s">
        <v>20</v>
      </c>
      <c r="I1094" t="s">
        <v>21</v>
      </c>
      <c r="J1094" t="s">
        <v>27</v>
      </c>
      <c r="K1094">
        <v>7</v>
      </c>
      <c r="L1094">
        <v>117.9</v>
      </c>
      <c r="M1094" t="s">
        <v>30</v>
      </c>
      <c r="N1094" t="str">
        <f>_xlfn.XLOOKUP(A1094,[1]!brca_metabric_clinical_data__2[Patient ID], [1]!brca_metabric_clinical_data__2[Tumor Size])</f>
        <v>10</v>
      </c>
      <c r="O1094" t="str">
        <f>_xlfn.XLOOKUP(A1094,[1]!brca_metabric_clinical_data__2[Sample ID],[1]!brca_metabric_clinical_data__2[Tumor Stage])</f>
        <v>NA</v>
      </c>
    </row>
    <row r="1095" spans="1:15" x14ac:dyDescent="0.45">
      <c r="A1095" t="s">
        <v>1130</v>
      </c>
      <c r="B1095">
        <v>40.25</v>
      </c>
      <c r="C1095" t="s">
        <v>16</v>
      </c>
      <c r="D1095" t="s">
        <v>26</v>
      </c>
      <c r="E1095" t="s">
        <v>18</v>
      </c>
      <c r="F1095" t="s">
        <v>19</v>
      </c>
      <c r="G1095" t="s">
        <v>20</v>
      </c>
      <c r="H1095" t="s">
        <v>20</v>
      </c>
      <c r="I1095" t="s">
        <v>21</v>
      </c>
      <c r="J1095" t="s">
        <v>27</v>
      </c>
      <c r="K1095">
        <v>3</v>
      </c>
      <c r="L1095">
        <v>275.73333333333301</v>
      </c>
      <c r="M1095" t="s">
        <v>24</v>
      </c>
      <c r="N1095" t="str">
        <f>_xlfn.XLOOKUP(A1095,[1]!brca_metabric_clinical_data__2[Patient ID], [1]!brca_metabric_clinical_data__2[Tumor Size])</f>
        <v>20</v>
      </c>
      <c r="O1095" t="str">
        <f>_xlfn.XLOOKUP(A1095,[1]!brca_metabric_clinical_data__2[Sample ID],[1]!brca_metabric_clinical_data__2[Tumor Stage])</f>
        <v>1</v>
      </c>
    </row>
    <row r="1096" spans="1:15" x14ac:dyDescent="0.45">
      <c r="A1096" t="s">
        <v>1131</v>
      </c>
      <c r="B1096">
        <v>47.61</v>
      </c>
      <c r="C1096" t="s">
        <v>16</v>
      </c>
      <c r="D1096" t="s">
        <v>26</v>
      </c>
      <c r="E1096" t="s">
        <v>18</v>
      </c>
      <c r="F1096" t="s">
        <v>19</v>
      </c>
      <c r="G1096" t="s">
        <v>20</v>
      </c>
      <c r="H1096" t="s">
        <v>21</v>
      </c>
      <c r="I1096" t="s">
        <v>20</v>
      </c>
      <c r="J1096" t="s">
        <v>29</v>
      </c>
      <c r="K1096">
        <v>6</v>
      </c>
      <c r="L1096">
        <v>224.6</v>
      </c>
      <c r="M1096" t="s">
        <v>24</v>
      </c>
      <c r="N1096" t="str">
        <f>_xlfn.XLOOKUP(A1096,[1]!brca_metabric_clinical_data__2[Patient ID], [1]!brca_metabric_clinical_data__2[Tumor Size])</f>
        <v>18</v>
      </c>
      <c r="O1096" t="str">
        <f>_xlfn.XLOOKUP(A1096,[1]!brca_metabric_clinical_data__2[Sample ID],[1]!brca_metabric_clinical_data__2[Tumor Stage])</f>
        <v>1</v>
      </c>
    </row>
    <row r="1097" spans="1:15" x14ac:dyDescent="0.45">
      <c r="A1097" t="s">
        <v>1132</v>
      </c>
      <c r="B1097">
        <v>64.3</v>
      </c>
      <c r="C1097" t="s">
        <v>16</v>
      </c>
      <c r="D1097" t="s">
        <v>17</v>
      </c>
      <c r="E1097" t="s">
        <v>37</v>
      </c>
      <c r="F1097" t="s">
        <v>43</v>
      </c>
      <c r="G1097" t="s">
        <v>21</v>
      </c>
      <c r="H1097" t="s">
        <v>20</v>
      </c>
      <c r="I1097" t="s">
        <v>21</v>
      </c>
      <c r="J1097" t="s">
        <v>22</v>
      </c>
      <c r="K1097">
        <v>5</v>
      </c>
      <c r="L1097">
        <v>129.23333333333301</v>
      </c>
      <c r="M1097" t="s">
        <v>30</v>
      </c>
      <c r="N1097" t="str">
        <f>_xlfn.XLOOKUP(A1097,[1]!brca_metabric_clinical_data__2[Patient ID], [1]!brca_metabric_clinical_data__2[Tumor Size])</f>
        <v>NA</v>
      </c>
      <c r="O1097" t="str">
        <f>_xlfn.XLOOKUP(A1097,[1]!brca_metabric_clinical_data__2[Sample ID],[1]!brca_metabric_clinical_data__2[Tumor Stage])</f>
        <v>3</v>
      </c>
    </row>
    <row r="1098" spans="1:15" x14ac:dyDescent="0.45">
      <c r="A1098" t="s">
        <v>1133</v>
      </c>
      <c r="B1098">
        <v>73.03</v>
      </c>
      <c r="C1098" t="s">
        <v>16</v>
      </c>
      <c r="D1098" t="s">
        <v>17</v>
      </c>
      <c r="E1098" t="s">
        <v>18</v>
      </c>
      <c r="F1098" t="s">
        <v>19</v>
      </c>
      <c r="G1098" t="s">
        <v>20</v>
      </c>
      <c r="H1098" t="s">
        <v>21</v>
      </c>
      <c r="I1098" t="s">
        <v>20</v>
      </c>
      <c r="J1098" t="s">
        <v>27</v>
      </c>
      <c r="K1098">
        <v>9</v>
      </c>
      <c r="L1098">
        <v>233.86666666666699</v>
      </c>
      <c r="M1098" t="s">
        <v>30</v>
      </c>
      <c r="N1098" t="str">
        <f>_xlfn.XLOOKUP(A1098,[1]!brca_metabric_clinical_data__2[Patient ID], [1]!brca_metabric_clinical_data__2[Tumor Size])</f>
        <v>26</v>
      </c>
      <c r="O1098" t="str">
        <f>_xlfn.XLOOKUP(A1098,[1]!brca_metabric_clinical_data__2[Sample ID],[1]!brca_metabric_clinical_data__2[Tumor Stage])</f>
        <v>2</v>
      </c>
    </row>
    <row r="1099" spans="1:15" x14ac:dyDescent="0.45">
      <c r="A1099" t="s">
        <v>1134</v>
      </c>
      <c r="B1099">
        <v>69.87</v>
      </c>
      <c r="C1099" t="s">
        <v>16</v>
      </c>
      <c r="D1099" t="s">
        <v>17</v>
      </c>
      <c r="E1099" t="s">
        <v>18</v>
      </c>
      <c r="F1099" t="s">
        <v>43</v>
      </c>
      <c r="G1099" t="s">
        <v>20</v>
      </c>
      <c r="H1099" t="s">
        <v>21</v>
      </c>
      <c r="I1099" t="s">
        <v>21</v>
      </c>
      <c r="J1099" t="s">
        <v>29</v>
      </c>
      <c r="K1099">
        <v>5</v>
      </c>
      <c r="L1099">
        <v>47.9</v>
      </c>
      <c r="M1099" t="s">
        <v>30</v>
      </c>
      <c r="N1099" t="str">
        <f>_xlfn.XLOOKUP(A1099,[1]!brca_metabric_clinical_data__2[Patient ID], [1]!brca_metabric_clinical_data__2[Tumor Size])</f>
        <v>40</v>
      </c>
      <c r="O1099" t="str">
        <f>_xlfn.XLOOKUP(A1099,[1]!brca_metabric_clinical_data__2[Sample ID],[1]!brca_metabric_clinical_data__2[Tumor Stage])</f>
        <v>2</v>
      </c>
    </row>
    <row r="1100" spans="1:15" x14ac:dyDescent="0.45">
      <c r="A1100" t="s">
        <v>1135</v>
      </c>
      <c r="B1100">
        <v>43.51</v>
      </c>
      <c r="C1100" t="s">
        <v>16</v>
      </c>
      <c r="D1100" t="s">
        <v>26</v>
      </c>
      <c r="E1100" t="s">
        <v>37</v>
      </c>
      <c r="F1100" t="s">
        <v>19</v>
      </c>
      <c r="G1100" t="s">
        <v>21</v>
      </c>
      <c r="H1100" t="s">
        <v>20</v>
      </c>
      <c r="I1100" t="s">
        <v>21</v>
      </c>
      <c r="J1100" t="s">
        <v>58</v>
      </c>
      <c r="K1100">
        <v>10</v>
      </c>
      <c r="L1100">
        <v>31.433333333333302</v>
      </c>
      <c r="M1100" t="s">
        <v>30</v>
      </c>
      <c r="N1100" t="str">
        <f>_xlfn.XLOOKUP(A1100,[1]!brca_metabric_clinical_data__2[Patient ID], [1]!brca_metabric_clinical_data__2[Tumor Size])</f>
        <v>15</v>
      </c>
      <c r="O1100" t="str">
        <f>_xlfn.XLOOKUP(A1100,[1]!brca_metabric_clinical_data__2[Sample ID],[1]!brca_metabric_clinical_data__2[Tumor Stage])</f>
        <v>2</v>
      </c>
    </row>
    <row r="1101" spans="1:15" x14ac:dyDescent="0.45">
      <c r="A1101" t="s">
        <v>1136</v>
      </c>
      <c r="B1101">
        <v>78.19</v>
      </c>
      <c r="C1101" t="s">
        <v>16</v>
      </c>
      <c r="D1101" t="s">
        <v>17</v>
      </c>
      <c r="E1101" t="s">
        <v>18</v>
      </c>
      <c r="F1101" t="s">
        <v>19</v>
      </c>
      <c r="G1101" t="s">
        <v>20</v>
      </c>
      <c r="H1101" t="s">
        <v>21</v>
      </c>
      <c r="I1101" t="s">
        <v>21</v>
      </c>
      <c r="J1101" t="s">
        <v>29</v>
      </c>
      <c r="K1101">
        <v>8</v>
      </c>
      <c r="L1101">
        <v>50</v>
      </c>
      <c r="M1101" t="s">
        <v>30</v>
      </c>
      <c r="N1101" t="str">
        <f>_xlfn.XLOOKUP(A1101,[1]!brca_metabric_clinical_data__2[Patient ID], [1]!brca_metabric_clinical_data__2[Tumor Size])</f>
        <v>28</v>
      </c>
      <c r="O1101" t="str">
        <f>_xlfn.XLOOKUP(A1101,[1]!brca_metabric_clinical_data__2[Sample ID],[1]!brca_metabric_clinical_data__2[Tumor Stage])</f>
        <v>2</v>
      </c>
    </row>
    <row r="1102" spans="1:15" x14ac:dyDescent="0.45">
      <c r="A1102" t="s">
        <v>1137</v>
      </c>
      <c r="B1102">
        <v>76.540000000000006</v>
      </c>
      <c r="C1102" t="s">
        <v>16</v>
      </c>
      <c r="D1102" t="s">
        <v>17</v>
      </c>
      <c r="E1102" t="s">
        <v>18</v>
      </c>
      <c r="F1102" t="s">
        <v>19</v>
      </c>
      <c r="G1102" t="s">
        <v>20</v>
      </c>
      <c r="H1102" t="s">
        <v>21</v>
      </c>
      <c r="I1102" t="s">
        <v>20</v>
      </c>
      <c r="J1102" t="s">
        <v>29</v>
      </c>
      <c r="K1102">
        <v>7</v>
      </c>
      <c r="L1102">
        <v>102.76666666666701</v>
      </c>
      <c r="M1102" t="s">
        <v>30</v>
      </c>
      <c r="N1102" t="str">
        <f>_xlfn.XLOOKUP(A1102,[1]!brca_metabric_clinical_data__2[Patient ID], [1]!brca_metabric_clinical_data__2[Tumor Size])</f>
        <v>25</v>
      </c>
      <c r="O1102" t="str">
        <f>_xlfn.XLOOKUP(A1102,[1]!brca_metabric_clinical_data__2[Sample ID],[1]!brca_metabric_clinical_data__2[Tumor Stage])</f>
        <v>2</v>
      </c>
    </row>
    <row r="1103" spans="1:15" x14ac:dyDescent="0.45">
      <c r="A1103" t="s">
        <v>1138</v>
      </c>
      <c r="B1103">
        <v>75.2</v>
      </c>
      <c r="C1103" t="s">
        <v>16</v>
      </c>
      <c r="D1103" t="s">
        <v>17</v>
      </c>
      <c r="E1103" t="s">
        <v>18</v>
      </c>
      <c r="F1103" t="s">
        <v>43</v>
      </c>
      <c r="G1103" t="s">
        <v>20</v>
      </c>
      <c r="H1103" t="s">
        <v>21</v>
      </c>
      <c r="I1103" t="s">
        <v>20</v>
      </c>
      <c r="J1103" t="s">
        <v>45</v>
      </c>
      <c r="K1103">
        <v>5</v>
      </c>
      <c r="L1103">
        <v>220.03333333333299</v>
      </c>
      <c r="M1103" t="s">
        <v>24</v>
      </c>
      <c r="N1103" t="str">
        <f>_xlfn.XLOOKUP(A1103,[1]!brca_metabric_clinical_data__2[Patient ID], [1]!brca_metabric_clinical_data__2[Tumor Size])</f>
        <v>22</v>
      </c>
      <c r="O1103" t="str">
        <f>_xlfn.XLOOKUP(A1103,[1]!brca_metabric_clinical_data__2[Sample ID],[1]!brca_metabric_clinical_data__2[Tumor Stage])</f>
        <v>2</v>
      </c>
    </row>
    <row r="1104" spans="1:15" x14ac:dyDescent="0.45">
      <c r="A1104" t="s">
        <v>1139</v>
      </c>
      <c r="B1104">
        <v>59.49</v>
      </c>
      <c r="C1104" t="s">
        <v>16</v>
      </c>
      <c r="D1104" t="s">
        <v>17</v>
      </c>
      <c r="E1104" t="s">
        <v>18</v>
      </c>
      <c r="F1104" t="s">
        <v>43</v>
      </c>
      <c r="G1104" t="s">
        <v>20</v>
      </c>
      <c r="H1104" t="s">
        <v>21</v>
      </c>
      <c r="I1104" t="s">
        <v>21</v>
      </c>
      <c r="J1104" t="s">
        <v>45</v>
      </c>
      <c r="K1104">
        <v>5</v>
      </c>
      <c r="L1104">
        <v>40</v>
      </c>
      <c r="M1104" t="s">
        <v>30</v>
      </c>
      <c r="N1104" t="str">
        <f>_xlfn.XLOOKUP(A1104,[1]!brca_metabric_clinical_data__2[Patient ID], [1]!brca_metabric_clinical_data__2[Tumor Size])</f>
        <v>26</v>
      </c>
      <c r="O1104" t="str">
        <f>_xlfn.XLOOKUP(A1104,[1]!brca_metabric_clinical_data__2[Sample ID],[1]!brca_metabric_clinical_data__2[Tumor Stage])</f>
        <v>2</v>
      </c>
    </row>
    <row r="1105" spans="1:15" x14ac:dyDescent="0.45">
      <c r="A1105" t="s">
        <v>1140</v>
      </c>
      <c r="B1105">
        <v>62.43</v>
      </c>
      <c r="C1105" t="s">
        <v>16</v>
      </c>
      <c r="D1105" t="s">
        <v>17</v>
      </c>
      <c r="E1105" t="s">
        <v>18</v>
      </c>
      <c r="F1105" t="s">
        <v>43</v>
      </c>
      <c r="G1105" t="s">
        <v>20</v>
      </c>
      <c r="H1105" t="s">
        <v>21</v>
      </c>
      <c r="I1105" t="s">
        <v>21</v>
      </c>
      <c r="J1105" t="s">
        <v>29</v>
      </c>
      <c r="K1105">
        <v>9</v>
      </c>
      <c r="L1105">
        <v>58.433333333333302</v>
      </c>
      <c r="M1105" t="s">
        <v>24</v>
      </c>
      <c r="N1105" t="str">
        <f>_xlfn.XLOOKUP(A1105,[1]!brca_metabric_clinical_data__2[Patient ID], [1]!brca_metabric_clinical_data__2[Tumor Size])</f>
        <v>30</v>
      </c>
      <c r="O1105" t="str">
        <f>_xlfn.XLOOKUP(A1105,[1]!brca_metabric_clinical_data__2[Sample ID],[1]!brca_metabric_clinical_data__2[Tumor Stage])</f>
        <v>2</v>
      </c>
    </row>
    <row r="1106" spans="1:15" x14ac:dyDescent="0.45">
      <c r="A1106" t="s">
        <v>1141</v>
      </c>
      <c r="B1106">
        <v>58.39</v>
      </c>
      <c r="C1106" t="s">
        <v>16</v>
      </c>
      <c r="D1106" t="s">
        <v>17</v>
      </c>
      <c r="E1106" t="s">
        <v>37</v>
      </c>
      <c r="F1106" t="s">
        <v>19</v>
      </c>
      <c r="G1106" t="s">
        <v>20</v>
      </c>
      <c r="H1106" t="s">
        <v>21</v>
      </c>
      <c r="I1106" t="s">
        <v>20</v>
      </c>
      <c r="J1106" t="s">
        <v>22</v>
      </c>
      <c r="K1106">
        <v>10</v>
      </c>
      <c r="L1106">
        <v>30.366666666666699</v>
      </c>
      <c r="M1106" t="s">
        <v>30</v>
      </c>
      <c r="N1106" t="str">
        <f>_xlfn.XLOOKUP(A1106,[1]!brca_metabric_clinical_data__2[Patient ID], [1]!brca_metabric_clinical_data__2[Tumor Size])</f>
        <v>30</v>
      </c>
      <c r="O1106" t="str">
        <f>_xlfn.XLOOKUP(A1106,[1]!brca_metabric_clinical_data__2[Sample ID],[1]!brca_metabric_clinical_data__2[Tumor Stage])</f>
        <v>2</v>
      </c>
    </row>
    <row r="1107" spans="1:15" x14ac:dyDescent="0.45">
      <c r="A1107" t="s">
        <v>1142</v>
      </c>
      <c r="B1107">
        <v>50.78</v>
      </c>
      <c r="C1107" t="s">
        <v>16</v>
      </c>
      <c r="D1107" t="s">
        <v>17</v>
      </c>
      <c r="E1107" t="s">
        <v>18</v>
      </c>
      <c r="F1107" t="s">
        <v>19</v>
      </c>
      <c r="G1107" t="s">
        <v>20</v>
      </c>
      <c r="H1107" t="s">
        <v>20</v>
      </c>
      <c r="I1107" t="s">
        <v>20</v>
      </c>
      <c r="J1107" t="s">
        <v>27</v>
      </c>
      <c r="K1107" t="s">
        <v>23</v>
      </c>
      <c r="L1107">
        <v>272.89999999999998</v>
      </c>
      <c r="M1107" t="s">
        <v>24</v>
      </c>
      <c r="N1107" t="str">
        <f>_xlfn.XLOOKUP(A1107,[1]!brca_metabric_clinical_data__2[Patient ID], [1]!brca_metabric_clinical_data__2[Tumor Size])</f>
        <v>30</v>
      </c>
      <c r="O1107" t="str">
        <f>_xlfn.XLOOKUP(A1107,[1]!brca_metabric_clinical_data__2[Sample ID],[1]!brca_metabric_clinical_data__2[Tumor Stage])</f>
        <v>2</v>
      </c>
    </row>
    <row r="1108" spans="1:15" x14ac:dyDescent="0.45">
      <c r="A1108" t="s">
        <v>1143</v>
      </c>
      <c r="B1108">
        <v>74.849999999999994</v>
      </c>
      <c r="C1108" t="s">
        <v>16</v>
      </c>
      <c r="D1108" t="s">
        <v>17</v>
      </c>
      <c r="E1108" t="s">
        <v>18</v>
      </c>
      <c r="F1108" t="s">
        <v>19</v>
      </c>
      <c r="G1108" t="s">
        <v>20</v>
      </c>
      <c r="H1108" t="s">
        <v>21</v>
      </c>
      <c r="I1108" t="s">
        <v>21</v>
      </c>
      <c r="J1108" t="s">
        <v>29</v>
      </c>
      <c r="K1108">
        <v>7</v>
      </c>
      <c r="L1108">
        <v>70.233333333333306</v>
      </c>
      <c r="M1108" t="s">
        <v>24</v>
      </c>
      <c r="N1108" t="str">
        <f>_xlfn.XLOOKUP(A1108,[1]!brca_metabric_clinical_data__2[Patient ID], [1]!brca_metabric_clinical_data__2[Tumor Size])</f>
        <v>28</v>
      </c>
      <c r="O1108" t="str">
        <f>_xlfn.XLOOKUP(A1108,[1]!brca_metabric_clinical_data__2[Sample ID],[1]!brca_metabric_clinical_data__2[Tumor Stage])</f>
        <v>2</v>
      </c>
    </row>
    <row r="1109" spans="1:15" x14ac:dyDescent="0.45">
      <c r="A1109" t="s">
        <v>1144</v>
      </c>
      <c r="B1109">
        <v>36.35</v>
      </c>
      <c r="C1109" t="s">
        <v>16</v>
      </c>
      <c r="D1109" t="s">
        <v>26</v>
      </c>
      <c r="E1109" t="s">
        <v>37</v>
      </c>
      <c r="F1109" t="s">
        <v>43</v>
      </c>
      <c r="G1109" t="s">
        <v>21</v>
      </c>
      <c r="H1109" t="s">
        <v>21</v>
      </c>
      <c r="I1109" t="s">
        <v>20</v>
      </c>
      <c r="J1109" t="s">
        <v>45</v>
      </c>
      <c r="K1109">
        <v>5</v>
      </c>
      <c r="L1109">
        <v>194.2</v>
      </c>
      <c r="M1109" t="s">
        <v>24</v>
      </c>
      <c r="N1109" t="str">
        <f>_xlfn.XLOOKUP(A1109,[1]!brca_metabric_clinical_data__2[Patient ID], [1]!brca_metabric_clinical_data__2[Tumor Size])</f>
        <v>23</v>
      </c>
      <c r="O1109" t="str">
        <f>_xlfn.XLOOKUP(A1109,[1]!brca_metabric_clinical_data__2[Sample ID],[1]!brca_metabric_clinical_data__2[Tumor Stage])</f>
        <v>2</v>
      </c>
    </row>
    <row r="1110" spans="1:15" x14ac:dyDescent="0.45">
      <c r="A1110" t="s">
        <v>1145</v>
      </c>
      <c r="B1110">
        <v>41.09</v>
      </c>
      <c r="C1110" t="s">
        <v>16</v>
      </c>
      <c r="D1110" t="s">
        <v>26</v>
      </c>
      <c r="E1110" t="s">
        <v>18</v>
      </c>
      <c r="F1110" t="s">
        <v>19</v>
      </c>
      <c r="G1110" t="s">
        <v>20</v>
      </c>
      <c r="H1110" t="s">
        <v>20</v>
      </c>
      <c r="I1110" t="s">
        <v>20</v>
      </c>
      <c r="J1110" t="s">
        <v>29</v>
      </c>
      <c r="K1110">
        <v>6</v>
      </c>
      <c r="L1110">
        <v>77.233333333333306</v>
      </c>
      <c r="M1110" t="s">
        <v>30</v>
      </c>
      <c r="N1110" t="str">
        <f>_xlfn.XLOOKUP(A1110,[1]!brca_metabric_clinical_data__2[Patient ID], [1]!brca_metabric_clinical_data__2[Tumor Size])</f>
        <v>20</v>
      </c>
      <c r="O1110" t="str">
        <f>_xlfn.XLOOKUP(A1110,[1]!brca_metabric_clinical_data__2[Sample ID],[1]!brca_metabric_clinical_data__2[Tumor Stage])</f>
        <v>1</v>
      </c>
    </row>
    <row r="1111" spans="1:15" x14ac:dyDescent="0.45">
      <c r="A1111" t="s">
        <v>1146</v>
      </c>
      <c r="B1111">
        <v>33.92</v>
      </c>
      <c r="C1111" t="s">
        <v>16</v>
      </c>
      <c r="D1111" t="s">
        <v>26</v>
      </c>
      <c r="E1111" t="s">
        <v>37</v>
      </c>
      <c r="F1111" t="s">
        <v>19</v>
      </c>
      <c r="G1111" t="s">
        <v>21</v>
      </c>
      <c r="H1111" t="s">
        <v>20</v>
      </c>
      <c r="I1111" t="s">
        <v>21</v>
      </c>
      <c r="J1111" t="s">
        <v>58</v>
      </c>
      <c r="K1111">
        <v>10</v>
      </c>
      <c r="L1111">
        <v>70.599999999999994</v>
      </c>
      <c r="M1111" t="s">
        <v>30</v>
      </c>
      <c r="N1111" t="str">
        <f>_xlfn.XLOOKUP(A1111,[1]!brca_metabric_clinical_data__2[Patient ID], [1]!brca_metabric_clinical_data__2[Tumor Size])</f>
        <v>25</v>
      </c>
      <c r="O1111" t="str">
        <f>_xlfn.XLOOKUP(A1111,[1]!brca_metabric_clinical_data__2[Sample ID],[1]!brca_metabric_clinical_data__2[Tumor Stage])</f>
        <v>2</v>
      </c>
    </row>
    <row r="1112" spans="1:15" x14ac:dyDescent="0.45">
      <c r="A1112" t="s">
        <v>1147</v>
      </c>
      <c r="B1112">
        <v>57.32</v>
      </c>
      <c r="C1112" t="s">
        <v>16</v>
      </c>
      <c r="D1112" t="s">
        <v>17</v>
      </c>
      <c r="E1112" t="s">
        <v>18</v>
      </c>
      <c r="F1112" t="s">
        <v>19</v>
      </c>
      <c r="G1112" t="s">
        <v>20</v>
      </c>
      <c r="H1112" t="s">
        <v>20</v>
      </c>
      <c r="I1112" t="s">
        <v>21</v>
      </c>
      <c r="J1112" t="s">
        <v>27</v>
      </c>
      <c r="K1112" t="s">
        <v>23</v>
      </c>
      <c r="L1112">
        <v>58.633333333333297</v>
      </c>
      <c r="M1112" t="s">
        <v>30</v>
      </c>
      <c r="N1112" t="str">
        <f>_xlfn.XLOOKUP(A1112,[1]!brca_metabric_clinical_data__2[Patient ID], [1]!brca_metabric_clinical_data__2[Tumor Size])</f>
        <v>20</v>
      </c>
      <c r="O1112" t="str">
        <f>_xlfn.XLOOKUP(A1112,[1]!brca_metabric_clinical_data__2[Sample ID],[1]!brca_metabric_clinical_data__2[Tumor Stage])</f>
        <v>1</v>
      </c>
    </row>
    <row r="1113" spans="1:15" x14ac:dyDescent="0.45">
      <c r="A1113" t="s">
        <v>1148</v>
      </c>
      <c r="B1113">
        <v>60.31</v>
      </c>
      <c r="C1113" t="s">
        <v>16</v>
      </c>
      <c r="D1113" t="s">
        <v>17</v>
      </c>
      <c r="E1113" t="s">
        <v>37</v>
      </c>
      <c r="F1113" t="s">
        <v>43</v>
      </c>
      <c r="G1113" t="s">
        <v>20</v>
      </c>
      <c r="H1113" t="s">
        <v>20</v>
      </c>
      <c r="I1113" t="s">
        <v>21</v>
      </c>
      <c r="J1113" t="s">
        <v>22</v>
      </c>
      <c r="K1113">
        <v>10</v>
      </c>
      <c r="L1113">
        <v>124.133333333333</v>
      </c>
      <c r="M1113" t="s">
        <v>30</v>
      </c>
      <c r="N1113" t="str">
        <f>_xlfn.XLOOKUP(A1113,[1]!brca_metabric_clinical_data__2[Patient ID], [1]!brca_metabric_clinical_data__2[Tumor Size])</f>
        <v>27</v>
      </c>
      <c r="O1113" t="str">
        <f>_xlfn.XLOOKUP(A1113,[1]!brca_metabric_clinical_data__2[Sample ID],[1]!brca_metabric_clinical_data__2[Tumor Stage])</f>
        <v>2</v>
      </c>
    </row>
    <row r="1114" spans="1:15" x14ac:dyDescent="0.45">
      <c r="A1114" t="s">
        <v>1149</v>
      </c>
      <c r="B1114">
        <v>77.77</v>
      </c>
      <c r="C1114" t="s">
        <v>16</v>
      </c>
      <c r="D1114" t="s">
        <v>17</v>
      </c>
      <c r="E1114" t="s">
        <v>18</v>
      </c>
      <c r="F1114" t="s">
        <v>19</v>
      </c>
      <c r="G1114" t="s">
        <v>20</v>
      </c>
      <c r="H1114" t="s">
        <v>20</v>
      </c>
      <c r="I1114" t="s">
        <v>21</v>
      </c>
      <c r="J1114" t="s">
        <v>29</v>
      </c>
      <c r="K1114">
        <v>2</v>
      </c>
      <c r="L1114">
        <v>237.26666666666699</v>
      </c>
      <c r="M1114" t="s">
        <v>30</v>
      </c>
      <c r="N1114" t="str">
        <f>_xlfn.XLOOKUP(A1114,[1]!brca_metabric_clinical_data__2[Patient ID], [1]!brca_metabric_clinical_data__2[Tumor Size])</f>
        <v>18</v>
      </c>
      <c r="O1114" t="str">
        <f>_xlfn.XLOOKUP(A1114,[1]!brca_metabric_clinical_data__2[Sample ID],[1]!brca_metabric_clinical_data__2[Tumor Stage])</f>
        <v>1</v>
      </c>
    </row>
    <row r="1115" spans="1:15" x14ac:dyDescent="0.45">
      <c r="A1115" t="s">
        <v>1150</v>
      </c>
      <c r="B1115">
        <v>65.53</v>
      </c>
      <c r="C1115" t="s">
        <v>16</v>
      </c>
      <c r="D1115" t="s">
        <v>17</v>
      </c>
      <c r="E1115" t="s">
        <v>37</v>
      </c>
      <c r="F1115" t="s">
        <v>19</v>
      </c>
      <c r="G1115" t="s">
        <v>21</v>
      </c>
      <c r="H1115" t="s">
        <v>20</v>
      </c>
      <c r="I1115" t="s">
        <v>20</v>
      </c>
      <c r="J1115" t="s">
        <v>58</v>
      </c>
      <c r="K1115">
        <v>9</v>
      </c>
      <c r="L1115">
        <v>20.133333333333301</v>
      </c>
      <c r="M1115" t="s">
        <v>30</v>
      </c>
      <c r="N1115" t="str">
        <f>_xlfn.XLOOKUP(A1115,[1]!brca_metabric_clinical_data__2[Patient ID], [1]!brca_metabric_clinical_data__2[Tumor Size])</f>
        <v>19</v>
      </c>
      <c r="O1115" t="str">
        <f>_xlfn.XLOOKUP(A1115,[1]!brca_metabric_clinical_data__2[Sample ID],[1]!brca_metabric_clinical_data__2[Tumor Stage])</f>
        <v>NA</v>
      </c>
    </row>
    <row r="1116" spans="1:15" x14ac:dyDescent="0.45">
      <c r="A1116" t="s">
        <v>1151</v>
      </c>
      <c r="B1116">
        <v>69.75</v>
      </c>
      <c r="C1116" t="s">
        <v>16</v>
      </c>
      <c r="D1116" t="s">
        <v>17</v>
      </c>
      <c r="E1116" t="s">
        <v>18</v>
      </c>
      <c r="F1116" t="s">
        <v>19</v>
      </c>
      <c r="G1116" t="s">
        <v>20</v>
      </c>
      <c r="H1116" t="s">
        <v>20</v>
      </c>
      <c r="I1116" t="s">
        <v>20</v>
      </c>
      <c r="J1116" t="s">
        <v>29</v>
      </c>
      <c r="K1116">
        <v>1</v>
      </c>
      <c r="L1116">
        <v>216.96666666666701</v>
      </c>
      <c r="M1116" t="s">
        <v>24</v>
      </c>
      <c r="N1116" t="str">
        <f>_xlfn.XLOOKUP(A1116,[1]!brca_metabric_clinical_data__2[Patient ID], [1]!brca_metabric_clinical_data__2[Tumor Size])</f>
        <v>22</v>
      </c>
      <c r="O1116" t="str">
        <f>_xlfn.XLOOKUP(A1116,[1]!brca_metabric_clinical_data__2[Sample ID],[1]!brca_metabric_clinical_data__2[Tumor Stage])</f>
        <v>2</v>
      </c>
    </row>
    <row r="1117" spans="1:15" x14ac:dyDescent="0.45">
      <c r="A1117" t="s">
        <v>1152</v>
      </c>
      <c r="B1117">
        <v>69.989999999999995</v>
      </c>
      <c r="C1117" t="s">
        <v>16</v>
      </c>
      <c r="D1117" t="s">
        <v>17</v>
      </c>
      <c r="E1117" t="s">
        <v>18</v>
      </c>
      <c r="F1117" t="s">
        <v>19</v>
      </c>
      <c r="G1117" t="s">
        <v>20</v>
      </c>
      <c r="H1117" t="s">
        <v>21</v>
      </c>
      <c r="I1117" t="s">
        <v>21</v>
      </c>
      <c r="J1117" t="s">
        <v>27</v>
      </c>
      <c r="K1117">
        <v>3</v>
      </c>
      <c r="L1117">
        <v>150.6</v>
      </c>
      <c r="M1117" t="s">
        <v>30</v>
      </c>
      <c r="N1117" t="str">
        <f>_xlfn.XLOOKUP(A1117,[1]!brca_metabric_clinical_data__2[Patient ID], [1]!brca_metabric_clinical_data__2[Tumor Size])</f>
        <v>30</v>
      </c>
      <c r="O1117" t="str">
        <f>_xlfn.XLOOKUP(A1117,[1]!brca_metabric_clinical_data__2[Sample ID],[1]!brca_metabric_clinical_data__2[Tumor Stage])</f>
        <v>2</v>
      </c>
    </row>
    <row r="1118" spans="1:15" x14ac:dyDescent="0.45">
      <c r="A1118" t="s">
        <v>1153</v>
      </c>
      <c r="B1118">
        <v>67.150000000000006</v>
      </c>
      <c r="C1118" t="s">
        <v>16</v>
      </c>
      <c r="D1118" t="s">
        <v>17</v>
      </c>
      <c r="E1118" t="s">
        <v>37</v>
      </c>
      <c r="F1118" t="s">
        <v>43</v>
      </c>
      <c r="G1118" t="s">
        <v>20</v>
      </c>
      <c r="H1118" t="s">
        <v>20</v>
      </c>
      <c r="I1118" t="s">
        <v>21</v>
      </c>
      <c r="J1118" t="s">
        <v>45</v>
      </c>
      <c r="K1118" t="s">
        <v>39</v>
      </c>
      <c r="L1118">
        <v>184.4</v>
      </c>
      <c r="M1118" t="s">
        <v>24</v>
      </c>
      <c r="N1118" t="str">
        <f>_xlfn.XLOOKUP(A1118,[1]!brca_metabric_clinical_data__2[Patient ID], [1]!brca_metabric_clinical_data__2[Tumor Size])</f>
        <v>21</v>
      </c>
      <c r="O1118" t="str">
        <f>_xlfn.XLOOKUP(A1118,[1]!brca_metabric_clinical_data__2[Sample ID],[1]!brca_metabric_clinical_data__2[Tumor Stage])</f>
        <v>2</v>
      </c>
    </row>
    <row r="1119" spans="1:15" x14ac:dyDescent="0.45">
      <c r="A1119" t="s">
        <v>1154</v>
      </c>
      <c r="B1119">
        <v>69.31</v>
      </c>
      <c r="C1119" t="s">
        <v>16</v>
      </c>
      <c r="D1119" t="s">
        <v>17</v>
      </c>
      <c r="E1119" t="s">
        <v>18</v>
      </c>
      <c r="F1119" t="s">
        <v>19</v>
      </c>
      <c r="G1119" t="s">
        <v>20</v>
      </c>
      <c r="H1119" t="s">
        <v>21</v>
      </c>
      <c r="I1119" t="s">
        <v>21</v>
      </c>
      <c r="J1119" t="s">
        <v>29</v>
      </c>
      <c r="K1119">
        <v>1</v>
      </c>
      <c r="L1119">
        <v>69.3</v>
      </c>
      <c r="M1119" t="s">
        <v>30</v>
      </c>
      <c r="N1119" t="str">
        <f>_xlfn.XLOOKUP(A1119,[1]!brca_metabric_clinical_data__2[Patient ID], [1]!brca_metabric_clinical_data__2[Tumor Size])</f>
        <v>60</v>
      </c>
      <c r="O1119" t="str">
        <f>_xlfn.XLOOKUP(A1119,[1]!brca_metabric_clinical_data__2[Sample ID],[1]!brca_metabric_clinical_data__2[Tumor Stage])</f>
        <v>3</v>
      </c>
    </row>
    <row r="1120" spans="1:15" x14ac:dyDescent="0.45">
      <c r="A1120" t="s">
        <v>1155</v>
      </c>
      <c r="B1120">
        <v>70.38</v>
      </c>
      <c r="C1120" t="s">
        <v>16</v>
      </c>
      <c r="D1120" t="s">
        <v>17</v>
      </c>
      <c r="F1120" t="s">
        <v>19</v>
      </c>
      <c r="G1120" t="s">
        <v>20</v>
      </c>
      <c r="H1120" t="s">
        <v>20</v>
      </c>
      <c r="I1120" t="s">
        <v>21</v>
      </c>
      <c r="J1120" t="s">
        <v>29</v>
      </c>
      <c r="K1120">
        <v>7</v>
      </c>
      <c r="L1120">
        <v>197.666666666667</v>
      </c>
      <c r="M1120" t="s">
        <v>30</v>
      </c>
      <c r="N1120" t="str">
        <f>_xlfn.XLOOKUP(A1120,[1]!brca_metabric_clinical_data__2[Patient ID], [1]!brca_metabric_clinical_data__2[Tumor Size])</f>
        <v>20</v>
      </c>
      <c r="O1120" t="str">
        <f>_xlfn.XLOOKUP(A1120,[1]!brca_metabric_clinical_data__2[Sample ID],[1]!brca_metabric_clinical_data__2[Tumor Stage])</f>
        <v>1</v>
      </c>
    </row>
    <row r="1121" spans="1:15" x14ac:dyDescent="0.45">
      <c r="A1121" t="s">
        <v>1156</v>
      </c>
      <c r="B1121">
        <v>76.930000000000007</v>
      </c>
      <c r="C1121" t="s">
        <v>16</v>
      </c>
      <c r="D1121" t="s">
        <v>17</v>
      </c>
      <c r="E1121" t="s">
        <v>18</v>
      </c>
      <c r="F1121" t="s">
        <v>19</v>
      </c>
      <c r="G1121" t="s">
        <v>20</v>
      </c>
      <c r="H1121" t="s">
        <v>21</v>
      </c>
      <c r="I1121" t="s">
        <v>20</v>
      </c>
      <c r="J1121" t="s">
        <v>27</v>
      </c>
      <c r="K1121">
        <v>3</v>
      </c>
      <c r="L1121">
        <v>117.566666666667</v>
      </c>
      <c r="M1121" t="s">
        <v>30</v>
      </c>
      <c r="N1121" t="str">
        <f>_xlfn.XLOOKUP(A1121,[1]!brca_metabric_clinical_data__2[Patient ID], [1]!brca_metabric_clinical_data__2[Tumor Size])</f>
        <v>13</v>
      </c>
      <c r="O1121" t="str">
        <f>_xlfn.XLOOKUP(A1121,[1]!brca_metabric_clinical_data__2[Sample ID],[1]!brca_metabric_clinical_data__2[Tumor Stage])</f>
        <v>1</v>
      </c>
    </row>
    <row r="1122" spans="1:15" x14ac:dyDescent="0.45">
      <c r="A1122" t="s">
        <v>1157</v>
      </c>
      <c r="B1122">
        <v>56.94</v>
      </c>
      <c r="C1122" t="s">
        <v>16</v>
      </c>
      <c r="D1122" t="s">
        <v>17</v>
      </c>
      <c r="E1122" t="s">
        <v>18</v>
      </c>
      <c r="F1122" t="s">
        <v>19</v>
      </c>
      <c r="G1122" t="s">
        <v>20</v>
      </c>
      <c r="H1122" t="s">
        <v>20</v>
      </c>
      <c r="I1122" t="s">
        <v>21</v>
      </c>
      <c r="J1122" t="s">
        <v>27</v>
      </c>
      <c r="K1122">
        <v>8</v>
      </c>
      <c r="L1122">
        <v>219.46666666666701</v>
      </c>
      <c r="M1122" t="s">
        <v>24</v>
      </c>
      <c r="N1122" t="str">
        <f>_xlfn.XLOOKUP(A1122,[1]!brca_metabric_clinical_data__2[Patient ID], [1]!brca_metabric_clinical_data__2[Tumor Size])</f>
        <v>25</v>
      </c>
      <c r="O1122" t="str">
        <f>_xlfn.XLOOKUP(A1122,[1]!brca_metabric_clinical_data__2[Sample ID],[1]!brca_metabric_clinical_data__2[Tumor Stage])</f>
        <v>2</v>
      </c>
    </row>
    <row r="1123" spans="1:15" x14ac:dyDescent="0.45">
      <c r="A1123" t="s">
        <v>1158</v>
      </c>
      <c r="B1123">
        <v>72.44</v>
      </c>
      <c r="C1123" t="s">
        <v>16</v>
      </c>
      <c r="D1123" t="s">
        <v>17</v>
      </c>
      <c r="E1123" t="s">
        <v>18</v>
      </c>
      <c r="F1123" t="s">
        <v>19</v>
      </c>
      <c r="G1123" t="s">
        <v>20</v>
      </c>
      <c r="H1123" t="s">
        <v>21</v>
      </c>
      <c r="I1123" t="s">
        <v>21</v>
      </c>
      <c r="J1123" t="s">
        <v>27</v>
      </c>
      <c r="K1123">
        <v>8</v>
      </c>
      <c r="L1123">
        <v>197.833333333333</v>
      </c>
      <c r="M1123" t="s">
        <v>30</v>
      </c>
      <c r="N1123" t="str">
        <f>_xlfn.XLOOKUP(A1123,[1]!brca_metabric_clinical_data__2[Patient ID], [1]!brca_metabric_clinical_data__2[Tumor Size])</f>
        <v>14</v>
      </c>
      <c r="O1123" t="str">
        <f>_xlfn.XLOOKUP(A1123,[1]!brca_metabric_clinical_data__2[Sample ID],[1]!brca_metabric_clinical_data__2[Tumor Stage])</f>
        <v>NA</v>
      </c>
    </row>
    <row r="1124" spans="1:15" x14ac:dyDescent="0.45">
      <c r="A1124" t="s">
        <v>1159</v>
      </c>
      <c r="B1124">
        <v>69.930000000000007</v>
      </c>
      <c r="C1124" t="s">
        <v>16</v>
      </c>
      <c r="D1124" t="s">
        <v>17</v>
      </c>
      <c r="E1124" t="s">
        <v>18</v>
      </c>
      <c r="F1124" t="s">
        <v>19</v>
      </c>
      <c r="G1124" t="s">
        <v>20</v>
      </c>
      <c r="H1124" t="s">
        <v>21</v>
      </c>
      <c r="I1124" t="s">
        <v>20</v>
      </c>
      <c r="J1124" t="s">
        <v>27</v>
      </c>
      <c r="K1124" t="s">
        <v>23</v>
      </c>
      <c r="L1124">
        <v>263.60000000000002</v>
      </c>
      <c r="M1124" t="s">
        <v>30</v>
      </c>
      <c r="N1124" t="str">
        <f>_xlfn.XLOOKUP(A1124,[1]!brca_metabric_clinical_data__2[Patient ID], [1]!brca_metabric_clinical_data__2[Tumor Size])</f>
        <v>30</v>
      </c>
      <c r="O1124" t="str">
        <f>_xlfn.XLOOKUP(A1124,[1]!brca_metabric_clinical_data__2[Sample ID],[1]!brca_metabric_clinical_data__2[Tumor Stage])</f>
        <v>2</v>
      </c>
    </row>
    <row r="1125" spans="1:15" x14ac:dyDescent="0.45">
      <c r="A1125" t="s">
        <v>1160</v>
      </c>
      <c r="B1125">
        <v>55.83</v>
      </c>
      <c r="C1125" t="s">
        <v>16</v>
      </c>
      <c r="D1125" t="s">
        <v>17</v>
      </c>
      <c r="E1125" t="s">
        <v>18</v>
      </c>
      <c r="F1125" t="s">
        <v>19</v>
      </c>
      <c r="G1125" t="s">
        <v>20</v>
      </c>
      <c r="H1125" t="s">
        <v>21</v>
      </c>
      <c r="I1125" t="s">
        <v>20</v>
      </c>
      <c r="J1125" t="s">
        <v>29</v>
      </c>
      <c r="K1125">
        <v>3</v>
      </c>
      <c r="L1125">
        <v>49.3</v>
      </c>
      <c r="M1125" t="s">
        <v>30</v>
      </c>
      <c r="N1125" t="str">
        <f>_xlfn.XLOOKUP(A1125,[1]!brca_metabric_clinical_data__2[Patient ID], [1]!brca_metabric_clinical_data__2[Tumor Size])</f>
        <v>50</v>
      </c>
      <c r="O1125" t="str">
        <f>_xlfn.XLOOKUP(A1125,[1]!brca_metabric_clinical_data__2[Sample ID],[1]!brca_metabric_clinical_data__2[Tumor Stage])</f>
        <v>2</v>
      </c>
    </row>
    <row r="1126" spans="1:15" x14ac:dyDescent="0.45">
      <c r="A1126" t="s">
        <v>1161</v>
      </c>
      <c r="B1126">
        <v>61.16</v>
      </c>
      <c r="C1126" t="s">
        <v>16</v>
      </c>
      <c r="D1126" t="s">
        <v>17</v>
      </c>
      <c r="E1126" t="s">
        <v>18</v>
      </c>
      <c r="F1126" t="s">
        <v>19</v>
      </c>
      <c r="G1126" t="s">
        <v>20</v>
      </c>
      <c r="H1126" t="s">
        <v>21</v>
      </c>
      <c r="I1126" t="s">
        <v>21</v>
      </c>
      <c r="J1126" t="s">
        <v>27</v>
      </c>
      <c r="K1126">
        <v>3</v>
      </c>
      <c r="L1126">
        <v>130.69999999999999</v>
      </c>
      <c r="M1126" t="s">
        <v>30</v>
      </c>
      <c r="N1126" t="str">
        <f>_xlfn.XLOOKUP(A1126,[1]!brca_metabric_clinical_data__2[Patient ID], [1]!brca_metabric_clinical_data__2[Tumor Size])</f>
        <v>15</v>
      </c>
      <c r="O1126" t="str">
        <f>_xlfn.XLOOKUP(A1126,[1]!brca_metabric_clinical_data__2[Sample ID],[1]!brca_metabric_clinical_data__2[Tumor Stage])</f>
        <v>2</v>
      </c>
    </row>
    <row r="1127" spans="1:15" x14ac:dyDescent="0.45">
      <c r="A1127" t="s">
        <v>1162</v>
      </c>
      <c r="B1127">
        <v>56.03</v>
      </c>
      <c r="C1127" t="s">
        <v>16</v>
      </c>
      <c r="D1127" t="s">
        <v>17</v>
      </c>
      <c r="E1127" t="s">
        <v>18</v>
      </c>
      <c r="F1127" t="s">
        <v>19</v>
      </c>
      <c r="G1127" t="s">
        <v>20</v>
      </c>
      <c r="H1127" t="s">
        <v>21</v>
      </c>
      <c r="I1127" t="s">
        <v>21</v>
      </c>
      <c r="J1127" t="s">
        <v>27</v>
      </c>
      <c r="K1127" t="s">
        <v>23</v>
      </c>
      <c r="L1127">
        <v>78.7</v>
      </c>
      <c r="M1127" t="s">
        <v>24</v>
      </c>
      <c r="N1127" t="str">
        <f>_xlfn.XLOOKUP(A1127,[1]!brca_metabric_clinical_data__2[Patient ID], [1]!brca_metabric_clinical_data__2[Tumor Size])</f>
        <v>25</v>
      </c>
      <c r="O1127" t="str">
        <f>_xlfn.XLOOKUP(A1127,[1]!brca_metabric_clinical_data__2[Sample ID],[1]!brca_metabric_clinical_data__2[Tumor Stage])</f>
        <v>2</v>
      </c>
    </row>
    <row r="1128" spans="1:15" x14ac:dyDescent="0.45">
      <c r="A1128" t="s">
        <v>1163</v>
      </c>
      <c r="B1128">
        <v>76.81</v>
      </c>
      <c r="C1128" t="s">
        <v>16</v>
      </c>
      <c r="D1128" t="s">
        <v>17</v>
      </c>
      <c r="E1128" t="s">
        <v>18</v>
      </c>
      <c r="F1128" t="s">
        <v>19</v>
      </c>
      <c r="G1128" t="s">
        <v>20</v>
      </c>
      <c r="H1128" t="s">
        <v>20</v>
      </c>
      <c r="I1128" t="s">
        <v>21</v>
      </c>
      <c r="J1128" t="s">
        <v>27</v>
      </c>
      <c r="K1128">
        <v>7</v>
      </c>
      <c r="L1128">
        <v>198.1</v>
      </c>
      <c r="M1128" t="s">
        <v>30</v>
      </c>
      <c r="N1128" t="str">
        <f>_xlfn.XLOOKUP(A1128,[1]!brca_metabric_clinical_data__2[Patient ID], [1]!brca_metabric_clinical_data__2[Tumor Size])</f>
        <v>25</v>
      </c>
      <c r="O1128" t="str">
        <f>_xlfn.XLOOKUP(A1128,[1]!brca_metabric_clinical_data__2[Sample ID],[1]!brca_metabric_clinical_data__2[Tumor Stage])</f>
        <v>2</v>
      </c>
    </row>
    <row r="1129" spans="1:15" x14ac:dyDescent="0.45">
      <c r="A1129" t="s">
        <v>1164</v>
      </c>
      <c r="B1129">
        <v>77.45</v>
      </c>
      <c r="C1129" t="s">
        <v>16</v>
      </c>
      <c r="D1129" t="s">
        <v>17</v>
      </c>
      <c r="E1129" t="s">
        <v>18</v>
      </c>
      <c r="F1129" t="s">
        <v>19</v>
      </c>
      <c r="G1129" t="s">
        <v>20</v>
      </c>
      <c r="H1129" t="s">
        <v>20</v>
      </c>
      <c r="I1129" t="s">
        <v>20</v>
      </c>
      <c r="J1129" t="s">
        <v>29</v>
      </c>
      <c r="K1129">
        <v>8</v>
      </c>
      <c r="L1129">
        <v>88.8</v>
      </c>
      <c r="M1129" t="s">
        <v>30</v>
      </c>
      <c r="N1129" t="str">
        <f>_xlfn.XLOOKUP(A1129,[1]!brca_metabric_clinical_data__2[Patient ID], [1]!brca_metabric_clinical_data__2[Tumor Size])</f>
        <v>30</v>
      </c>
      <c r="O1129" t="str">
        <f>_xlfn.XLOOKUP(A1129,[1]!brca_metabric_clinical_data__2[Sample ID],[1]!brca_metabric_clinical_data__2[Tumor Stage])</f>
        <v>NA</v>
      </c>
    </row>
    <row r="1130" spans="1:15" x14ac:dyDescent="0.45">
      <c r="A1130" t="s">
        <v>1165</v>
      </c>
      <c r="B1130">
        <v>65.16</v>
      </c>
      <c r="C1130" t="s">
        <v>16</v>
      </c>
      <c r="D1130" t="s">
        <v>17</v>
      </c>
      <c r="E1130" t="s">
        <v>37</v>
      </c>
      <c r="F1130" t="s">
        <v>19</v>
      </c>
      <c r="G1130" t="s">
        <v>20</v>
      </c>
      <c r="H1130" t="s">
        <v>20</v>
      </c>
      <c r="I1130" t="s">
        <v>21</v>
      </c>
      <c r="J1130" t="s">
        <v>58</v>
      </c>
      <c r="K1130">
        <v>10</v>
      </c>
      <c r="L1130">
        <v>176.1</v>
      </c>
      <c r="M1130" t="s">
        <v>30</v>
      </c>
      <c r="N1130" t="str">
        <f>_xlfn.XLOOKUP(A1130,[1]!brca_metabric_clinical_data__2[Patient ID], [1]!brca_metabric_clinical_data__2[Tumor Size])</f>
        <v>18</v>
      </c>
      <c r="O1130" t="str">
        <f>_xlfn.XLOOKUP(A1130,[1]!brca_metabric_clinical_data__2[Sample ID],[1]!brca_metabric_clinical_data__2[Tumor Stage])</f>
        <v>1</v>
      </c>
    </row>
    <row r="1131" spans="1:15" x14ac:dyDescent="0.45">
      <c r="A1131" t="s">
        <v>1166</v>
      </c>
      <c r="B1131">
        <v>73.650000000000006</v>
      </c>
      <c r="C1131" t="s">
        <v>16</v>
      </c>
      <c r="D1131" t="s">
        <v>17</v>
      </c>
      <c r="E1131" t="s">
        <v>18</v>
      </c>
      <c r="F1131" t="s">
        <v>19</v>
      </c>
      <c r="G1131" t="s">
        <v>20</v>
      </c>
      <c r="H1131" t="s">
        <v>21</v>
      </c>
      <c r="I1131" t="s">
        <v>20</v>
      </c>
      <c r="J1131" t="s">
        <v>27</v>
      </c>
      <c r="K1131">
        <v>8</v>
      </c>
      <c r="L1131">
        <v>224.1</v>
      </c>
      <c r="M1131" t="s">
        <v>30</v>
      </c>
      <c r="N1131" t="str">
        <f>_xlfn.XLOOKUP(A1131,[1]!brca_metabric_clinical_data__2[Patient ID], [1]!brca_metabric_clinical_data__2[Tumor Size])</f>
        <v>20</v>
      </c>
      <c r="O1131" t="str">
        <f>_xlfn.XLOOKUP(A1131,[1]!brca_metabric_clinical_data__2[Sample ID],[1]!brca_metabric_clinical_data__2[Tumor Stage])</f>
        <v>NA</v>
      </c>
    </row>
    <row r="1132" spans="1:15" x14ac:dyDescent="0.45">
      <c r="A1132" t="s">
        <v>1167</v>
      </c>
      <c r="B1132">
        <v>72.540000000000006</v>
      </c>
      <c r="C1132" t="s">
        <v>16</v>
      </c>
      <c r="D1132" t="s">
        <v>17</v>
      </c>
      <c r="E1132" t="s">
        <v>18</v>
      </c>
      <c r="F1132" t="s">
        <v>19</v>
      </c>
      <c r="G1132" t="s">
        <v>20</v>
      </c>
      <c r="H1132" t="s">
        <v>21</v>
      </c>
      <c r="I1132" t="s">
        <v>21</v>
      </c>
      <c r="J1132" t="s">
        <v>27</v>
      </c>
      <c r="K1132">
        <v>8</v>
      </c>
      <c r="L1132">
        <v>216.73333333333301</v>
      </c>
      <c r="M1132" t="s">
        <v>30</v>
      </c>
      <c r="N1132" t="str">
        <f>_xlfn.XLOOKUP(A1132,[1]!brca_metabric_clinical_data__2[Patient ID], [1]!brca_metabric_clinical_data__2[Tumor Size])</f>
        <v>22</v>
      </c>
      <c r="O1132" t="str">
        <f>_xlfn.XLOOKUP(A1132,[1]!brca_metabric_clinical_data__2[Sample ID],[1]!brca_metabric_clinical_data__2[Tumor Stage])</f>
        <v>NA</v>
      </c>
    </row>
    <row r="1133" spans="1:15" x14ac:dyDescent="0.45">
      <c r="A1133" t="s">
        <v>1168</v>
      </c>
      <c r="B1133">
        <v>58.89</v>
      </c>
      <c r="C1133" t="s">
        <v>16</v>
      </c>
      <c r="D1133" t="s">
        <v>17</v>
      </c>
      <c r="E1133" t="s">
        <v>18</v>
      </c>
      <c r="F1133" t="s">
        <v>19</v>
      </c>
      <c r="G1133" t="s">
        <v>20</v>
      </c>
      <c r="H1133" t="s">
        <v>21</v>
      </c>
      <c r="I1133" t="s">
        <v>20</v>
      </c>
      <c r="J1133" t="s">
        <v>38</v>
      </c>
      <c r="K1133">
        <v>3</v>
      </c>
      <c r="L1133">
        <v>198.433333333333</v>
      </c>
      <c r="M1133" t="s">
        <v>24</v>
      </c>
      <c r="N1133" t="str">
        <f>_xlfn.XLOOKUP(A1133,[1]!brca_metabric_clinical_data__2[Patient ID], [1]!brca_metabric_clinical_data__2[Tumor Size])</f>
        <v>20</v>
      </c>
      <c r="O1133" t="str">
        <f>_xlfn.XLOOKUP(A1133,[1]!brca_metabric_clinical_data__2[Sample ID],[1]!brca_metabric_clinical_data__2[Tumor Stage])</f>
        <v>1</v>
      </c>
    </row>
    <row r="1134" spans="1:15" x14ac:dyDescent="0.45">
      <c r="A1134" t="s">
        <v>1169</v>
      </c>
      <c r="B1134">
        <v>69.67</v>
      </c>
      <c r="C1134" t="s">
        <v>16</v>
      </c>
      <c r="D1134" t="s">
        <v>17</v>
      </c>
      <c r="E1134" t="s">
        <v>18</v>
      </c>
      <c r="F1134" t="s">
        <v>19</v>
      </c>
      <c r="G1134" t="s">
        <v>20</v>
      </c>
      <c r="H1134" t="s">
        <v>21</v>
      </c>
      <c r="I1134" t="s">
        <v>20</v>
      </c>
      <c r="J1134" t="s">
        <v>27</v>
      </c>
      <c r="K1134">
        <v>3</v>
      </c>
      <c r="L1134">
        <v>180.76666666666699</v>
      </c>
      <c r="M1134" t="s">
        <v>30</v>
      </c>
      <c r="N1134" t="str">
        <f>_xlfn.XLOOKUP(A1134,[1]!brca_metabric_clinical_data__2[Patient ID], [1]!brca_metabric_clinical_data__2[Tumor Size])</f>
        <v>30</v>
      </c>
      <c r="O1134" t="str">
        <f>_xlfn.XLOOKUP(A1134,[1]!brca_metabric_clinical_data__2[Sample ID],[1]!brca_metabric_clinical_data__2[Tumor Stage])</f>
        <v>NA</v>
      </c>
    </row>
    <row r="1135" spans="1:15" x14ac:dyDescent="0.45">
      <c r="A1135" t="s">
        <v>1170</v>
      </c>
      <c r="B1135">
        <v>62.99</v>
      </c>
      <c r="C1135" t="s">
        <v>16</v>
      </c>
      <c r="D1135" t="s">
        <v>17</v>
      </c>
      <c r="E1135" t="s">
        <v>18</v>
      </c>
      <c r="F1135" t="s">
        <v>43</v>
      </c>
      <c r="G1135" t="s">
        <v>20</v>
      </c>
      <c r="H1135" t="s">
        <v>21</v>
      </c>
      <c r="I1135" t="s">
        <v>21</v>
      </c>
      <c r="J1135" t="s">
        <v>45</v>
      </c>
      <c r="K1135" t="s">
        <v>23</v>
      </c>
      <c r="L1135">
        <v>19.1666666666667</v>
      </c>
      <c r="M1135" t="s">
        <v>30</v>
      </c>
      <c r="N1135" t="str">
        <f>_xlfn.XLOOKUP(A1135,[1]!brca_metabric_clinical_data__2[Patient ID], [1]!brca_metabric_clinical_data__2[Tumor Size])</f>
        <v>17</v>
      </c>
      <c r="O1135" t="str">
        <f>_xlfn.XLOOKUP(A1135,[1]!brca_metabric_clinical_data__2[Sample ID],[1]!brca_metabric_clinical_data__2[Tumor Stage])</f>
        <v>NA</v>
      </c>
    </row>
    <row r="1136" spans="1:15" x14ac:dyDescent="0.45">
      <c r="A1136" t="s">
        <v>1171</v>
      </c>
      <c r="B1136">
        <v>41</v>
      </c>
      <c r="C1136" t="s">
        <v>16</v>
      </c>
      <c r="D1136" t="s">
        <v>26</v>
      </c>
      <c r="E1136" t="s">
        <v>18</v>
      </c>
      <c r="F1136" t="s">
        <v>19</v>
      </c>
      <c r="G1136" t="s">
        <v>20</v>
      </c>
      <c r="H1136" t="s">
        <v>20</v>
      </c>
      <c r="I1136" t="s">
        <v>21</v>
      </c>
      <c r="J1136" t="s">
        <v>27</v>
      </c>
      <c r="K1136">
        <v>9</v>
      </c>
      <c r="L1136">
        <v>79.8</v>
      </c>
      <c r="M1136" t="s">
        <v>30</v>
      </c>
      <c r="N1136" t="str">
        <f>_xlfn.XLOOKUP(A1136,[1]!brca_metabric_clinical_data__2[Patient ID], [1]!brca_metabric_clinical_data__2[Tumor Size])</f>
        <v>50</v>
      </c>
      <c r="O1136" t="str">
        <f>_xlfn.XLOOKUP(A1136,[1]!brca_metabric_clinical_data__2[Sample ID],[1]!brca_metabric_clinical_data__2[Tumor Stage])</f>
        <v>2</v>
      </c>
    </row>
    <row r="1137" spans="1:15" x14ac:dyDescent="0.45">
      <c r="A1137" t="s">
        <v>1172</v>
      </c>
      <c r="B1137">
        <v>76.37</v>
      </c>
      <c r="C1137" t="s">
        <v>16</v>
      </c>
      <c r="D1137" t="s">
        <v>17</v>
      </c>
      <c r="E1137" t="s">
        <v>37</v>
      </c>
      <c r="F1137" t="s">
        <v>19</v>
      </c>
      <c r="G1137" t="s">
        <v>20</v>
      </c>
      <c r="H1137" t="s">
        <v>20</v>
      </c>
      <c r="I1137" t="s">
        <v>20</v>
      </c>
      <c r="J1137" t="s">
        <v>27</v>
      </c>
      <c r="K1137">
        <v>8</v>
      </c>
      <c r="L1137">
        <v>221.76666666666699</v>
      </c>
      <c r="M1137" t="s">
        <v>30</v>
      </c>
      <c r="N1137" t="str">
        <f>_xlfn.XLOOKUP(A1137,[1]!brca_metabric_clinical_data__2[Patient ID], [1]!brca_metabric_clinical_data__2[Tumor Size])</f>
        <v>20</v>
      </c>
      <c r="O1137" t="str">
        <f>_xlfn.XLOOKUP(A1137,[1]!brca_metabric_clinical_data__2[Sample ID],[1]!brca_metabric_clinical_data__2[Tumor Stage])</f>
        <v>1</v>
      </c>
    </row>
    <row r="1138" spans="1:15" x14ac:dyDescent="0.45">
      <c r="A1138" t="s">
        <v>1173</v>
      </c>
      <c r="B1138">
        <v>77.13</v>
      </c>
      <c r="C1138" t="s">
        <v>16</v>
      </c>
      <c r="D1138" t="s">
        <v>17</v>
      </c>
      <c r="E1138" t="s">
        <v>18</v>
      </c>
      <c r="F1138" t="s">
        <v>43</v>
      </c>
      <c r="G1138" t="s">
        <v>20</v>
      </c>
      <c r="H1138" t="s">
        <v>21</v>
      </c>
      <c r="I1138" t="s">
        <v>20</v>
      </c>
      <c r="J1138" t="s">
        <v>29</v>
      </c>
      <c r="K1138">
        <v>6</v>
      </c>
      <c r="L1138">
        <v>126.866666666667</v>
      </c>
      <c r="M1138" t="s">
        <v>24</v>
      </c>
      <c r="N1138" t="str">
        <f>_xlfn.XLOOKUP(A1138,[1]!brca_metabric_clinical_data__2[Patient ID], [1]!brca_metabric_clinical_data__2[Tumor Size])</f>
        <v>40</v>
      </c>
      <c r="O1138" t="str">
        <f>_xlfn.XLOOKUP(A1138,[1]!brca_metabric_clinical_data__2[Sample ID],[1]!brca_metabric_clinical_data__2[Tumor Stage])</f>
        <v>2</v>
      </c>
    </row>
    <row r="1139" spans="1:15" x14ac:dyDescent="0.45">
      <c r="A1139" t="s">
        <v>1174</v>
      </c>
      <c r="B1139">
        <v>66.47</v>
      </c>
      <c r="C1139" t="s">
        <v>16</v>
      </c>
      <c r="D1139" t="s">
        <v>17</v>
      </c>
      <c r="E1139" t="s">
        <v>37</v>
      </c>
      <c r="F1139" t="s">
        <v>19</v>
      </c>
      <c r="G1139" t="s">
        <v>20</v>
      </c>
      <c r="H1139" t="s">
        <v>20</v>
      </c>
      <c r="I1139" t="s">
        <v>20</v>
      </c>
      <c r="J1139" t="s">
        <v>27</v>
      </c>
      <c r="K1139">
        <v>3</v>
      </c>
      <c r="L1139">
        <v>165.36666666666699</v>
      </c>
      <c r="M1139" t="s">
        <v>24</v>
      </c>
      <c r="N1139" t="str">
        <f>_xlfn.XLOOKUP(A1139,[1]!brca_metabric_clinical_data__2[Patient ID], [1]!brca_metabric_clinical_data__2[Tumor Size])</f>
        <v>33</v>
      </c>
      <c r="O1139" t="str">
        <f>_xlfn.XLOOKUP(A1139,[1]!brca_metabric_clinical_data__2[Sample ID],[1]!brca_metabric_clinical_data__2[Tumor Stage])</f>
        <v>2</v>
      </c>
    </row>
    <row r="1140" spans="1:15" x14ac:dyDescent="0.45">
      <c r="A1140" t="s">
        <v>1175</v>
      </c>
      <c r="B1140">
        <v>33.549999999999997</v>
      </c>
      <c r="C1140" t="s">
        <v>16</v>
      </c>
      <c r="D1140" t="s">
        <v>26</v>
      </c>
      <c r="E1140" t="s">
        <v>37</v>
      </c>
      <c r="F1140" t="s">
        <v>19</v>
      </c>
      <c r="G1140" t="s">
        <v>21</v>
      </c>
      <c r="H1140" t="s">
        <v>20</v>
      </c>
      <c r="I1140" t="s">
        <v>21</v>
      </c>
      <c r="J1140" t="s">
        <v>45</v>
      </c>
      <c r="K1140" t="s">
        <v>39</v>
      </c>
      <c r="L1140">
        <v>75.233333333333306</v>
      </c>
      <c r="M1140" t="s">
        <v>30</v>
      </c>
      <c r="N1140" t="str">
        <f>_xlfn.XLOOKUP(A1140,[1]!brca_metabric_clinical_data__2[Patient ID], [1]!brca_metabric_clinical_data__2[Tumor Size])</f>
        <v>50</v>
      </c>
      <c r="O1140" t="str">
        <f>_xlfn.XLOOKUP(A1140,[1]!brca_metabric_clinical_data__2[Sample ID],[1]!brca_metabric_clinical_data__2[Tumor Stage])</f>
        <v>2</v>
      </c>
    </row>
    <row r="1141" spans="1:15" x14ac:dyDescent="0.45">
      <c r="A1141" t="s">
        <v>1176</v>
      </c>
      <c r="B1141">
        <v>77.540000000000006</v>
      </c>
      <c r="C1141" t="s">
        <v>16</v>
      </c>
      <c r="D1141" t="s">
        <v>17</v>
      </c>
      <c r="E1141" t="s">
        <v>18</v>
      </c>
      <c r="F1141" t="s">
        <v>19</v>
      </c>
      <c r="G1141" t="s">
        <v>20</v>
      </c>
      <c r="H1141" t="s">
        <v>20</v>
      </c>
      <c r="I1141" t="s">
        <v>21</v>
      </c>
      <c r="J1141" t="s">
        <v>29</v>
      </c>
      <c r="K1141">
        <v>8</v>
      </c>
      <c r="L1141">
        <v>174.13333333333301</v>
      </c>
      <c r="M1141" t="s">
        <v>30</v>
      </c>
      <c r="N1141" t="str">
        <f>_xlfn.XLOOKUP(A1141,[1]!brca_metabric_clinical_data__2[Patient ID], [1]!brca_metabric_clinical_data__2[Tumor Size])</f>
        <v>22</v>
      </c>
      <c r="O1141" t="str">
        <f>_xlfn.XLOOKUP(A1141,[1]!brca_metabric_clinical_data__2[Sample ID],[1]!brca_metabric_clinical_data__2[Tumor Stage])</f>
        <v>2</v>
      </c>
    </row>
    <row r="1142" spans="1:15" x14ac:dyDescent="0.45">
      <c r="A1142" t="s">
        <v>1177</v>
      </c>
      <c r="B1142">
        <v>69.650000000000006</v>
      </c>
      <c r="C1142" t="s">
        <v>16</v>
      </c>
      <c r="D1142" t="s">
        <v>17</v>
      </c>
      <c r="E1142" t="s">
        <v>18</v>
      </c>
      <c r="F1142" t="s">
        <v>19</v>
      </c>
      <c r="G1142" t="s">
        <v>20</v>
      </c>
      <c r="H1142" t="s">
        <v>21</v>
      </c>
      <c r="I1142" t="s">
        <v>20</v>
      </c>
      <c r="J1142" t="s">
        <v>27</v>
      </c>
      <c r="K1142">
        <v>7</v>
      </c>
      <c r="L1142">
        <v>99.766666666666694</v>
      </c>
      <c r="M1142" t="s">
        <v>30</v>
      </c>
      <c r="N1142" t="str">
        <f>_xlfn.XLOOKUP(A1142,[1]!brca_metabric_clinical_data__2[Patient ID], [1]!brca_metabric_clinical_data__2[Tumor Size])</f>
        <v>18</v>
      </c>
      <c r="O1142" t="str">
        <f>_xlfn.XLOOKUP(A1142,[1]!brca_metabric_clinical_data__2[Sample ID],[1]!brca_metabric_clinical_data__2[Tumor Stage])</f>
        <v>2</v>
      </c>
    </row>
    <row r="1143" spans="1:15" x14ac:dyDescent="0.45">
      <c r="A1143" t="s">
        <v>1178</v>
      </c>
      <c r="B1143">
        <v>75.27</v>
      </c>
      <c r="C1143" t="s">
        <v>16</v>
      </c>
      <c r="D1143" t="s">
        <v>17</v>
      </c>
      <c r="E1143" t="s">
        <v>18</v>
      </c>
      <c r="F1143" t="s">
        <v>19</v>
      </c>
      <c r="G1143" t="s">
        <v>20</v>
      </c>
      <c r="H1143" t="s">
        <v>21</v>
      </c>
      <c r="I1143" t="s">
        <v>20</v>
      </c>
      <c r="J1143" t="s">
        <v>29</v>
      </c>
      <c r="K1143">
        <v>8</v>
      </c>
      <c r="L1143">
        <v>65.566666666666706</v>
      </c>
      <c r="M1143" t="s">
        <v>30</v>
      </c>
      <c r="N1143" t="str">
        <f>_xlfn.XLOOKUP(A1143,[1]!brca_metabric_clinical_data__2[Patient ID], [1]!brca_metabric_clinical_data__2[Tumor Size])</f>
        <v>32</v>
      </c>
      <c r="O1143" t="str">
        <f>_xlfn.XLOOKUP(A1143,[1]!brca_metabric_clinical_data__2[Sample ID],[1]!brca_metabric_clinical_data__2[Tumor Stage])</f>
        <v>2</v>
      </c>
    </row>
    <row r="1144" spans="1:15" x14ac:dyDescent="0.45">
      <c r="A1144" t="s">
        <v>1179</v>
      </c>
      <c r="B1144">
        <v>44.84</v>
      </c>
      <c r="C1144" t="s">
        <v>16</v>
      </c>
      <c r="D1144" t="s">
        <v>26</v>
      </c>
      <c r="E1144" t="s">
        <v>18</v>
      </c>
      <c r="F1144" t="s">
        <v>19</v>
      </c>
      <c r="G1144" t="s">
        <v>20</v>
      </c>
      <c r="H1144" t="s">
        <v>20</v>
      </c>
      <c r="I1144" t="s">
        <v>21</v>
      </c>
      <c r="J1144" t="s">
        <v>27</v>
      </c>
      <c r="K1144">
        <v>7</v>
      </c>
      <c r="L1144">
        <v>187.933333333333</v>
      </c>
      <c r="M1144" t="s">
        <v>24</v>
      </c>
      <c r="N1144" t="str">
        <f>_xlfn.XLOOKUP(A1144,[1]!brca_metabric_clinical_data__2[Patient ID], [1]!brca_metabric_clinical_data__2[Tumor Size])</f>
        <v>30</v>
      </c>
      <c r="O1144" t="str">
        <f>_xlfn.XLOOKUP(A1144,[1]!brca_metabric_clinical_data__2[Sample ID],[1]!brca_metabric_clinical_data__2[Tumor Stage])</f>
        <v>2</v>
      </c>
    </row>
    <row r="1145" spans="1:15" x14ac:dyDescent="0.45">
      <c r="A1145" t="s">
        <v>1180</v>
      </c>
      <c r="B1145">
        <v>71.61</v>
      </c>
      <c r="C1145" t="s">
        <v>16</v>
      </c>
      <c r="D1145" t="s">
        <v>17</v>
      </c>
      <c r="E1145" t="s">
        <v>18</v>
      </c>
      <c r="F1145" t="s">
        <v>19</v>
      </c>
      <c r="G1145" t="s">
        <v>20</v>
      </c>
      <c r="H1145" t="s">
        <v>21</v>
      </c>
      <c r="I1145" t="s">
        <v>20</v>
      </c>
      <c r="J1145" t="s">
        <v>27</v>
      </c>
      <c r="K1145" t="s">
        <v>23</v>
      </c>
      <c r="L1145">
        <v>81.8</v>
      </c>
      <c r="M1145" t="s">
        <v>30</v>
      </c>
      <c r="N1145" t="str">
        <f>_xlfn.XLOOKUP(A1145,[1]!brca_metabric_clinical_data__2[Patient ID], [1]!brca_metabric_clinical_data__2[Tumor Size])</f>
        <v>21</v>
      </c>
      <c r="O1145" t="str">
        <f>_xlfn.XLOOKUP(A1145,[1]!brca_metabric_clinical_data__2[Sample ID],[1]!brca_metabric_clinical_data__2[Tumor Stage])</f>
        <v>2</v>
      </c>
    </row>
    <row r="1146" spans="1:15" x14ac:dyDescent="0.45">
      <c r="A1146" t="s">
        <v>1181</v>
      </c>
      <c r="B1146">
        <v>42.84</v>
      </c>
      <c r="C1146" t="s">
        <v>16</v>
      </c>
      <c r="D1146" t="s">
        <v>26</v>
      </c>
      <c r="E1146" t="s">
        <v>37</v>
      </c>
      <c r="F1146" t="s">
        <v>19</v>
      </c>
      <c r="G1146" t="s">
        <v>21</v>
      </c>
      <c r="H1146" t="s">
        <v>20</v>
      </c>
      <c r="I1146" t="s">
        <v>21</v>
      </c>
      <c r="J1146" t="s">
        <v>45</v>
      </c>
      <c r="K1146" t="s">
        <v>39</v>
      </c>
      <c r="L1146">
        <v>216.73333333333301</v>
      </c>
      <c r="M1146" t="s">
        <v>24</v>
      </c>
      <c r="N1146" t="str">
        <f>_xlfn.XLOOKUP(A1146,[1]!brca_metabric_clinical_data__2[Patient ID], [1]!brca_metabric_clinical_data__2[Tumor Size])</f>
        <v>37</v>
      </c>
      <c r="O1146" t="str">
        <f>_xlfn.XLOOKUP(A1146,[1]!brca_metabric_clinical_data__2[Sample ID],[1]!brca_metabric_clinical_data__2[Tumor Stage])</f>
        <v>2</v>
      </c>
    </row>
    <row r="1147" spans="1:15" x14ac:dyDescent="0.45">
      <c r="A1147" t="s">
        <v>1182</v>
      </c>
      <c r="B1147">
        <v>65.760000000000005</v>
      </c>
      <c r="C1147" t="s">
        <v>16</v>
      </c>
      <c r="D1147" t="s">
        <v>17</v>
      </c>
      <c r="E1147" t="s">
        <v>37</v>
      </c>
      <c r="F1147" t="s">
        <v>19</v>
      </c>
      <c r="G1147" t="s">
        <v>21</v>
      </c>
      <c r="H1147" t="s">
        <v>20</v>
      </c>
      <c r="I1147" t="s">
        <v>21</v>
      </c>
      <c r="J1147" t="s">
        <v>45</v>
      </c>
      <c r="K1147">
        <v>10</v>
      </c>
      <c r="L1147">
        <v>223.3</v>
      </c>
      <c r="M1147" t="s">
        <v>24</v>
      </c>
      <c r="N1147" t="str">
        <f>_xlfn.XLOOKUP(A1147,[1]!brca_metabric_clinical_data__2[Patient ID], [1]!brca_metabric_clinical_data__2[Tumor Size])</f>
        <v>60</v>
      </c>
      <c r="O1147" t="str">
        <f>_xlfn.XLOOKUP(A1147,[1]!brca_metabric_clinical_data__2[Sample ID],[1]!brca_metabric_clinical_data__2[Tumor Stage])</f>
        <v>3</v>
      </c>
    </row>
    <row r="1148" spans="1:15" x14ac:dyDescent="0.45">
      <c r="A1148" t="s">
        <v>1183</v>
      </c>
      <c r="B1148">
        <v>67.680000000000007</v>
      </c>
      <c r="C1148" t="s">
        <v>16</v>
      </c>
      <c r="D1148" t="s">
        <v>17</v>
      </c>
      <c r="E1148" t="s">
        <v>18</v>
      </c>
      <c r="F1148" t="s">
        <v>19</v>
      </c>
      <c r="G1148" t="s">
        <v>20</v>
      </c>
      <c r="H1148" t="s">
        <v>20</v>
      </c>
      <c r="I1148" t="s">
        <v>21</v>
      </c>
      <c r="J1148" t="s">
        <v>27</v>
      </c>
      <c r="K1148">
        <v>3</v>
      </c>
      <c r="L1148">
        <v>80.5</v>
      </c>
      <c r="M1148" t="s">
        <v>30</v>
      </c>
      <c r="N1148" t="str">
        <f>_xlfn.XLOOKUP(A1148,[1]!brca_metabric_clinical_data__2[Patient ID], [1]!brca_metabric_clinical_data__2[Tumor Size])</f>
        <v>23</v>
      </c>
      <c r="O1148" t="str">
        <f>_xlfn.XLOOKUP(A1148,[1]!brca_metabric_clinical_data__2[Sample ID],[1]!brca_metabric_clinical_data__2[Tumor Stage])</f>
        <v>2</v>
      </c>
    </row>
    <row r="1149" spans="1:15" x14ac:dyDescent="0.45">
      <c r="A1149" t="s">
        <v>1184</v>
      </c>
      <c r="B1149">
        <v>68.56</v>
      </c>
      <c r="C1149" t="s">
        <v>16</v>
      </c>
      <c r="D1149" t="s">
        <v>17</v>
      </c>
      <c r="E1149" t="s">
        <v>18</v>
      </c>
      <c r="F1149" t="s">
        <v>19</v>
      </c>
      <c r="G1149" t="s">
        <v>20</v>
      </c>
      <c r="H1149" t="s">
        <v>21</v>
      </c>
      <c r="I1149" t="s">
        <v>21</v>
      </c>
      <c r="J1149" t="s">
        <v>27</v>
      </c>
      <c r="K1149">
        <v>3</v>
      </c>
      <c r="L1149">
        <v>251.2</v>
      </c>
      <c r="M1149" t="s">
        <v>30</v>
      </c>
      <c r="N1149" t="str">
        <f>_xlfn.XLOOKUP(A1149,[1]!brca_metabric_clinical_data__2[Patient ID], [1]!brca_metabric_clinical_data__2[Tumor Size])</f>
        <v>20</v>
      </c>
      <c r="O1149" t="str">
        <f>_xlfn.XLOOKUP(A1149,[1]!brca_metabric_clinical_data__2[Sample ID],[1]!brca_metabric_clinical_data__2[Tumor Stage])</f>
        <v>2</v>
      </c>
    </row>
    <row r="1150" spans="1:15" x14ac:dyDescent="0.45">
      <c r="A1150" t="s">
        <v>1185</v>
      </c>
      <c r="B1150">
        <v>69.930000000000007</v>
      </c>
      <c r="C1150" t="s">
        <v>16</v>
      </c>
      <c r="D1150" t="s">
        <v>17</v>
      </c>
      <c r="E1150" t="s">
        <v>18</v>
      </c>
      <c r="F1150" t="s">
        <v>19</v>
      </c>
      <c r="G1150" t="s">
        <v>20</v>
      </c>
      <c r="H1150" t="s">
        <v>21</v>
      </c>
      <c r="I1150" t="s">
        <v>21</v>
      </c>
      <c r="J1150" t="s">
        <v>29</v>
      </c>
      <c r="K1150">
        <v>6</v>
      </c>
      <c r="L1150">
        <v>213.36666666666699</v>
      </c>
      <c r="M1150" t="s">
        <v>24</v>
      </c>
      <c r="N1150" t="str">
        <f>_xlfn.XLOOKUP(A1150,[1]!brca_metabric_clinical_data__2[Patient ID], [1]!brca_metabric_clinical_data__2[Tumor Size])</f>
        <v>20</v>
      </c>
      <c r="O1150" t="str">
        <f>_xlfn.XLOOKUP(A1150,[1]!brca_metabric_clinical_data__2[Sample ID],[1]!brca_metabric_clinical_data__2[Tumor Stage])</f>
        <v>NA</v>
      </c>
    </row>
    <row r="1151" spans="1:15" x14ac:dyDescent="0.45">
      <c r="A1151" t="s">
        <v>1186</v>
      </c>
      <c r="B1151">
        <v>44.36</v>
      </c>
      <c r="C1151" t="s">
        <v>16</v>
      </c>
      <c r="D1151" t="s">
        <v>26</v>
      </c>
      <c r="E1151" t="s">
        <v>18</v>
      </c>
      <c r="F1151" t="s">
        <v>19</v>
      </c>
      <c r="G1151" t="s">
        <v>20</v>
      </c>
      <c r="H1151" t="s">
        <v>20</v>
      </c>
      <c r="I1151" t="s">
        <v>21</v>
      </c>
      <c r="J1151" t="s">
        <v>27</v>
      </c>
      <c r="K1151">
        <v>8</v>
      </c>
      <c r="L1151">
        <v>252.3</v>
      </c>
      <c r="M1151" t="s">
        <v>30</v>
      </c>
      <c r="N1151" t="str">
        <f>_xlfn.XLOOKUP(A1151,[1]!brca_metabric_clinical_data__2[Patient ID], [1]!brca_metabric_clinical_data__2[Tumor Size])</f>
        <v>22</v>
      </c>
      <c r="O1151" t="str">
        <f>_xlfn.XLOOKUP(A1151,[1]!brca_metabric_clinical_data__2[Sample ID],[1]!brca_metabric_clinical_data__2[Tumor Stage])</f>
        <v>2</v>
      </c>
    </row>
    <row r="1152" spans="1:15" x14ac:dyDescent="0.45">
      <c r="A1152" t="s">
        <v>1187</v>
      </c>
      <c r="B1152">
        <v>65.86</v>
      </c>
      <c r="C1152" t="s">
        <v>16</v>
      </c>
      <c r="D1152" t="s">
        <v>17</v>
      </c>
      <c r="E1152" t="s">
        <v>18</v>
      </c>
      <c r="F1152" t="s">
        <v>19</v>
      </c>
      <c r="G1152" t="s">
        <v>20</v>
      </c>
      <c r="H1152" t="s">
        <v>21</v>
      </c>
      <c r="I1152" t="s">
        <v>21</v>
      </c>
      <c r="J1152" t="s">
        <v>22</v>
      </c>
      <c r="K1152" t="s">
        <v>23</v>
      </c>
      <c r="L1152">
        <v>144.933333333333</v>
      </c>
      <c r="M1152" t="s">
        <v>24</v>
      </c>
      <c r="N1152" t="str">
        <f>_xlfn.XLOOKUP(A1152,[1]!brca_metabric_clinical_data__2[Patient ID], [1]!brca_metabric_clinical_data__2[Tumor Size])</f>
        <v>14</v>
      </c>
      <c r="O1152" t="str">
        <f>_xlfn.XLOOKUP(A1152,[1]!brca_metabric_clinical_data__2[Sample ID],[1]!brca_metabric_clinical_data__2[Tumor Stage])</f>
        <v>2</v>
      </c>
    </row>
    <row r="1153" spans="1:15" x14ac:dyDescent="0.45">
      <c r="A1153" t="s">
        <v>1188</v>
      </c>
      <c r="B1153">
        <v>72.12</v>
      </c>
      <c r="C1153" t="s">
        <v>16</v>
      </c>
      <c r="D1153" t="s">
        <v>17</v>
      </c>
      <c r="E1153" t="s">
        <v>18</v>
      </c>
      <c r="F1153" t="s">
        <v>19</v>
      </c>
      <c r="G1153" t="s">
        <v>20</v>
      </c>
      <c r="H1153" t="s">
        <v>21</v>
      </c>
      <c r="I1153" t="s">
        <v>20</v>
      </c>
      <c r="J1153" t="s">
        <v>27</v>
      </c>
      <c r="K1153">
        <v>8</v>
      </c>
      <c r="L1153">
        <v>108.6</v>
      </c>
      <c r="M1153" t="s">
        <v>30</v>
      </c>
      <c r="N1153" t="str">
        <f>_xlfn.XLOOKUP(A1153,[1]!brca_metabric_clinical_data__2[Patient ID], [1]!brca_metabric_clinical_data__2[Tumor Size])</f>
        <v>30</v>
      </c>
      <c r="O1153" t="str">
        <f>_xlfn.XLOOKUP(A1153,[1]!brca_metabric_clinical_data__2[Sample ID],[1]!brca_metabric_clinical_data__2[Tumor Stage])</f>
        <v>2</v>
      </c>
    </row>
    <row r="1154" spans="1:15" x14ac:dyDescent="0.45">
      <c r="A1154" t="s">
        <v>1189</v>
      </c>
      <c r="B1154">
        <v>49.88</v>
      </c>
      <c r="C1154" t="s">
        <v>16</v>
      </c>
      <c r="D1154" t="s">
        <v>26</v>
      </c>
      <c r="E1154" t="s">
        <v>37</v>
      </c>
      <c r="F1154" t="s">
        <v>43</v>
      </c>
      <c r="G1154" t="s">
        <v>20</v>
      </c>
      <c r="H1154" t="s">
        <v>20</v>
      </c>
      <c r="I1154" t="s">
        <v>21</v>
      </c>
      <c r="J1154" t="s">
        <v>38</v>
      </c>
      <c r="K1154">
        <v>5</v>
      </c>
      <c r="L1154">
        <v>37.799999999999997</v>
      </c>
      <c r="M1154" t="s">
        <v>30</v>
      </c>
      <c r="N1154" t="str">
        <f>_xlfn.XLOOKUP(A1154,[1]!brca_metabric_clinical_data__2[Patient ID], [1]!brca_metabric_clinical_data__2[Tumor Size])</f>
        <v>12</v>
      </c>
      <c r="O1154" t="str">
        <f>_xlfn.XLOOKUP(A1154,[1]!brca_metabric_clinical_data__2[Sample ID],[1]!brca_metabric_clinical_data__2[Tumor Stage])</f>
        <v>1</v>
      </c>
    </row>
    <row r="1155" spans="1:15" x14ac:dyDescent="0.45">
      <c r="A1155" t="s">
        <v>1190</v>
      </c>
      <c r="B1155">
        <v>62.68</v>
      </c>
      <c r="C1155" t="s">
        <v>16</v>
      </c>
      <c r="D1155" t="s">
        <v>17</v>
      </c>
      <c r="E1155" t="s">
        <v>18</v>
      </c>
      <c r="F1155" t="s">
        <v>35</v>
      </c>
      <c r="G1155" t="s">
        <v>20</v>
      </c>
      <c r="H1155" t="s">
        <v>21</v>
      </c>
      <c r="I1155" t="s">
        <v>21</v>
      </c>
      <c r="J1155" t="s">
        <v>27</v>
      </c>
      <c r="K1155">
        <v>8</v>
      </c>
      <c r="L1155">
        <v>84.8333333333333</v>
      </c>
      <c r="M1155" t="s">
        <v>30</v>
      </c>
      <c r="N1155" t="str">
        <f>_xlfn.XLOOKUP(A1155,[1]!brca_metabric_clinical_data__2[Patient ID], [1]!brca_metabric_clinical_data__2[Tumor Size])</f>
        <v>17</v>
      </c>
      <c r="O1155" t="str">
        <f>_xlfn.XLOOKUP(A1155,[1]!brca_metabric_clinical_data__2[Sample ID],[1]!brca_metabric_clinical_data__2[Tumor Stage])</f>
        <v>2</v>
      </c>
    </row>
    <row r="1156" spans="1:15" x14ac:dyDescent="0.45">
      <c r="A1156" t="s">
        <v>1191</v>
      </c>
      <c r="B1156">
        <v>70.709999999999994</v>
      </c>
      <c r="C1156" t="s">
        <v>16</v>
      </c>
      <c r="D1156" t="s">
        <v>17</v>
      </c>
      <c r="E1156" t="s">
        <v>18</v>
      </c>
      <c r="F1156" t="s">
        <v>43</v>
      </c>
      <c r="G1156" t="s">
        <v>20</v>
      </c>
      <c r="H1156" t="s">
        <v>21</v>
      </c>
      <c r="I1156" t="s">
        <v>20</v>
      </c>
      <c r="J1156" t="s">
        <v>45</v>
      </c>
      <c r="K1156">
        <v>5</v>
      </c>
      <c r="L1156">
        <v>118.6</v>
      </c>
      <c r="M1156" t="s">
        <v>30</v>
      </c>
      <c r="N1156" t="str">
        <f>_xlfn.XLOOKUP(A1156,[1]!brca_metabric_clinical_data__2[Patient ID], [1]!brca_metabric_clinical_data__2[Tumor Size])</f>
        <v>31</v>
      </c>
      <c r="O1156" t="str">
        <f>_xlfn.XLOOKUP(A1156,[1]!brca_metabric_clinical_data__2[Sample ID],[1]!brca_metabric_clinical_data__2[Tumor Stage])</f>
        <v>2</v>
      </c>
    </row>
    <row r="1157" spans="1:15" x14ac:dyDescent="0.45">
      <c r="A1157" t="s">
        <v>1192</v>
      </c>
      <c r="B1157">
        <v>46.95</v>
      </c>
      <c r="C1157" t="s">
        <v>16</v>
      </c>
      <c r="D1157" t="s">
        <v>26</v>
      </c>
      <c r="E1157" t="s">
        <v>18</v>
      </c>
      <c r="F1157" t="s">
        <v>19</v>
      </c>
      <c r="G1157" t="s">
        <v>20</v>
      </c>
      <c r="H1157" t="s">
        <v>20</v>
      </c>
      <c r="I1157" t="s">
        <v>21</v>
      </c>
      <c r="J1157" t="s">
        <v>27</v>
      </c>
      <c r="K1157">
        <v>3</v>
      </c>
      <c r="L1157">
        <v>189.86666666666699</v>
      </c>
      <c r="M1157" t="s">
        <v>24</v>
      </c>
      <c r="N1157" t="str">
        <f>_xlfn.XLOOKUP(A1157,[1]!brca_metabric_clinical_data__2[Patient ID], [1]!brca_metabric_clinical_data__2[Tumor Size])</f>
        <v>25</v>
      </c>
      <c r="O1157" t="str">
        <f>_xlfn.XLOOKUP(A1157,[1]!brca_metabric_clinical_data__2[Sample ID],[1]!brca_metabric_clinical_data__2[Tumor Stage])</f>
        <v>2</v>
      </c>
    </row>
    <row r="1158" spans="1:15" x14ac:dyDescent="0.45">
      <c r="A1158" t="s">
        <v>1193</v>
      </c>
      <c r="B1158">
        <v>63.92</v>
      </c>
      <c r="C1158" t="s">
        <v>16</v>
      </c>
      <c r="D1158" t="s">
        <v>17</v>
      </c>
      <c r="E1158" t="s">
        <v>18</v>
      </c>
      <c r="F1158" t="s">
        <v>19</v>
      </c>
      <c r="G1158" t="s">
        <v>20</v>
      </c>
      <c r="H1158" t="s">
        <v>20</v>
      </c>
      <c r="I1158" t="s">
        <v>21</v>
      </c>
      <c r="J1158" t="s">
        <v>29</v>
      </c>
      <c r="K1158">
        <v>1</v>
      </c>
      <c r="L1158">
        <v>52.733333333333299</v>
      </c>
      <c r="M1158" t="s">
        <v>30</v>
      </c>
      <c r="N1158" t="str">
        <f>_xlfn.XLOOKUP(A1158,[1]!brca_metabric_clinical_data__2[Patient ID], [1]!brca_metabric_clinical_data__2[Tumor Size])</f>
        <v>43</v>
      </c>
      <c r="O1158" t="str">
        <f>_xlfn.XLOOKUP(A1158,[1]!brca_metabric_clinical_data__2[Sample ID],[1]!brca_metabric_clinical_data__2[Tumor Stage])</f>
        <v>2</v>
      </c>
    </row>
    <row r="1159" spans="1:15" x14ac:dyDescent="0.45">
      <c r="A1159" t="s">
        <v>1194</v>
      </c>
      <c r="B1159">
        <v>56.47</v>
      </c>
      <c r="C1159" t="s">
        <v>16</v>
      </c>
      <c r="D1159" t="s">
        <v>17</v>
      </c>
      <c r="E1159" t="s">
        <v>18</v>
      </c>
      <c r="F1159" t="s">
        <v>19</v>
      </c>
      <c r="G1159" t="s">
        <v>20</v>
      </c>
      <c r="H1159" t="s">
        <v>20</v>
      </c>
      <c r="I1159" t="s">
        <v>20</v>
      </c>
      <c r="J1159" t="s">
        <v>27</v>
      </c>
      <c r="K1159">
        <v>3</v>
      </c>
      <c r="L1159">
        <v>213.2</v>
      </c>
      <c r="M1159" t="s">
        <v>30</v>
      </c>
      <c r="N1159" t="str">
        <f>_xlfn.XLOOKUP(A1159,[1]!brca_metabric_clinical_data__2[Patient ID], [1]!brca_metabric_clinical_data__2[Tumor Size])</f>
        <v>55</v>
      </c>
      <c r="O1159" t="str">
        <f>_xlfn.XLOOKUP(A1159,[1]!brca_metabric_clinical_data__2[Sample ID],[1]!brca_metabric_clinical_data__2[Tumor Stage])</f>
        <v>2</v>
      </c>
    </row>
    <row r="1160" spans="1:15" x14ac:dyDescent="0.45">
      <c r="A1160" t="s">
        <v>1195</v>
      </c>
      <c r="B1160">
        <v>67.7</v>
      </c>
      <c r="C1160" t="s">
        <v>16</v>
      </c>
      <c r="D1160" t="s">
        <v>17</v>
      </c>
      <c r="E1160" t="s">
        <v>18</v>
      </c>
      <c r="F1160" t="s">
        <v>43</v>
      </c>
      <c r="G1160" t="s">
        <v>20</v>
      </c>
      <c r="H1160" t="s">
        <v>21</v>
      </c>
      <c r="I1160" t="s">
        <v>21</v>
      </c>
      <c r="J1160" t="s">
        <v>29</v>
      </c>
      <c r="K1160">
        <v>1</v>
      </c>
      <c r="L1160">
        <v>62.133333333333297</v>
      </c>
      <c r="M1160" t="s">
        <v>30</v>
      </c>
      <c r="N1160" t="str">
        <f>_xlfn.XLOOKUP(A1160,[1]!brca_metabric_clinical_data__2[Patient ID], [1]!brca_metabric_clinical_data__2[Tumor Size])</f>
        <v>55</v>
      </c>
      <c r="O1160" t="str">
        <f>_xlfn.XLOOKUP(A1160,[1]!brca_metabric_clinical_data__2[Sample ID],[1]!brca_metabric_clinical_data__2[Tumor Stage])</f>
        <v>3</v>
      </c>
    </row>
    <row r="1161" spans="1:15" x14ac:dyDescent="0.45">
      <c r="A1161" t="s">
        <v>1196</v>
      </c>
      <c r="B1161">
        <v>72.73</v>
      </c>
      <c r="C1161" t="s">
        <v>16</v>
      </c>
      <c r="D1161" t="s">
        <v>17</v>
      </c>
      <c r="E1161" t="s">
        <v>18</v>
      </c>
      <c r="F1161" t="s">
        <v>19</v>
      </c>
      <c r="G1161" t="s">
        <v>20</v>
      </c>
      <c r="H1161" t="s">
        <v>21</v>
      </c>
      <c r="I1161" t="s">
        <v>20</v>
      </c>
      <c r="J1161" t="s">
        <v>29</v>
      </c>
      <c r="K1161">
        <v>6</v>
      </c>
      <c r="L1161">
        <v>79.1666666666667</v>
      </c>
      <c r="M1161" t="s">
        <v>30</v>
      </c>
      <c r="N1161" t="str">
        <f>_xlfn.XLOOKUP(A1161,[1]!brca_metabric_clinical_data__2[Patient ID], [1]!brca_metabric_clinical_data__2[Tumor Size])</f>
        <v>40</v>
      </c>
      <c r="O1161" t="str">
        <f>_xlfn.XLOOKUP(A1161,[1]!brca_metabric_clinical_data__2[Sample ID],[1]!brca_metabric_clinical_data__2[Tumor Stage])</f>
        <v>2</v>
      </c>
    </row>
    <row r="1162" spans="1:15" x14ac:dyDescent="0.45">
      <c r="A1162" t="s">
        <v>1197</v>
      </c>
      <c r="B1162">
        <v>45.4</v>
      </c>
      <c r="C1162" t="s">
        <v>16</v>
      </c>
      <c r="D1162" t="s">
        <v>26</v>
      </c>
      <c r="E1162" t="s">
        <v>18</v>
      </c>
      <c r="F1162" t="s">
        <v>19</v>
      </c>
      <c r="G1162" t="s">
        <v>20</v>
      </c>
      <c r="H1162" t="s">
        <v>20</v>
      </c>
      <c r="I1162" t="s">
        <v>21</v>
      </c>
      <c r="J1162" t="s">
        <v>22</v>
      </c>
      <c r="K1162">
        <v>2</v>
      </c>
      <c r="L1162">
        <v>173.933333333333</v>
      </c>
      <c r="M1162" t="s">
        <v>24</v>
      </c>
      <c r="N1162" t="str">
        <f>_xlfn.XLOOKUP(A1162,[1]!brca_metabric_clinical_data__2[Patient ID], [1]!brca_metabric_clinical_data__2[Tumor Size])</f>
        <v>20</v>
      </c>
      <c r="O1162" t="str">
        <f>_xlfn.XLOOKUP(A1162,[1]!brca_metabric_clinical_data__2[Sample ID],[1]!brca_metabric_clinical_data__2[Tumor Stage])</f>
        <v>1</v>
      </c>
    </row>
    <row r="1163" spans="1:15" x14ac:dyDescent="0.45">
      <c r="A1163" t="s">
        <v>1198</v>
      </c>
      <c r="B1163">
        <v>70.42</v>
      </c>
      <c r="C1163" t="s">
        <v>16</v>
      </c>
      <c r="D1163" t="s">
        <v>17</v>
      </c>
      <c r="E1163" t="s">
        <v>18</v>
      </c>
      <c r="F1163" t="s">
        <v>19</v>
      </c>
      <c r="G1163" t="s">
        <v>20</v>
      </c>
      <c r="H1163" t="s">
        <v>21</v>
      </c>
      <c r="I1163" t="s">
        <v>21</v>
      </c>
      <c r="J1163" t="s">
        <v>27</v>
      </c>
      <c r="K1163">
        <v>8</v>
      </c>
      <c r="L1163">
        <v>128.36666666666699</v>
      </c>
      <c r="M1163" t="s">
        <v>30</v>
      </c>
      <c r="N1163" t="str">
        <f>_xlfn.XLOOKUP(A1163,[1]!brca_metabric_clinical_data__2[Patient ID], [1]!brca_metabric_clinical_data__2[Tumor Size])</f>
        <v>40</v>
      </c>
      <c r="O1163" t="str">
        <f>_xlfn.XLOOKUP(A1163,[1]!brca_metabric_clinical_data__2[Sample ID],[1]!brca_metabric_clinical_data__2[Tumor Stage])</f>
        <v>3</v>
      </c>
    </row>
    <row r="1164" spans="1:15" x14ac:dyDescent="0.45">
      <c r="A1164" t="s">
        <v>1199</v>
      </c>
      <c r="B1164">
        <v>55.56</v>
      </c>
      <c r="C1164" t="s">
        <v>16</v>
      </c>
      <c r="D1164" t="s">
        <v>17</v>
      </c>
      <c r="E1164" t="s">
        <v>18</v>
      </c>
      <c r="F1164" t="s">
        <v>19</v>
      </c>
      <c r="G1164" t="s">
        <v>20</v>
      </c>
      <c r="H1164" t="s">
        <v>20</v>
      </c>
      <c r="I1164" t="s">
        <v>21</v>
      </c>
      <c r="J1164" t="s">
        <v>29</v>
      </c>
      <c r="K1164" t="s">
        <v>23</v>
      </c>
      <c r="L1164">
        <v>139.433333333333</v>
      </c>
      <c r="M1164" t="s">
        <v>24</v>
      </c>
      <c r="N1164" t="str">
        <f>_xlfn.XLOOKUP(A1164,[1]!brca_metabric_clinical_data__2[Patient ID], [1]!brca_metabric_clinical_data__2[Tumor Size])</f>
        <v>17</v>
      </c>
      <c r="O1164" t="str">
        <f>_xlfn.XLOOKUP(A1164,[1]!brca_metabric_clinical_data__2[Sample ID],[1]!brca_metabric_clinical_data__2[Tumor Stage])</f>
        <v>1</v>
      </c>
    </row>
    <row r="1165" spans="1:15" x14ac:dyDescent="0.45">
      <c r="A1165" t="s">
        <v>1200</v>
      </c>
      <c r="B1165">
        <v>70.11</v>
      </c>
      <c r="C1165" t="s">
        <v>16</v>
      </c>
      <c r="D1165" t="s">
        <v>17</v>
      </c>
      <c r="E1165" t="s">
        <v>18</v>
      </c>
      <c r="F1165" t="s">
        <v>19</v>
      </c>
      <c r="G1165" t="s">
        <v>20</v>
      </c>
      <c r="H1165" t="s">
        <v>20</v>
      </c>
      <c r="I1165" t="s">
        <v>21</v>
      </c>
      <c r="J1165" t="s">
        <v>27</v>
      </c>
      <c r="K1165" t="s">
        <v>23</v>
      </c>
      <c r="L1165">
        <v>168.3</v>
      </c>
      <c r="M1165" t="s">
        <v>30</v>
      </c>
      <c r="N1165" t="str">
        <f>_xlfn.XLOOKUP(A1165,[1]!brca_metabric_clinical_data__2[Patient ID], [1]!brca_metabric_clinical_data__2[Tumor Size])</f>
        <v>25</v>
      </c>
      <c r="O1165" t="str">
        <f>_xlfn.XLOOKUP(A1165,[1]!brca_metabric_clinical_data__2[Sample ID],[1]!brca_metabric_clinical_data__2[Tumor Stage])</f>
        <v>2</v>
      </c>
    </row>
    <row r="1166" spans="1:15" x14ac:dyDescent="0.45">
      <c r="A1166" t="s">
        <v>1201</v>
      </c>
      <c r="B1166">
        <v>44.12</v>
      </c>
      <c r="C1166" t="s">
        <v>16</v>
      </c>
      <c r="D1166" t="s">
        <v>26</v>
      </c>
      <c r="E1166" t="s">
        <v>18</v>
      </c>
      <c r="F1166" t="s">
        <v>19</v>
      </c>
      <c r="G1166" t="s">
        <v>20</v>
      </c>
      <c r="H1166" t="s">
        <v>20</v>
      </c>
      <c r="I1166" t="s">
        <v>21</v>
      </c>
      <c r="J1166" t="s">
        <v>27</v>
      </c>
      <c r="K1166">
        <v>7</v>
      </c>
      <c r="L1166">
        <v>86.366666666666703</v>
      </c>
      <c r="M1166" t="s">
        <v>30</v>
      </c>
      <c r="N1166" t="str">
        <f>_xlfn.XLOOKUP(A1166,[1]!brca_metabric_clinical_data__2[Patient ID], [1]!brca_metabric_clinical_data__2[Tumor Size])</f>
        <v>16</v>
      </c>
      <c r="O1166" t="str">
        <f>_xlfn.XLOOKUP(A1166,[1]!brca_metabric_clinical_data__2[Sample ID],[1]!brca_metabric_clinical_data__2[Tumor Stage])</f>
        <v>1</v>
      </c>
    </row>
    <row r="1167" spans="1:15" x14ac:dyDescent="0.45">
      <c r="A1167" t="s">
        <v>1202</v>
      </c>
      <c r="B1167">
        <v>61.76</v>
      </c>
      <c r="C1167" t="s">
        <v>16</v>
      </c>
      <c r="D1167" t="s">
        <v>17</v>
      </c>
      <c r="E1167" t="s">
        <v>18</v>
      </c>
      <c r="F1167" t="s">
        <v>19</v>
      </c>
      <c r="G1167" t="s">
        <v>20</v>
      </c>
      <c r="H1167" t="s">
        <v>20</v>
      </c>
      <c r="I1167" t="s">
        <v>20</v>
      </c>
      <c r="J1167" t="s">
        <v>29</v>
      </c>
      <c r="K1167">
        <v>8</v>
      </c>
      <c r="L1167">
        <v>255.3</v>
      </c>
      <c r="M1167" t="s">
        <v>24</v>
      </c>
      <c r="N1167" t="str">
        <f>_xlfn.XLOOKUP(A1167,[1]!brca_metabric_clinical_data__2[Patient ID], [1]!brca_metabric_clinical_data__2[Tumor Size])</f>
        <v>17</v>
      </c>
      <c r="O1167" t="str">
        <f>_xlfn.XLOOKUP(A1167,[1]!brca_metabric_clinical_data__2[Sample ID],[1]!brca_metabric_clinical_data__2[Tumor Stage])</f>
        <v>1</v>
      </c>
    </row>
    <row r="1168" spans="1:15" x14ac:dyDescent="0.45">
      <c r="A1168" t="s">
        <v>1203</v>
      </c>
      <c r="B1168">
        <v>55.04</v>
      </c>
      <c r="C1168" t="s">
        <v>16</v>
      </c>
      <c r="D1168" t="s">
        <v>17</v>
      </c>
      <c r="E1168" t="s">
        <v>18</v>
      </c>
      <c r="F1168" t="s">
        <v>19</v>
      </c>
      <c r="G1168" t="s">
        <v>20</v>
      </c>
      <c r="H1168" t="s">
        <v>21</v>
      </c>
      <c r="I1168" t="s">
        <v>21</v>
      </c>
      <c r="J1168" t="s">
        <v>27</v>
      </c>
      <c r="K1168">
        <v>3</v>
      </c>
      <c r="L1168">
        <v>184.333333333333</v>
      </c>
      <c r="M1168" t="s">
        <v>24</v>
      </c>
      <c r="N1168" t="str">
        <f>_xlfn.XLOOKUP(A1168,[1]!brca_metabric_clinical_data__2[Patient ID], [1]!brca_metabric_clinical_data__2[Tumor Size])</f>
        <v>15</v>
      </c>
      <c r="O1168" t="str">
        <f>_xlfn.XLOOKUP(A1168,[1]!brca_metabric_clinical_data__2[Sample ID],[1]!brca_metabric_clinical_data__2[Tumor Stage])</f>
        <v>1</v>
      </c>
    </row>
    <row r="1169" spans="1:15" x14ac:dyDescent="0.45">
      <c r="A1169" t="s">
        <v>1204</v>
      </c>
      <c r="B1169">
        <v>76.66</v>
      </c>
      <c r="C1169" t="s">
        <v>16</v>
      </c>
      <c r="D1169" t="s">
        <v>17</v>
      </c>
      <c r="E1169" t="s">
        <v>18</v>
      </c>
      <c r="F1169" t="s">
        <v>43</v>
      </c>
      <c r="G1169" t="s">
        <v>20</v>
      </c>
      <c r="H1169" t="s">
        <v>21</v>
      </c>
      <c r="I1169" t="s">
        <v>20</v>
      </c>
      <c r="J1169" t="s">
        <v>22</v>
      </c>
      <c r="K1169" t="s">
        <v>23</v>
      </c>
      <c r="L1169">
        <v>34.566666666666698</v>
      </c>
      <c r="M1169" t="s">
        <v>30</v>
      </c>
      <c r="N1169" t="str">
        <f>_xlfn.XLOOKUP(A1169,[1]!brca_metabric_clinical_data__2[Patient ID], [1]!brca_metabric_clinical_data__2[Tumor Size])</f>
        <v>35</v>
      </c>
      <c r="O1169" t="str">
        <f>_xlfn.XLOOKUP(A1169,[1]!brca_metabric_clinical_data__2[Sample ID],[1]!brca_metabric_clinical_data__2[Tumor Stage])</f>
        <v>2</v>
      </c>
    </row>
    <row r="1170" spans="1:15" x14ac:dyDescent="0.45">
      <c r="A1170" t="s">
        <v>1205</v>
      </c>
      <c r="B1170">
        <v>68.209999999999994</v>
      </c>
      <c r="C1170" t="s">
        <v>16</v>
      </c>
      <c r="D1170" t="s">
        <v>17</v>
      </c>
      <c r="E1170" t="s">
        <v>18</v>
      </c>
      <c r="F1170" t="s">
        <v>19</v>
      </c>
      <c r="G1170" t="s">
        <v>20</v>
      </c>
      <c r="H1170" t="s">
        <v>20</v>
      </c>
      <c r="I1170" t="s">
        <v>20</v>
      </c>
      <c r="J1170" t="s">
        <v>27</v>
      </c>
      <c r="K1170">
        <v>3</v>
      </c>
      <c r="L1170">
        <v>150.6</v>
      </c>
      <c r="M1170" t="s">
        <v>30</v>
      </c>
      <c r="N1170" t="str">
        <f>_xlfn.XLOOKUP(A1170,[1]!brca_metabric_clinical_data__2[Patient ID], [1]!brca_metabric_clinical_data__2[Tumor Size])</f>
        <v>21</v>
      </c>
      <c r="O1170" t="str">
        <f>_xlfn.XLOOKUP(A1170,[1]!brca_metabric_clinical_data__2[Sample ID],[1]!brca_metabric_clinical_data__2[Tumor Stage])</f>
        <v>NA</v>
      </c>
    </row>
    <row r="1171" spans="1:15" x14ac:dyDescent="0.45">
      <c r="A1171" t="s">
        <v>1206</v>
      </c>
      <c r="B1171">
        <v>52.57</v>
      </c>
      <c r="C1171" t="s">
        <v>16</v>
      </c>
      <c r="D1171" t="s">
        <v>17</v>
      </c>
      <c r="E1171" t="s">
        <v>37</v>
      </c>
      <c r="F1171" t="s">
        <v>43</v>
      </c>
      <c r="G1171" t="s">
        <v>20</v>
      </c>
      <c r="H1171" t="s">
        <v>20</v>
      </c>
      <c r="I1171" t="s">
        <v>20</v>
      </c>
      <c r="J1171" t="s">
        <v>58</v>
      </c>
      <c r="K1171">
        <v>5</v>
      </c>
      <c r="L1171">
        <v>187.7</v>
      </c>
      <c r="M1171" t="s">
        <v>24</v>
      </c>
      <c r="N1171" t="str">
        <f>_xlfn.XLOOKUP(A1171,[1]!brca_metabric_clinical_data__2[Patient ID], [1]!brca_metabric_clinical_data__2[Tumor Size])</f>
        <v>1</v>
      </c>
      <c r="O1171" t="str">
        <f>_xlfn.XLOOKUP(A1171,[1]!brca_metabric_clinical_data__2[Sample ID],[1]!brca_metabric_clinical_data__2[Tumor Stage])</f>
        <v>1</v>
      </c>
    </row>
    <row r="1172" spans="1:15" x14ac:dyDescent="0.45">
      <c r="A1172" t="s">
        <v>1207</v>
      </c>
      <c r="B1172">
        <v>39.25</v>
      </c>
      <c r="C1172" t="s">
        <v>16</v>
      </c>
      <c r="D1172" t="s">
        <v>26</v>
      </c>
      <c r="E1172" t="s">
        <v>37</v>
      </c>
      <c r="F1172" t="s">
        <v>19</v>
      </c>
      <c r="G1172" t="s">
        <v>20</v>
      </c>
      <c r="H1172" t="s">
        <v>20</v>
      </c>
      <c r="I1172" t="s">
        <v>20</v>
      </c>
      <c r="J1172" t="s">
        <v>58</v>
      </c>
      <c r="K1172">
        <v>10</v>
      </c>
      <c r="L1172">
        <v>56.3333333333333</v>
      </c>
      <c r="M1172" t="s">
        <v>30</v>
      </c>
      <c r="N1172" t="str">
        <f>_xlfn.XLOOKUP(A1172,[1]!brca_metabric_clinical_data__2[Patient ID], [1]!brca_metabric_clinical_data__2[Tumor Size])</f>
        <v>15</v>
      </c>
      <c r="O1172" t="str">
        <f>_xlfn.XLOOKUP(A1172,[1]!brca_metabric_clinical_data__2[Sample ID],[1]!brca_metabric_clinical_data__2[Tumor Stage])</f>
        <v>1</v>
      </c>
    </row>
    <row r="1173" spans="1:15" x14ac:dyDescent="0.45">
      <c r="A1173" t="s">
        <v>1208</v>
      </c>
      <c r="B1173">
        <v>61.04</v>
      </c>
      <c r="C1173" t="s">
        <v>16</v>
      </c>
      <c r="D1173" t="s">
        <v>17</v>
      </c>
      <c r="E1173" t="s">
        <v>37</v>
      </c>
      <c r="F1173" t="s">
        <v>19</v>
      </c>
      <c r="G1173" t="s">
        <v>21</v>
      </c>
      <c r="H1173" t="s">
        <v>21</v>
      </c>
      <c r="I1173" t="s">
        <v>21</v>
      </c>
      <c r="J1173" t="s">
        <v>38</v>
      </c>
      <c r="K1173">
        <v>7</v>
      </c>
      <c r="L1173">
        <v>178.73333333333301</v>
      </c>
      <c r="M1173" t="s">
        <v>30</v>
      </c>
      <c r="N1173" t="str">
        <f>_xlfn.XLOOKUP(A1173,[1]!brca_metabric_clinical_data__2[Patient ID], [1]!brca_metabric_clinical_data__2[Tumor Size])</f>
        <v>15</v>
      </c>
      <c r="O1173" t="str">
        <f>_xlfn.XLOOKUP(A1173,[1]!brca_metabric_clinical_data__2[Sample ID],[1]!brca_metabric_clinical_data__2[Tumor Stage])</f>
        <v>2</v>
      </c>
    </row>
    <row r="1174" spans="1:15" x14ac:dyDescent="0.45">
      <c r="A1174" t="s">
        <v>1209</v>
      </c>
      <c r="B1174">
        <v>53.69</v>
      </c>
      <c r="C1174" t="s">
        <v>16</v>
      </c>
      <c r="D1174" t="s">
        <v>17</v>
      </c>
      <c r="E1174" t="s">
        <v>18</v>
      </c>
      <c r="F1174" t="s">
        <v>19</v>
      </c>
      <c r="G1174" t="s">
        <v>20</v>
      </c>
      <c r="H1174" t="s">
        <v>20</v>
      </c>
      <c r="I1174" t="s">
        <v>20</v>
      </c>
      <c r="J1174" t="s">
        <v>27</v>
      </c>
      <c r="K1174">
        <v>8</v>
      </c>
      <c r="L1174">
        <v>257.63333333333298</v>
      </c>
      <c r="M1174" t="s">
        <v>24</v>
      </c>
      <c r="N1174" t="str">
        <f>_xlfn.XLOOKUP(A1174,[1]!brca_metabric_clinical_data__2[Patient ID], [1]!brca_metabric_clinical_data__2[Tumor Size])</f>
        <v>17</v>
      </c>
      <c r="O1174" t="str">
        <f>_xlfn.XLOOKUP(A1174,[1]!brca_metabric_clinical_data__2[Sample ID],[1]!brca_metabric_clinical_data__2[Tumor Stage])</f>
        <v>1</v>
      </c>
    </row>
    <row r="1175" spans="1:15" x14ac:dyDescent="0.45">
      <c r="A1175" t="s">
        <v>1210</v>
      </c>
      <c r="B1175">
        <v>75.010000000000005</v>
      </c>
      <c r="C1175" t="s">
        <v>16</v>
      </c>
      <c r="D1175" t="s">
        <v>17</v>
      </c>
      <c r="E1175" t="s">
        <v>18</v>
      </c>
      <c r="F1175" t="s">
        <v>19</v>
      </c>
      <c r="G1175" t="s">
        <v>20</v>
      </c>
      <c r="H1175" t="s">
        <v>21</v>
      </c>
      <c r="I1175" t="s">
        <v>21</v>
      </c>
      <c r="J1175" t="s">
        <v>29</v>
      </c>
      <c r="K1175">
        <v>8</v>
      </c>
      <c r="L1175">
        <v>150.1</v>
      </c>
      <c r="M1175" t="s">
        <v>30</v>
      </c>
      <c r="N1175" t="str">
        <f>_xlfn.XLOOKUP(A1175,[1]!brca_metabric_clinical_data__2[Patient ID], [1]!brca_metabric_clinical_data__2[Tumor Size])</f>
        <v>25</v>
      </c>
      <c r="O1175" t="str">
        <f>_xlfn.XLOOKUP(A1175,[1]!brca_metabric_clinical_data__2[Sample ID],[1]!brca_metabric_clinical_data__2[Tumor Stage])</f>
        <v>2</v>
      </c>
    </row>
    <row r="1176" spans="1:15" x14ac:dyDescent="0.45">
      <c r="A1176" t="s">
        <v>1211</v>
      </c>
      <c r="B1176">
        <v>71.05</v>
      </c>
      <c r="C1176" t="s">
        <v>16</v>
      </c>
      <c r="D1176" t="s">
        <v>17</v>
      </c>
      <c r="E1176" t="s">
        <v>18</v>
      </c>
      <c r="F1176" t="s">
        <v>19</v>
      </c>
      <c r="G1176" t="s">
        <v>20</v>
      </c>
      <c r="H1176" t="s">
        <v>21</v>
      </c>
      <c r="I1176" t="s">
        <v>21</v>
      </c>
      <c r="J1176" t="s">
        <v>29</v>
      </c>
      <c r="K1176">
        <v>7</v>
      </c>
      <c r="L1176">
        <v>39.433333333333302</v>
      </c>
      <c r="M1176" t="s">
        <v>24</v>
      </c>
      <c r="N1176" t="str">
        <f>_xlfn.XLOOKUP(A1176,[1]!brca_metabric_clinical_data__2[Patient ID], [1]!brca_metabric_clinical_data__2[Tumor Size])</f>
        <v>25</v>
      </c>
      <c r="O1176" t="str">
        <f>_xlfn.XLOOKUP(A1176,[1]!brca_metabric_clinical_data__2[Sample ID],[1]!brca_metabric_clinical_data__2[Tumor Stage])</f>
        <v>2</v>
      </c>
    </row>
    <row r="1177" spans="1:15" x14ac:dyDescent="0.45">
      <c r="A1177" t="s">
        <v>1212</v>
      </c>
      <c r="B1177">
        <v>75.55</v>
      </c>
      <c r="C1177" t="s">
        <v>16</v>
      </c>
      <c r="D1177" t="s">
        <v>17</v>
      </c>
      <c r="E1177" t="s">
        <v>18</v>
      </c>
      <c r="F1177" t="s">
        <v>43</v>
      </c>
      <c r="G1177" t="s">
        <v>20</v>
      </c>
      <c r="H1177" t="s">
        <v>21</v>
      </c>
      <c r="I1177" t="s">
        <v>21</v>
      </c>
      <c r="J1177" t="s">
        <v>29</v>
      </c>
      <c r="K1177">
        <v>1</v>
      </c>
      <c r="L1177">
        <v>168.26666666666699</v>
      </c>
      <c r="M1177" t="s">
        <v>24</v>
      </c>
      <c r="N1177" t="str">
        <f>_xlfn.XLOOKUP(A1177,[1]!brca_metabric_clinical_data__2[Patient ID], [1]!brca_metabric_clinical_data__2[Tumor Size])</f>
        <v>20</v>
      </c>
      <c r="O1177" t="str">
        <f>_xlfn.XLOOKUP(A1177,[1]!brca_metabric_clinical_data__2[Sample ID],[1]!brca_metabric_clinical_data__2[Tumor Stage])</f>
        <v>2</v>
      </c>
    </row>
    <row r="1178" spans="1:15" x14ac:dyDescent="0.45">
      <c r="A1178" t="s">
        <v>1213</v>
      </c>
      <c r="B1178">
        <v>41.54</v>
      </c>
      <c r="C1178" t="s">
        <v>16</v>
      </c>
      <c r="D1178" t="s">
        <v>26</v>
      </c>
      <c r="E1178" t="s">
        <v>37</v>
      </c>
      <c r="F1178" t="s">
        <v>43</v>
      </c>
      <c r="G1178" t="s">
        <v>21</v>
      </c>
      <c r="H1178" t="s">
        <v>20</v>
      </c>
      <c r="I1178" t="s">
        <v>21</v>
      </c>
      <c r="J1178" t="s">
        <v>45</v>
      </c>
      <c r="K1178">
        <v>5</v>
      </c>
      <c r="L1178">
        <v>215.166666666667</v>
      </c>
      <c r="M1178" t="s">
        <v>24</v>
      </c>
      <c r="N1178" t="str">
        <f>_xlfn.XLOOKUP(A1178,[1]!brca_metabric_clinical_data__2[Patient ID], [1]!brca_metabric_clinical_data__2[Tumor Size])</f>
        <v>20</v>
      </c>
      <c r="O1178" t="str">
        <f>_xlfn.XLOOKUP(A1178,[1]!brca_metabric_clinical_data__2[Sample ID],[1]!brca_metabric_clinical_data__2[Tumor Stage])</f>
        <v>2</v>
      </c>
    </row>
    <row r="1179" spans="1:15" x14ac:dyDescent="0.45">
      <c r="A1179" t="s">
        <v>1214</v>
      </c>
      <c r="B1179">
        <v>63.4</v>
      </c>
      <c r="C1179" t="s">
        <v>16</v>
      </c>
      <c r="D1179" t="s">
        <v>17</v>
      </c>
      <c r="E1179" t="s">
        <v>18</v>
      </c>
      <c r="F1179" t="s">
        <v>35</v>
      </c>
      <c r="G1179" t="s">
        <v>20</v>
      </c>
      <c r="H1179" t="s">
        <v>20</v>
      </c>
      <c r="I1179" t="s">
        <v>20</v>
      </c>
      <c r="J1179" t="s">
        <v>27</v>
      </c>
      <c r="K1179" t="s">
        <v>23</v>
      </c>
      <c r="L1179">
        <v>91.5</v>
      </c>
      <c r="M1179" t="s">
        <v>24</v>
      </c>
      <c r="N1179" t="str">
        <f>_xlfn.XLOOKUP(A1179,[1]!brca_metabric_clinical_data__2[Patient ID], [1]!brca_metabric_clinical_data__2[Tumor Size])</f>
        <v>20</v>
      </c>
      <c r="O1179" t="str">
        <f>_xlfn.XLOOKUP(A1179,[1]!brca_metabric_clinical_data__2[Sample ID],[1]!brca_metabric_clinical_data__2[Tumor Stage])</f>
        <v>1</v>
      </c>
    </row>
    <row r="1180" spans="1:15" x14ac:dyDescent="0.45">
      <c r="A1180" t="s">
        <v>1215</v>
      </c>
      <c r="B1180">
        <v>68.66</v>
      </c>
      <c r="C1180" t="s">
        <v>16</v>
      </c>
      <c r="D1180" t="s">
        <v>17</v>
      </c>
      <c r="E1180" t="s">
        <v>37</v>
      </c>
      <c r="F1180" t="s">
        <v>19</v>
      </c>
      <c r="G1180" t="s">
        <v>20</v>
      </c>
      <c r="H1180" t="s">
        <v>20</v>
      </c>
      <c r="I1180" t="s">
        <v>20</v>
      </c>
      <c r="J1180" t="s">
        <v>22</v>
      </c>
      <c r="K1180" t="s">
        <v>39</v>
      </c>
      <c r="L1180">
        <v>184.8</v>
      </c>
      <c r="M1180" t="s">
        <v>24</v>
      </c>
      <c r="N1180" t="str">
        <f>_xlfn.XLOOKUP(A1180,[1]!brca_metabric_clinical_data__2[Patient ID], [1]!brca_metabric_clinical_data__2[Tumor Size])</f>
        <v>16</v>
      </c>
      <c r="O1180" t="str">
        <f>_xlfn.XLOOKUP(A1180,[1]!brca_metabric_clinical_data__2[Sample ID],[1]!brca_metabric_clinical_data__2[Tumor Stage])</f>
        <v>1</v>
      </c>
    </row>
    <row r="1181" spans="1:15" x14ac:dyDescent="0.45">
      <c r="A1181" t="s">
        <v>1216</v>
      </c>
      <c r="B1181">
        <v>53.58</v>
      </c>
      <c r="C1181" t="s">
        <v>16</v>
      </c>
      <c r="D1181" t="s">
        <v>17</v>
      </c>
      <c r="E1181" t="s">
        <v>18</v>
      </c>
      <c r="F1181" t="s">
        <v>19</v>
      </c>
      <c r="G1181" t="s">
        <v>20</v>
      </c>
      <c r="H1181" t="s">
        <v>21</v>
      </c>
      <c r="I1181" t="s">
        <v>21</v>
      </c>
      <c r="J1181" t="s">
        <v>27</v>
      </c>
      <c r="K1181">
        <v>3</v>
      </c>
      <c r="L1181">
        <v>94.7</v>
      </c>
      <c r="M1181" t="s">
        <v>24</v>
      </c>
      <c r="N1181" t="str">
        <f>_xlfn.XLOOKUP(A1181,[1]!brca_metabric_clinical_data__2[Patient ID], [1]!brca_metabric_clinical_data__2[Tumor Size])</f>
        <v>25</v>
      </c>
      <c r="O1181" t="str">
        <f>_xlfn.XLOOKUP(A1181,[1]!brca_metabric_clinical_data__2[Sample ID],[1]!brca_metabric_clinical_data__2[Tumor Stage])</f>
        <v>2</v>
      </c>
    </row>
    <row r="1182" spans="1:15" x14ac:dyDescent="0.45">
      <c r="A1182" t="s">
        <v>1217</v>
      </c>
      <c r="B1182">
        <v>71.19</v>
      </c>
      <c r="C1182" t="s">
        <v>16</v>
      </c>
      <c r="D1182" t="s">
        <v>17</v>
      </c>
      <c r="E1182" t="s">
        <v>18</v>
      </c>
      <c r="F1182" t="s">
        <v>19</v>
      </c>
      <c r="G1182" t="s">
        <v>20</v>
      </c>
      <c r="H1182" t="s">
        <v>21</v>
      </c>
      <c r="I1182" t="s">
        <v>21</v>
      </c>
      <c r="J1182" t="s">
        <v>27</v>
      </c>
      <c r="K1182" t="s">
        <v>23</v>
      </c>
      <c r="L1182">
        <v>182.5</v>
      </c>
      <c r="M1182" t="s">
        <v>24</v>
      </c>
      <c r="N1182" t="str">
        <f>_xlfn.XLOOKUP(A1182,[1]!brca_metabric_clinical_data__2[Patient ID], [1]!brca_metabric_clinical_data__2[Tumor Size])</f>
        <v>15</v>
      </c>
      <c r="O1182" t="str">
        <f>_xlfn.XLOOKUP(A1182,[1]!brca_metabric_clinical_data__2[Sample ID],[1]!brca_metabric_clinical_data__2[Tumor Stage])</f>
        <v>NA</v>
      </c>
    </row>
    <row r="1183" spans="1:15" x14ac:dyDescent="0.45">
      <c r="A1183" t="s">
        <v>1218</v>
      </c>
      <c r="B1183">
        <v>47.38</v>
      </c>
      <c r="C1183" t="s">
        <v>16</v>
      </c>
      <c r="D1183" t="s">
        <v>26</v>
      </c>
      <c r="E1183" t="s">
        <v>37</v>
      </c>
      <c r="F1183" t="s">
        <v>35</v>
      </c>
      <c r="G1183" t="s">
        <v>21</v>
      </c>
      <c r="H1183" t="s">
        <v>20</v>
      </c>
      <c r="I1183" t="s">
        <v>20</v>
      </c>
      <c r="J1183" t="s">
        <v>58</v>
      </c>
      <c r="K1183">
        <v>10</v>
      </c>
      <c r="L1183">
        <v>213.9</v>
      </c>
      <c r="M1183" t="s">
        <v>24</v>
      </c>
      <c r="N1183" t="str">
        <f>_xlfn.XLOOKUP(A1183,[1]!brca_metabric_clinical_data__2[Patient ID], [1]!brca_metabric_clinical_data__2[Tumor Size])</f>
        <v>30</v>
      </c>
      <c r="O1183" t="str">
        <f>_xlfn.XLOOKUP(A1183,[1]!brca_metabric_clinical_data__2[Sample ID],[1]!brca_metabric_clinical_data__2[Tumor Stage])</f>
        <v>NA</v>
      </c>
    </row>
    <row r="1184" spans="1:15" x14ac:dyDescent="0.45">
      <c r="A1184" t="s">
        <v>1219</v>
      </c>
      <c r="B1184">
        <v>52.23</v>
      </c>
      <c r="C1184" t="s">
        <v>16</v>
      </c>
      <c r="D1184" t="s">
        <v>17</v>
      </c>
      <c r="E1184" t="s">
        <v>37</v>
      </c>
      <c r="F1184" t="s">
        <v>19</v>
      </c>
      <c r="G1184" t="s">
        <v>21</v>
      </c>
      <c r="H1184" t="s">
        <v>20</v>
      </c>
      <c r="I1184" t="s">
        <v>20</v>
      </c>
      <c r="J1184" t="s">
        <v>45</v>
      </c>
      <c r="K1184" t="s">
        <v>39</v>
      </c>
      <c r="L1184">
        <v>50.233333333333299</v>
      </c>
      <c r="M1184" t="s">
        <v>30</v>
      </c>
      <c r="N1184" t="str">
        <f>_xlfn.XLOOKUP(A1184,[1]!brca_metabric_clinical_data__2[Patient ID], [1]!brca_metabric_clinical_data__2[Tumor Size])</f>
        <v>30</v>
      </c>
      <c r="O1184" t="str">
        <f>_xlfn.XLOOKUP(A1184,[1]!brca_metabric_clinical_data__2[Sample ID],[1]!brca_metabric_clinical_data__2[Tumor Stage])</f>
        <v>2</v>
      </c>
    </row>
    <row r="1185" spans="1:15" x14ac:dyDescent="0.45">
      <c r="A1185" t="s">
        <v>1220</v>
      </c>
      <c r="B1185">
        <v>67.87</v>
      </c>
      <c r="C1185" t="s">
        <v>16</v>
      </c>
      <c r="D1185" t="s">
        <v>17</v>
      </c>
      <c r="E1185" t="s">
        <v>18</v>
      </c>
      <c r="F1185" t="s">
        <v>19</v>
      </c>
      <c r="G1185" t="s">
        <v>20</v>
      </c>
      <c r="H1185" t="s">
        <v>21</v>
      </c>
      <c r="I1185" t="s">
        <v>20</v>
      </c>
      <c r="J1185" t="s">
        <v>22</v>
      </c>
      <c r="K1185" t="s">
        <v>23</v>
      </c>
      <c r="L1185">
        <v>194.166666666667</v>
      </c>
      <c r="M1185" t="s">
        <v>30</v>
      </c>
      <c r="N1185" t="str">
        <f>_xlfn.XLOOKUP(A1185,[1]!brca_metabric_clinical_data__2[Patient ID], [1]!brca_metabric_clinical_data__2[Tumor Size])</f>
        <v>50</v>
      </c>
      <c r="O1185" t="str">
        <f>_xlfn.XLOOKUP(A1185,[1]!brca_metabric_clinical_data__2[Sample ID],[1]!brca_metabric_clinical_data__2[Tumor Stage])</f>
        <v>2</v>
      </c>
    </row>
    <row r="1186" spans="1:15" x14ac:dyDescent="0.45">
      <c r="A1186" t="s">
        <v>1221</v>
      </c>
      <c r="B1186">
        <v>70.59</v>
      </c>
      <c r="C1186" t="s">
        <v>16</v>
      </c>
      <c r="D1186" t="s">
        <v>17</v>
      </c>
      <c r="E1186" t="s">
        <v>18</v>
      </c>
      <c r="F1186" t="s">
        <v>19</v>
      </c>
      <c r="G1186" t="s">
        <v>20</v>
      </c>
      <c r="H1186" t="s">
        <v>21</v>
      </c>
      <c r="I1186" t="s">
        <v>21</v>
      </c>
      <c r="J1186" t="s">
        <v>27</v>
      </c>
      <c r="K1186">
        <v>3</v>
      </c>
      <c r="L1186">
        <v>221.6</v>
      </c>
      <c r="M1186" t="s">
        <v>30</v>
      </c>
      <c r="N1186" t="str">
        <f>_xlfn.XLOOKUP(A1186,[1]!brca_metabric_clinical_data__2[Patient ID], [1]!brca_metabric_clinical_data__2[Tumor Size])</f>
        <v>25</v>
      </c>
      <c r="O1186" t="str">
        <f>_xlfn.XLOOKUP(A1186,[1]!brca_metabric_clinical_data__2[Sample ID],[1]!brca_metabric_clinical_data__2[Tumor Stage])</f>
        <v>2</v>
      </c>
    </row>
    <row r="1187" spans="1:15" x14ac:dyDescent="0.45">
      <c r="A1187" t="s">
        <v>1222</v>
      </c>
      <c r="B1187">
        <v>28.05</v>
      </c>
      <c r="C1187" t="s">
        <v>16</v>
      </c>
      <c r="D1187" t="s">
        <v>26</v>
      </c>
      <c r="E1187" t="s">
        <v>37</v>
      </c>
      <c r="F1187" t="s">
        <v>19</v>
      </c>
      <c r="G1187" t="s">
        <v>21</v>
      </c>
      <c r="H1187" t="s">
        <v>20</v>
      </c>
      <c r="I1187" t="s">
        <v>21</v>
      </c>
      <c r="J1187" t="s">
        <v>58</v>
      </c>
      <c r="K1187">
        <v>10</v>
      </c>
      <c r="L1187">
        <v>26.866666666666699</v>
      </c>
      <c r="M1187" t="s">
        <v>30</v>
      </c>
      <c r="N1187" t="str">
        <f>_xlfn.XLOOKUP(A1187,[1]!brca_metabric_clinical_data__2[Patient ID], [1]!brca_metabric_clinical_data__2[Tumor Size])</f>
        <v>35</v>
      </c>
      <c r="O1187" t="str">
        <f>_xlfn.XLOOKUP(A1187,[1]!brca_metabric_clinical_data__2[Sample ID],[1]!brca_metabric_clinical_data__2[Tumor Stage])</f>
        <v>2</v>
      </c>
    </row>
    <row r="1188" spans="1:15" x14ac:dyDescent="0.45">
      <c r="A1188" t="s">
        <v>1223</v>
      </c>
      <c r="B1188">
        <v>56.33</v>
      </c>
      <c r="C1188" t="s">
        <v>16</v>
      </c>
      <c r="D1188" t="s">
        <v>17</v>
      </c>
      <c r="E1188" t="s">
        <v>18</v>
      </c>
      <c r="F1188" t="s">
        <v>43</v>
      </c>
      <c r="G1188" t="s">
        <v>20</v>
      </c>
      <c r="H1188" t="s">
        <v>21</v>
      </c>
      <c r="I1188" t="s">
        <v>21</v>
      </c>
      <c r="J1188" t="s">
        <v>29</v>
      </c>
      <c r="K1188">
        <v>5</v>
      </c>
      <c r="L1188">
        <v>87.1</v>
      </c>
      <c r="M1188" t="s">
        <v>30</v>
      </c>
      <c r="N1188" t="str">
        <f>_xlfn.XLOOKUP(A1188,[1]!brca_metabric_clinical_data__2[Patient ID], [1]!brca_metabric_clinical_data__2[Tumor Size])</f>
        <v>24</v>
      </c>
      <c r="O1188" t="str">
        <f>_xlfn.XLOOKUP(A1188,[1]!brca_metabric_clinical_data__2[Sample ID],[1]!brca_metabric_clinical_data__2[Tumor Stage])</f>
        <v>2</v>
      </c>
    </row>
    <row r="1189" spans="1:15" x14ac:dyDescent="0.45">
      <c r="A1189" t="s">
        <v>1224</v>
      </c>
      <c r="B1189">
        <v>66.38</v>
      </c>
      <c r="C1189" t="s">
        <v>16</v>
      </c>
      <c r="D1189" t="s">
        <v>17</v>
      </c>
      <c r="E1189" t="s">
        <v>18</v>
      </c>
      <c r="F1189" t="s">
        <v>19</v>
      </c>
      <c r="G1189" t="s">
        <v>20</v>
      </c>
      <c r="H1189" t="s">
        <v>20</v>
      </c>
      <c r="I1189" t="s">
        <v>21</v>
      </c>
      <c r="J1189" t="s">
        <v>27</v>
      </c>
      <c r="K1189">
        <v>8</v>
      </c>
      <c r="L1189">
        <v>199.933333333333</v>
      </c>
      <c r="M1189" t="s">
        <v>24</v>
      </c>
      <c r="N1189" t="str">
        <f>_xlfn.XLOOKUP(A1189,[1]!brca_metabric_clinical_data__2[Patient ID], [1]!brca_metabric_clinical_data__2[Tumor Size])</f>
        <v>15</v>
      </c>
      <c r="O1189" t="str">
        <f>_xlfn.XLOOKUP(A1189,[1]!brca_metabric_clinical_data__2[Sample ID],[1]!brca_metabric_clinical_data__2[Tumor Stage])</f>
        <v>1</v>
      </c>
    </row>
    <row r="1190" spans="1:15" x14ac:dyDescent="0.45">
      <c r="A1190" t="s">
        <v>1225</v>
      </c>
      <c r="B1190">
        <v>43.63</v>
      </c>
      <c r="C1190" t="s">
        <v>16</v>
      </c>
      <c r="D1190" t="s">
        <v>26</v>
      </c>
      <c r="E1190" t="s">
        <v>18</v>
      </c>
      <c r="F1190" t="s">
        <v>19</v>
      </c>
      <c r="G1190" t="s">
        <v>20</v>
      </c>
      <c r="H1190" t="s">
        <v>20</v>
      </c>
      <c r="I1190" t="s">
        <v>20</v>
      </c>
      <c r="J1190" t="s">
        <v>38</v>
      </c>
      <c r="K1190">
        <v>9</v>
      </c>
      <c r="L1190">
        <v>58</v>
      </c>
      <c r="M1190" t="s">
        <v>30</v>
      </c>
      <c r="N1190" t="str">
        <f>_xlfn.XLOOKUP(A1190,[1]!brca_metabric_clinical_data__2[Patient ID], [1]!brca_metabric_clinical_data__2[Tumor Size])</f>
        <v>16</v>
      </c>
      <c r="O1190" t="str">
        <f>_xlfn.XLOOKUP(A1190,[1]!brca_metabric_clinical_data__2[Sample ID],[1]!brca_metabric_clinical_data__2[Tumor Stage])</f>
        <v>NA</v>
      </c>
    </row>
    <row r="1191" spans="1:15" x14ac:dyDescent="0.45">
      <c r="A1191" t="s">
        <v>1226</v>
      </c>
      <c r="B1191">
        <v>49</v>
      </c>
      <c r="C1191" t="s">
        <v>16</v>
      </c>
      <c r="D1191" t="s">
        <v>26</v>
      </c>
      <c r="E1191" t="s">
        <v>18</v>
      </c>
      <c r="F1191" t="s">
        <v>19</v>
      </c>
      <c r="G1191" t="s">
        <v>20</v>
      </c>
      <c r="H1191" t="s">
        <v>20</v>
      </c>
      <c r="I1191" t="s">
        <v>20</v>
      </c>
      <c r="J1191" t="s">
        <v>27</v>
      </c>
      <c r="K1191">
        <v>8</v>
      </c>
      <c r="L1191">
        <v>198.1</v>
      </c>
      <c r="M1191" t="s">
        <v>30</v>
      </c>
      <c r="N1191" t="str">
        <f>_xlfn.XLOOKUP(A1191,[1]!brca_metabric_clinical_data__2[Patient ID], [1]!brca_metabric_clinical_data__2[Tumor Size])</f>
        <v>20</v>
      </c>
      <c r="O1191" t="str">
        <f>_xlfn.XLOOKUP(A1191,[1]!brca_metabric_clinical_data__2[Sample ID],[1]!brca_metabric_clinical_data__2[Tumor Stage])</f>
        <v>1</v>
      </c>
    </row>
    <row r="1192" spans="1:15" x14ac:dyDescent="0.45">
      <c r="A1192" t="s">
        <v>1227</v>
      </c>
      <c r="B1192">
        <v>65.41</v>
      </c>
      <c r="C1192" t="s">
        <v>16</v>
      </c>
      <c r="D1192" t="s">
        <v>17</v>
      </c>
      <c r="E1192" t="s">
        <v>18</v>
      </c>
      <c r="F1192" t="s">
        <v>19</v>
      </c>
      <c r="G1192" t="s">
        <v>20</v>
      </c>
      <c r="H1192" t="s">
        <v>20</v>
      </c>
      <c r="I1192" t="s">
        <v>20</v>
      </c>
      <c r="J1192" t="s">
        <v>27</v>
      </c>
      <c r="K1192">
        <v>8</v>
      </c>
      <c r="L1192">
        <v>84.233333333333306</v>
      </c>
      <c r="M1192" t="s">
        <v>30</v>
      </c>
      <c r="N1192" t="str">
        <f>_xlfn.XLOOKUP(A1192,[1]!brca_metabric_clinical_data__2[Patient ID], [1]!brca_metabric_clinical_data__2[Tumor Size])</f>
        <v>10</v>
      </c>
      <c r="O1192" t="str">
        <f>_xlfn.XLOOKUP(A1192,[1]!brca_metabric_clinical_data__2[Sample ID],[1]!brca_metabric_clinical_data__2[Tumor Stage])</f>
        <v>1</v>
      </c>
    </row>
    <row r="1193" spans="1:15" x14ac:dyDescent="0.45">
      <c r="A1193" t="s">
        <v>1228</v>
      </c>
      <c r="B1193">
        <v>72.38</v>
      </c>
      <c r="C1193" t="s">
        <v>16</v>
      </c>
      <c r="D1193" t="s">
        <v>17</v>
      </c>
      <c r="E1193" t="s">
        <v>18</v>
      </c>
      <c r="F1193" t="s">
        <v>19</v>
      </c>
      <c r="G1193" t="s">
        <v>20</v>
      </c>
      <c r="H1193" t="s">
        <v>21</v>
      </c>
      <c r="I1193" t="s">
        <v>20</v>
      </c>
      <c r="J1193" t="s">
        <v>27</v>
      </c>
      <c r="K1193">
        <v>8</v>
      </c>
      <c r="L1193">
        <v>199.36666666666699</v>
      </c>
      <c r="M1193" t="s">
        <v>30</v>
      </c>
      <c r="N1193" t="str">
        <f>_xlfn.XLOOKUP(A1193,[1]!brca_metabric_clinical_data__2[Patient ID], [1]!brca_metabric_clinical_data__2[Tumor Size])</f>
        <v>30</v>
      </c>
      <c r="O1193" t="str">
        <f>_xlfn.XLOOKUP(A1193,[1]!brca_metabric_clinical_data__2[Sample ID],[1]!brca_metabric_clinical_data__2[Tumor Stage])</f>
        <v>2</v>
      </c>
    </row>
    <row r="1194" spans="1:15" x14ac:dyDescent="0.45">
      <c r="A1194" t="s">
        <v>1229</v>
      </c>
      <c r="B1194">
        <v>76.37</v>
      </c>
      <c r="C1194" t="s">
        <v>16</v>
      </c>
      <c r="D1194" t="s">
        <v>17</v>
      </c>
      <c r="E1194" t="s">
        <v>18</v>
      </c>
      <c r="F1194" t="s">
        <v>19</v>
      </c>
      <c r="G1194" t="s">
        <v>20</v>
      </c>
      <c r="H1194" t="s">
        <v>21</v>
      </c>
      <c r="I1194" t="s">
        <v>20</v>
      </c>
      <c r="J1194" t="s">
        <v>27</v>
      </c>
      <c r="K1194">
        <v>3</v>
      </c>
      <c r="L1194">
        <v>174.566666666667</v>
      </c>
      <c r="M1194" t="s">
        <v>30</v>
      </c>
      <c r="N1194" t="str">
        <f>_xlfn.XLOOKUP(A1194,[1]!brca_metabric_clinical_data__2[Patient ID], [1]!brca_metabric_clinical_data__2[Tumor Size])</f>
        <v>20</v>
      </c>
      <c r="O1194" t="str">
        <f>_xlfn.XLOOKUP(A1194,[1]!brca_metabric_clinical_data__2[Sample ID],[1]!brca_metabric_clinical_data__2[Tumor Stage])</f>
        <v>2</v>
      </c>
    </row>
    <row r="1195" spans="1:15" x14ac:dyDescent="0.45">
      <c r="A1195" t="s">
        <v>1230</v>
      </c>
      <c r="B1195">
        <v>69.95</v>
      </c>
      <c r="C1195" t="s">
        <v>16</v>
      </c>
      <c r="D1195" t="s">
        <v>17</v>
      </c>
      <c r="E1195" t="s">
        <v>18</v>
      </c>
      <c r="F1195" t="s">
        <v>19</v>
      </c>
      <c r="G1195" t="s">
        <v>20</v>
      </c>
      <c r="H1195" t="s">
        <v>21</v>
      </c>
      <c r="I1195" t="s">
        <v>20</v>
      </c>
      <c r="J1195" t="s">
        <v>45</v>
      </c>
      <c r="K1195">
        <v>1</v>
      </c>
      <c r="L1195">
        <v>142.433333333333</v>
      </c>
      <c r="M1195" t="s">
        <v>30</v>
      </c>
      <c r="N1195" t="str">
        <f>_xlfn.XLOOKUP(A1195,[1]!brca_metabric_clinical_data__2[Patient ID], [1]!brca_metabric_clinical_data__2[Tumor Size])</f>
        <v>30</v>
      </c>
      <c r="O1195" t="str">
        <f>_xlfn.XLOOKUP(A1195,[1]!brca_metabric_clinical_data__2[Sample ID],[1]!brca_metabric_clinical_data__2[Tumor Stage])</f>
        <v>2</v>
      </c>
    </row>
    <row r="1196" spans="1:15" x14ac:dyDescent="0.45">
      <c r="A1196" t="s">
        <v>1231</v>
      </c>
      <c r="B1196">
        <v>56.33</v>
      </c>
      <c r="C1196" t="s">
        <v>16</v>
      </c>
      <c r="D1196" t="s">
        <v>17</v>
      </c>
      <c r="E1196" t="s">
        <v>18</v>
      </c>
      <c r="F1196" t="s">
        <v>19</v>
      </c>
      <c r="G1196" t="s">
        <v>20</v>
      </c>
      <c r="H1196" t="s">
        <v>21</v>
      </c>
      <c r="I1196" t="s">
        <v>20</v>
      </c>
      <c r="J1196" t="s">
        <v>29</v>
      </c>
      <c r="K1196">
        <v>1</v>
      </c>
      <c r="L1196">
        <v>61.6</v>
      </c>
      <c r="M1196" t="s">
        <v>24</v>
      </c>
      <c r="N1196" t="str">
        <f>_xlfn.XLOOKUP(A1196,[1]!brca_metabric_clinical_data__2[Patient ID], [1]!brca_metabric_clinical_data__2[Tumor Size])</f>
        <v>22</v>
      </c>
      <c r="O1196" t="str">
        <f>_xlfn.XLOOKUP(A1196,[1]!brca_metabric_clinical_data__2[Sample ID],[1]!brca_metabric_clinical_data__2[Tumor Stage])</f>
        <v>2</v>
      </c>
    </row>
    <row r="1197" spans="1:15" x14ac:dyDescent="0.45">
      <c r="A1197" t="s">
        <v>1232</v>
      </c>
      <c r="B1197">
        <v>61.92</v>
      </c>
      <c r="C1197" t="s">
        <v>16</v>
      </c>
      <c r="D1197" t="s">
        <v>17</v>
      </c>
      <c r="E1197" t="s">
        <v>18</v>
      </c>
      <c r="F1197" t="s">
        <v>19</v>
      </c>
      <c r="G1197" t="s">
        <v>20</v>
      </c>
      <c r="H1197" t="s">
        <v>20</v>
      </c>
      <c r="I1197" t="s">
        <v>20</v>
      </c>
      <c r="J1197" t="s">
        <v>27</v>
      </c>
      <c r="K1197">
        <v>9</v>
      </c>
      <c r="L1197">
        <v>186.4</v>
      </c>
      <c r="M1197" t="s">
        <v>30</v>
      </c>
      <c r="N1197" t="str">
        <f>_xlfn.XLOOKUP(A1197,[1]!brca_metabric_clinical_data__2[Patient ID], [1]!brca_metabric_clinical_data__2[Tumor Size])</f>
        <v>18</v>
      </c>
      <c r="O1197" t="str">
        <f>_xlfn.XLOOKUP(A1197,[1]!brca_metabric_clinical_data__2[Sample ID],[1]!brca_metabric_clinical_data__2[Tumor Stage])</f>
        <v>1</v>
      </c>
    </row>
    <row r="1198" spans="1:15" x14ac:dyDescent="0.45">
      <c r="A1198" t="s">
        <v>1233</v>
      </c>
      <c r="B1198">
        <v>32.74</v>
      </c>
      <c r="C1198" t="s">
        <v>16</v>
      </c>
      <c r="D1198" t="s">
        <v>26</v>
      </c>
      <c r="E1198" t="s">
        <v>37</v>
      </c>
      <c r="F1198" t="s">
        <v>19</v>
      </c>
      <c r="G1198" t="s">
        <v>21</v>
      </c>
      <c r="H1198" t="s">
        <v>21</v>
      </c>
      <c r="I1198" t="s">
        <v>21</v>
      </c>
      <c r="J1198" t="s">
        <v>22</v>
      </c>
      <c r="K1198">
        <v>10</v>
      </c>
      <c r="L1198">
        <v>19.899999999999999</v>
      </c>
      <c r="M1198" t="s">
        <v>30</v>
      </c>
      <c r="N1198" t="str">
        <f>_xlfn.XLOOKUP(A1198,[1]!brca_metabric_clinical_data__2[Patient ID], [1]!brca_metabric_clinical_data__2[Tumor Size])</f>
        <v>20</v>
      </c>
      <c r="O1198" t="str">
        <f>_xlfn.XLOOKUP(A1198,[1]!brca_metabric_clinical_data__2[Sample ID],[1]!brca_metabric_clinical_data__2[Tumor Stage])</f>
        <v>2</v>
      </c>
    </row>
    <row r="1199" spans="1:15" x14ac:dyDescent="0.45">
      <c r="A1199" t="s">
        <v>1234</v>
      </c>
      <c r="B1199">
        <v>67.86</v>
      </c>
      <c r="C1199" t="s">
        <v>16</v>
      </c>
      <c r="D1199" t="s">
        <v>17</v>
      </c>
      <c r="E1199" t="s">
        <v>18</v>
      </c>
      <c r="F1199" t="s">
        <v>19</v>
      </c>
      <c r="G1199" t="s">
        <v>20</v>
      </c>
      <c r="H1199" t="s">
        <v>21</v>
      </c>
      <c r="I1199" t="s">
        <v>21</v>
      </c>
      <c r="J1199" t="s">
        <v>29</v>
      </c>
      <c r="K1199">
        <v>6</v>
      </c>
      <c r="L1199">
        <v>34.3333333333333</v>
      </c>
      <c r="M1199" t="s">
        <v>30</v>
      </c>
      <c r="N1199" t="str">
        <f>_xlfn.XLOOKUP(A1199,[1]!brca_metabric_clinical_data__2[Patient ID], [1]!brca_metabric_clinical_data__2[Tumor Size])</f>
        <v>50</v>
      </c>
      <c r="O1199" t="str">
        <f>_xlfn.XLOOKUP(A1199,[1]!brca_metabric_clinical_data__2[Sample ID],[1]!brca_metabric_clinical_data__2[Tumor Stage])</f>
        <v>3</v>
      </c>
    </row>
    <row r="1200" spans="1:15" x14ac:dyDescent="0.45">
      <c r="A1200" t="s">
        <v>1235</v>
      </c>
      <c r="B1200">
        <v>69.930000000000007</v>
      </c>
      <c r="C1200" t="s">
        <v>16</v>
      </c>
      <c r="D1200" t="s">
        <v>17</v>
      </c>
      <c r="E1200" t="s">
        <v>37</v>
      </c>
      <c r="F1200" t="s">
        <v>19</v>
      </c>
      <c r="G1200" t="s">
        <v>21</v>
      </c>
      <c r="H1200" t="s">
        <v>21</v>
      </c>
      <c r="I1200" t="s">
        <v>21</v>
      </c>
      <c r="J1200" t="s">
        <v>58</v>
      </c>
      <c r="K1200">
        <v>10</v>
      </c>
      <c r="L1200">
        <v>30.366666666666699</v>
      </c>
      <c r="M1200" t="s">
        <v>30</v>
      </c>
      <c r="N1200" t="str">
        <f>_xlfn.XLOOKUP(A1200,[1]!brca_metabric_clinical_data__2[Patient ID], [1]!brca_metabric_clinical_data__2[Tumor Size])</f>
        <v>20</v>
      </c>
      <c r="O1200" t="str">
        <f>_xlfn.XLOOKUP(A1200,[1]!brca_metabric_clinical_data__2[Sample ID],[1]!brca_metabric_clinical_data__2[Tumor Stage])</f>
        <v>2</v>
      </c>
    </row>
    <row r="1201" spans="1:15" x14ac:dyDescent="0.45">
      <c r="A1201" t="s">
        <v>1236</v>
      </c>
      <c r="B1201">
        <v>73.81</v>
      </c>
      <c r="C1201" t="s">
        <v>16</v>
      </c>
      <c r="D1201" t="s">
        <v>17</v>
      </c>
      <c r="E1201" t="s">
        <v>18</v>
      </c>
      <c r="F1201" t="s">
        <v>19</v>
      </c>
      <c r="G1201" t="s">
        <v>20</v>
      </c>
      <c r="H1201" t="s">
        <v>20</v>
      </c>
      <c r="I1201" t="s">
        <v>20</v>
      </c>
      <c r="J1201" t="s">
        <v>27</v>
      </c>
      <c r="K1201">
        <v>8</v>
      </c>
      <c r="L1201">
        <v>122.5</v>
      </c>
      <c r="M1201" t="s">
        <v>30</v>
      </c>
      <c r="N1201" t="str">
        <f>_xlfn.XLOOKUP(A1201,[1]!brca_metabric_clinical_data__2[Patient ID], [1]!brca_metabric_clinical_data__2[Tumor Size])</f>
        <v>15</v>
      </c>
      <c r="O1201" t="str">
        <f>_xlfn.XLOOKUP(A1201,[1]!brca_metabric_clinical_data__2[Sample ID],[1]!brca_metabric_clinical_data__2[Tumor Stage])</f>
        <v>1</v>
      </c>
    </row>
    <row r="1202" spans="1:15" x14ac:dyDescent="0.45">
      <c r="A1202" t="s">
        <v>1237</v>
      </c>
      <c r="B1202">
        <v>63.24</v>
      </c>
      <c r="C1202" t="s">
        <v>16</v>
      </c>
      <c r="D1202" t="s">
        <v>17</v>
      </c>
      <c r="E1202" t="s">
        <v>18</v>
      </c>
      <c r="F1202" t="s">
        <v>19</v>
      </c>
      <c r="G1202" t="s">
        <v>20</v>
      </c>
      <c r="H1202" t="s">
        <v>20</v>
      </c>
      <c r="I1202" t="s">
        <v>21</v>
      </c>
      <c r="J1202" t="s">
        <v>27</v>
      </c>
      <c r="K1202">
        <v>8</v>
      </c>
      <c r="L1202">
        <v>204.433333333333</v>
      </c>
      <c r="M1202" t="s">
        <v>30</v>
      </c>
      <c r="N1202" t="str">
        <f>_xlfn.XLOOKUP(A1202,[1]!brca_metabric_clinical_data__2[Patient ID], [1]!brca_metabric_clinical_data__2[Tumor Size])</f>
        <v>11</v>
      </c>
      <c r="O1202" t="str">
        <f>_xlfn.XLOOKUP(A1202,[1]!brca_metabric_clinical_data__2[Sample ID],[1]!brca_metabric_clinical_data__2[Tumor Stage])</f>
        <v>1</v>
      </c>
    </row>
    <row r="1203" spans="1:15" x14ac:dyDescent="0.45">
      <c r="A1203" t="s">
        <v>1238</v>
      </c>
      <c r="B1203">
        <v>59.5</v>
      </c>
      <c r="C1203" t="s">
        <v>16</v>
      </c>
      <c r="D1203" t="s">
        <v>17</v>
      </c>
      <c r="E1203" t="s">
        <v>18</v>
      </c>
      <c r="F1203" t="s">
        <v>19</v>
      </c>
      <c r="G1203" t="s">
        <v>20</v>
      </c>
      <c r="H1203" t="s">
        <v>21</v>
      </c>
      <c r="I1203" t="s">
        <v>21</v>
      </c>
      <c r="J1203" t="s">
        <v>27</v>
      </c>
      <c r="K1203">
        <v>6</v>
      </c>
      <c r="L1203">
        <v>190.96666666666701</v>
      </c>
      <c r="M1203" t="s">
        <v>30</v>
      </c>
      <c r="N1203" t="str">
        <f>_xlfn.XLOOKUP(A1203,[1]!brca_metabric_clinical_data__2[Patient ID], [1]!brca_metabric_clinical_data__2[Tumor Size])</f>
        <v>15</v>
      </c>
      <c r="O1203" t="str">
        <f>_xlfn.XLOOKUP(A1203,[1]!brca_metabric_clinical_data__2[Sample ID],[1]!brca_metabric_clinical_data__2[Tumor Stage])</f>
        <v>NA</v>
      </c>
    </row>
    <row r="1204" spans="1:15" x14ac:dyDescent="0.45">
      <c r="A1204" t="s">
        <v>1239</v>
      </c>
      <c r="B1204">
        <v>61.06</v>
      </c>
      <c r="C1204" t="s">
        <v>16</v>
      </c>
      <c r="D1204" t="s">
        <v>17</v>
      </c>
      <c r="E1204" t="s">
        <v>18</v>
      </c>
      <c r="F1204" t="s">
        <v>43</v>
      </c>
      <c r="G1204" t="s">
        <v>20</v>
      </c>
      <c r="H1204" t="s">
        <v>21</v>
      </c>
      <c r="I1204" t="s">
        <v>21</v>
      </c>
      <c r="J1204" t="s">
        <v>29</v>
      </c>
      <c r="K1204">
        <v>1</v>
      </c>
      <c r="L1204">
        <v>82.633333333333297</v>
      </c>
      <c r="M1204" t="s">
        <v>30</v>
      </c>
      <c r="N1204" t="str">
        <f>_xlfn.XLOOKUP(A1204,[1]!brca_metabric_clinical_data__2[Patient ID], [1]!brca_metabric_clinical_data__2[Tumor Size])</f>
        <v>41</v>
      </c>
      <c r="O1204" t="str">
        <f>_xlfn.XLOOKUP(A1204,[1]!brca_metabric_clinical_data__2[Sample ID],[1]!brca_metabric_clinical_data__2[Tumor Stage])</f>
        <v>2</v>
      </c>
    </row>
    <row r="1205" spans="1:15" x14ac:dyDescent="0.45">
      <c r="A1205" t="s">
        <v>1240</v>
      </c>
      <c r="B1205">
        <v>64.94</v>
      </c>
      <c r="C1205" t="s">
        <v>16</v>
      </c>
      <c r="D1205" t="s">
        <v>17</v>
      </c>
      <c r="E1205" t="s">
        <v>18</v>
      </c>
      <c r="F1205" t="s">
        <v>19</v>
      </c>
      <c r="G1205" t="s">
        <v>20</v>
      </c>
      <c r="H1205" t="s">
        <v>21</v>
      </c>
      <c r="I1205" t="s">
        <v>21</v>
      </c>
      <c r="J1205" t="s">
        <v>27</v>
      </c>
      <c r="K1205" t="s">
        <v>23</v>
      </c>
      <c r="L1205">
        <v>125.066666666667</v>
      </c>
      <c r="M1205" t="s">
        <v>30</v>
      </c>
      <c r="N1205" t="str">
        <f>_xlfn.XLOOKUP(A1205,[1]!brca_metabric_clinical_data__2[Patient ID], [1]!brca_metabric_clinical_data__2[Tumor Size])</f>
        <v>15</v>
      </c>
      <c r="O1205" t="str">
        <f>_xlfn.XLOOKUP(A1205,[1]!brca_metabric_clinical_data__2[Sample ID],[1]!brca_metabric_clinical_data__2[Tumor Stage])</f>
        <v>1</v>
      </c>
    </row>
    <row r="1206" spans="1:15" x14ac:dyDescent="0.45">
      <c r="A1206" t="s">
        <v>1241</v>
      </c>
      <c r="B1206">
        <v>59.12</v>
      </c>
      <c r="C1206" t="s">
        <v>16</v>
      </c>
      <c r="D1206" t="s">
        <v>17</v>
      </c>
      <c r="E1206" t="s">
        <v>18</v>
      </c>
      <c r="F1206" t="s">
        <v>19</v>
      </c>
      <c r="G1206" t="s">
        <v>20</v>
      </c>
      <c r="H1206" t="s">
        <v>21</v>
      </c>
      <c r="I1206" t="s">
        <v>20</v>
      </c>
      <c r="J1206" t="s">
        <v>38</v>
      </c>
      <c r="K1206">
        <v>3</v>
      </c>
      <c r="L1206">
        <v>21.9</v>
      </c>
      <c r="M1206" t="s">
        <v>30</v>
      </c>
      <c r="N1206" t="str">
        <f>_xlfn.XLOOKUP(A1206,[1]!brca_metabric_clinical_data__2[Patient ID], [1]!brca_metabric_clinical_data__2[Tumor Size])</f>
        <v>25</v>
      </c>
      <c r="O1206" t="str">
        <f>_xlfn.XLOOKUP(A1206,[1]!brca_metabric_clinical_data__2[Sample ID],[1]!brca_metabric_clinical_data__2[Tumor Stage])</f>
        <v>2</v>
      </c>
    </row>
    <row r="1207" spans="1:15" x14ac:dyDescent="0.45">
      <c r="A1207" t="s">
        <v>1242</v>
      </c>
      <c r="B1207">
        <v>43.8</v>
      </c>
      <c r="C1207" t="s">
        <v>16</v>
      </c>
      <c r="D1207" t="s">
        <v>26</v>
      </c>
      <c r="E1207" t="s">
        <v>18</v>
      </c>
      <c r="F1207" t="s">
        <v>19</v>
      </c>
      <c r="G1207" t="s">
        <v>20</v>
      </c>
      <c r="H1207" t="s">
        <v>21</v>
      </c>
      <c r="I1207" t="s">
        <v>21</v>
      </c>
      <c r="J1207" t="s">
        <v>38</v>
      </c>
      <c r="K1207">
        <v>1</v>
      </c>
      <c r="L1207">
        <v>175.63333333333301</v>
      </c>
      <c r="M1207" t="s">
        <v>24</v>
      </c>
      <c r="N1207" t="str">
        <f>_xlfn.XLOOKUP(A1207,[1]!brca_metabric_clinical_data__2[Patient ID], [1]!brca_metabric_clinical_data__2[Tumor Size])</f>
        <v>17</v>
      </c>
      <c r="O1207" t="str">
        <f>_xlfn.XLOOKUP(A1207,[1]!brca_metabric_clinical_data__2[Sample ID],[1]!brca_metabric_clinical_data__2[Tumor Stage])</f>
        <v>1</v>
      </c>
    </row>
    <row r="1208" spans="1:15" x14ac:dyDescent="0.45">
      <c r="A1208" t="s">
        <v>1243</v>
      </c>
      <c r="B1208">
        <v>57.87</v>
      </c>
      <c r="C1208" t="s">
        <v>16</v>
      </c>
      <c r="D1208" t="s">
        <v>17</v>
      </c>
      <c r="E1208" t="s">
        <v>18</v>
      </c>
      <c r="F1208" t="s">
        <v>43</v>
      </c>
      <c r="G1208" t="s">
        <v>20</v>
      </c>
      <c r="H1208" t="s">
        <v>21</v>
      </c>
      <c r="I1208" t="s">
        <v>20</v>
      </c>
      <c r="J1208" t="s">
        <v>58</v>
      </c>
      <c r="K1208">
        <v>5</v>
      </c>
      <c r="L1208">
        <v>15.366666666666699</v>
      </c>
      <c r="M1208" t="s">
        <v>30</v>
      </c>
      <c r="N1208" t="str">
        <f>_xlfn.XLOOKUP(A1208,[1]!brca_metabric_clinical_data__2[Patient ID], [1]!brca_metabric_clinical_data__2[Tumor Size])</f>
        <v>40</v>
      </c>
      <c r="O1208" t="str">
        <f>_xlfn.XLOOKUP(A1208,[1]!brca_metabric_clinical_data__2[Sample ID],[1]!brca_metabric_clinical_data__2[Tumor Stage])</f>
        <v>NA</v>
      </c>
    </row>
    <row r="1209" spans="1:15" x14ac:dyDescent="0.45">
      <c r="A1209" t="s">
        <v>1244</v>
      </c>
      <c r="B1209">
        <v>40.57</v>
      </c>
      <c r="C1209" t="s">
        <v>16</v>
      </c>
      <c r="D1209" t="s">
        <v>26</v>
      </c>
      <c r="E1209" t="s">
        <v>37</v>
      </c>
      <c r="F1209" t="s">
        <v>19</v>
      </c>
      <c r="G1209" t="s">
        <v>21</v>
      </c>
      <c r="H1209" t="s">
        <v>20</v>
      </c>
      <c r="I1209" t="s">
        <v>21</v>
      </c>
      <c r="J1209" t="s">
        <v>58</v>
      </c>
      <c r="K1209">
        <v>10</v>
      </c>
      <c r="L1209">
        <v>77.400000000000006</v>
      </c>
      <c r="M1209" t="s">
        <v>24</v>
      </c>
      <c r="N1209" t="str">
        <f>_xlfn.XLOOKUP(A1209,[1]!brca_metabric_clinical_data__2[Patient ID], [1]!brca_metabric_clinical_data__2[Tumor Size])</f>
        <v>30</v>
      </c>
      <c r="O1209" t="str">
        <f>_xlfn.XLOOKUP(A1209,[1]!brca_metabric_clinical_data__2[Sample ID],[1]!brca_metabric_clinical_data__2[Tumor Stage])</f>
        <v>2</v>
      </c>
    </row>
    <row r="1210" spans="1:15" x14ac:dyDescent="0.45">
      <c r="A1210" t="s">
        <v>1245</v>
      </c>
      <c r="B1210">
        <v>74.709999999999994</v>
      </c>
      <c r="C1210" t="s">
        <v>16</v>
      </c>
      <c r="D1210" t="s">
        <v>17</v>
      </c>
      <c r="E1210" t="s">
        <v>18</v>
      </c>
      <c r="F1210" t="s">
        <v>43</v>
      </c>
      <c r="G1210" t="s">
        <v>20</v>
      </c>
      <c r="H1210" t="s">
        <v>21</v>
      </c>
      <c r="I1210" t="s">
        <v>21</v>
      </c>
      <c r="J1210" t="s">
        <v>29</v>
      </c>
      <c r="K1210">
        <v>2</v>
      </c>
      <c r="L1210">
        <v>71.766666666666694</v>
      </c>
      <c r="M1210" t="s">
        <v>30</v>
      </c>
      <c r="N1210" t="str">
        <f>_xlfn.XLOOKUP(A1210,[1]!brca_metabric_clinical_data__2[Patient ID], [1]!brca_metabric_clinical_data__2[Tumor Size])</f>
        <v>18</v>
      </c>
      <c r="O1210" t="str">
        <f>_xlfn.XLOOKUP(A1210,[1]!brca_metabric_clinical_data__2[Sample ID],[1]!brca_metabric_clinical_data__2[Tumor Stage])</f>
        <v>2</v>
      </c>
    </row>
    <row r="1211" spans="1:15" x14ac:dyDescent="0.45">
      <c r="A1211" t="s">
        <v>1246</v>
      </c>
      <c r="B1211">
        <v>51.09</v>
      </c>
      <c r="C1211" t="s">
        <v>16</v>
      </c>
      <c r="D1211" t="s">
        <v>17</v>
      </c>
      <c r="E1211" t="s">
        <v>18</v>
      </c>
      <c r="F1211" t="s">
        <v>19</v>
      </c>
      <c r="G1211" t="s">
        <v>20</v>
      </c>
      <c r="H1211" t="s">
        <v>21</v>
      </c>
      <c r="I1211" t="s">
        <v>21</v>
      </c>
      <c r="J1211" t="s">
        <v>27</v>
      </c>
      <c r="K1211">
        <v>8</v>
      </c>
      <c r="L1211">
        <v>209.26666666666699</v>
      </c>
      <c r="M1211" t="s">
        <v>24</v>
      </c>
      <c r="N1211" t="str">
        <f>_xlfn.XLOOKUP(A1211,[1]!brca_metabric_clinical_data__2[Patient ID], [1]!brca_metabric_clinical_data__2[Tumor Size])</f>
        <v>30</v>
      </c>
      <c r="O1211" t="str">
        <f>_xlfn.XLOOKUP(A1211,[1]!brca_metabric_clinical_data__2[Sample ID],[1]!brca_metabric_clinical_data__2[Tumor Stage])</f>
        <v>2</v>
      </c>
    </row>
    <row r="1212" spans="1:15" x14ac:dyDescent="0.45">
      <c r="A1212" t="s">
        <v>1247</v>
      </c>
      <c r="B1212">
        <v>72.14</v>
      </c>
      <c r="C1212" t="s">
        <v>16</v>
      </c>
      <c r="D1212" t="s">
        <v>17</v>
      </c>
      <c r="E1212" t="s">
        <v>18</v>
      </c>
      <c r="F1212" t="s">
        <v>19</v>
      </c>
      <c r="G1212" t="s">
        <v>20</v>
      </c>
      <c r="H1212" t="s">
        <v>21</v>
      </c>
      <c r="I1212" t="s">
        <v>21</v>
      </c>
      <c r="J1212" t="s">
        <v>27</v>
      </c>
      <c r="K1212">
        <v>3</v>
      </c>
      <c r="L1212">
        <v>211.73333333333301</v>
      </c>
      <c r="M1212" t="s">
        <v>24</v>
      </c>
      <c r="N1212" t="str">
        <f>_xlfn.XLOOKUP(A1212,[1]!brca_metabric_clinical_data__2[Patient ID], [1]!brca_metabric_clinical_data__2[Tumor Size])</f>
        <v>12</v>
      </c>
      <c r="O1212" t="str">
        <f>_xlfn.XLOOKUP(A1212,[1]!brca_metabric_clinical_data__2[Sample ID],[1]!brca_metabric_clinical_data__2[Tumor Stage])</f>
        <v>1</v>
      </c>
    </row>
    <row r="1213" spans="1:15" x14ac:dyDescent="0.45">
      <c r="A1213" t="s">
        <v>1248</v>
      </c>
      <c r="B1213">
        <v>75.33</v>
      </c>
      <c r="C1213" t="s">
        <v>16</v>
      </c>
      <c r="D1213" t="s">
        <v>17</v>
      </c>
      <c r="E1213" t="s">
        <v>18</v>
      </c>
      <c r="F1213" t="s">
        <v>19</v>
      </c>
      <c r="G1213" t="s">
        <v>20</v>
      </c>
      <c r="H1213" t="s">
        <v>20</v>
      </c>
      <c r="I1213" t="s">
        <v>20</v>
      </c>
      <c r="J1213" t="s">
        <v>27</v>
      </c>
      <c r="K1213">
        <v>7</v>
      </c>
      <c r="L1213">
        <v>59.766666666666701</v>
      </c>
      <c r="M1213" t="s">
        <v>24</v>
      </c>
      <c r="N1213" t="str">
        <f>_xlfn.XLOOKUP(A1213,[1]!brca_metabric_clinical_data__2[Patient ID], [1]!brca_metabric_clinical_data__2[Tumor Size])</f>
        <v>20</v>
      </c>
      <c r="O1213" t="str">
        <f>_xlfn.XLOOKUP(A1213,[1]!brca_metabric_clinical_data__2[Sample ID],[1]!brca_metabric_clinical_data__2[Tumor Stage])</f>
        <v>1</v>
      </c>
    </row>
    <row r="1214" spans="1:15" x14ac:dyDescent="0.45">
      <c r="A1214" t="s">
        <v>1249</v>
      </c>
      <c r="B1214">
        <v>47.24</v>
      </c>
      <c r="C1214" t="s">
        <v>16</v>
      </c>
      <c r="D1214" t="s">
        <v>26</v>
      </c>
      <c r="E1214" t="s">
        <v>37</v>
      </c>
      <c r="F1214" t="s">
        <v>43</v>
      </c>
      <c r="G1214" t="s">
        <v>21</v>
      </c>
      <c r="H1214" t="s">
        <v>20</v>
      </c>
      <c r="I1214" t="s">
        <v>21</v>
      </c>
      <c r="J1214" t="s">
        <v>45</v>
      </c>
      <c r="K1214">
        <v>5</v>
      </c>
      <c r="L1214">
        <v>27.8</v>
      </c>
      <c r="M1214" t="s">
        <v>30</v>
      </c>
      <c r="N1214" t="str">
        <f>_xlfn.XLOOKUP(A1214,[1]!brca_metabric_clinical_data__2[Patient ID], [1]!brca_metabric_clinical_data__2[Tumor Size])</f>
        <v>30</v>
      </c>
      <c r="O1214" t="str">
        <f>_xlfn.XLOOKUP(A1214,[1]!brca_metabric_clinical_data__2[Sample ID],[1]!brca_metabric_clinical_data__2[Tumor Stage])</f>
        <v>2</v>
      </c>
    </row>
    <row r="1215" spans="1:15" x14ac:dyDescent="0.45">
      <c r="A1215" t="s">
        <v>1250</v>
      </c>
      <c r="B1215">
        <v>72.02</v>
      </c>
      <c r="C1215" t="s">
        <v>16</v>
      </c>
      <c r="D1215" t="s">
        <v>17</v>
      </c>
      <c r="E1215" t="s">
        <v>18</v>
      </c>
      <c r="F1215" t="s">
        <v>19</v>
      </c>
      <c r="G1215" t="s">
        <v>20</v>
      </c>
      <c r="H1215" t="s">
        <v>21</v>
      </c>
      <c r="I1215" t="s">
        <v>20</v>
      </c>
      <c r="J1215" t="s">
        <v>29</v>
      </c>
      <c r="K1215">
        <v>8</v>
      </c>
      <c r="L1215">
        <v>114.9</v>
      </c>
      <c r="M1215" t="s">
        <v>30</v>
      </c>
      <c r="N1215" t="str">
        <f>_xlfn.XLOOKUP(A1215,[1]!brca_metabric_clinical_data__2[Patient ID], [1]!brca_metabric_clinical_data__2[Tumor Size])</f>
        <v>18</v>
      </c>
      <c r="O1215" t="str">
        <f>_xlfn.XLOOKUP(A1215,[1]!brca_metabric_clinical_data__2[Sample ID],[1]!brca_metabric_clinical_data__2[Tumor Stage])</f>
        <v>NA</v>
      </c>
    </row>
    <row r="1216" spans="1:15" x14ac:dyDescent="0.45">
      <c r="A1216" t="s">
        <v>1251</v>
      </c>
      <c r="B1216">
        <v>77.66</v>
      </c>
      <c r="C1216" t="s">
        <v>16</v>
      </c>
      <c r="D1216" t="s">
        <v>17</v>
      </c>
      <c r="E1216" t="s">
        <v>18</v>
      </c>
      <c r="F1216" t="s">
        <v>19</v>
      </c>
      <c r="G1216" t="s">
        <v>20</v>
      </c>
      <c r="H1216" t="s">
        <v>21</v>
      </c>
      <c r="I1216" t="s">
        <v>21</v>
      </c>
      <c r="J1216" t="s">
        <v>27</v>
      </c>
      <c r="K1216">
        <v>8</v>
      </c>
      <c r="L1216">
        <v>125.7</v>
      </c>
      <c r="M1216" t="s">
        <v>30</v>
      </c>
      <c r="N1216" t="str">
        <f>_xlfn.XLOOKUP(A1216,[1]!brca_metabric_clinical_data__2[Patient ID], [1]!brca_metabric_clinical_data__2[Tumor Size])</f>
        <v>40</v>
      </c>
      <c r="O1216" t="str">
        <f>_xlfn.XLOOKUP(A1216,[1]!brca_metabric_clinical_data__2[Sample ID],[1]!brca_metabric_clinical_data__2[Tumor Stage])</f>
        <v>NA</v>
      </c>
    </row>
    <row r="1217" spans="1:15" x14ac:dyDescent="0.45">
      <c r="A1217" t="s">
        <v>1252</v>
      </c>
      <c r="B1217">
        <v>69.72</v>
      </c>
      <c r="C1217" t="s">
        <v>16</v>
      </c>
      <c r="D1217" t="s">
        <v>17</v>
      </c>
      <c r="E1217" t="s">
        <v>18</v>
      </c>
      <c r="F1217" t="s">
        <v>35</v>
      </c>
      <c r="G1217" t="s">
        <v>20</v>
      </c>
      <c r="H1217" t="s">
        <v>21</v>
      </c>
      <c r="I1217" t="s">
        <v>20</v>
      </c>
      <c r="J1217" t="s">
        <v>27</v>
      </c>
      <c r="K1217">
        <v>7</v>
      </c>
      <c r="L1217">
        <v>90.3</v>
      </c>
      <c r="M1217" t="s">
        <v>30</v>
      </c>
      <c r="N1217" t="str">
        <f>_xlfn.XLOOKUP(A1217,[1]!brca_metabric_clinical_data__2[Patient ID], [1]!brca_metabric_clinical_data__2[Tumor Size])</f>
        <v>20</v>
      </c>
      <c r="O1217" t="str">
        <f>_xlfn.XLOOKUP(A1217,[1]!brca_metabric_clinical_data__2[Sample ID],[1]!brca_metabric_clinical_data__2[Tumor Stage])</f>
        <v>2</v>
      </c>
    </row>
    <row r="1218" spans="1:15" x14ac:dyDescent="0.45">
      <c r="A1218" t="s">
        <v>1253</v>
      </c>
      <c r="B1218">
        <v>83.96</v>
      </c>
      <c r="C1218" t="s">
        <v>16</v>
      </c>
      <c r="D1218" t="s">
        <v>17</v>
      </c>
      <c r="E1218" t="s">
        <v>18</v>
      </c>
      <c r="F1218" t="s">
        <v>19</v>
      </c>
      <c r="G1218" t="s">
        <v>20</v>
      </c>
      <c r="H1218" t="s">
        <v>21</v>
      </c>
      <c r="I1218" t="s">
        <v>20</v>
      </c>
      <c r="J1218" t="s">
        <v>29</v>
      </c>
      <c r="K1218">
        <v>6</v>
      </c>
      <c r="L1218">
        <v>124.2</v>
      </c>
      <c r="M1218" t="s">
        <v>30</v>
      </c>
      <c r="N1218" t="str">
        <f>_xlfn.XLOOKUP(A1218,[1]!brca_metabric_clinical_data__2[Patient ID], [1]!brca_metabric_clinical_data__2[Tumor Size])</f>
        <v>26</v>
      </c>
      <c r="O1218" t="str">
        <f>_xlfn.XLOOKUP(A1218,[1]!brca_metabric_clinical_data__2[Sample ID],[1]!brca_metabric_clinical_data__2[Tumor Stage])</f>
        <v>3</v>
      </c>
    </row>
    <row r="1219" spans="1:15" x14ac:dyDescent="0.45">
      <c r="A1219" t="s">
        <v>1254</v>
      </c>
      <c r="B1219">
        <v>63.48</v>
      </c>
      <c r="C1219" t="s">
        <v>16</v>
      </c>
      <c r="D1219" t="s">
        <v>17</v>
      </c>
      <c r="E1219" t="s">
        <v>37</v>
      </c>
      <c r="F1219" t="s">
        <v>19</v>
      </c>
      <c r="G1219" t="s">
        <v>21</v>
      </c>
      <c r="H1219" t="s">
        <v>20</v>
      </c>
      <c r="I1219" t="s">
        <v>21</v>
      </c>
      <c r="J1219" t="s">
        <v>58</v>
      </c>
      <c r="K1219">
        <v>10</v>
      </c>
      <c r="L1219">
        <v>27.3</v>
      </c>
      <c r="M1219" t="s">
        <v>30</v>
      </c>
      <c r="N1219" t="str">
        <f>_xlfn.XLOOKUP(A1219,[1]!brca_metabric_clinical_data__2[Patient ID], [1]!brca_metabric_clinical_data__2[Tumor Size])</f>
        <v>10</v>
      </c>
      <c r="O1219" t="str">
        <f>_xlfn.XLOOKUP(A1219,[1]!brca_metabric_clinical_data__2[Sample ID],[1]!brca_metabric_clinical_data__2[Tumor Stage])</f>
        <v>NA</v>
      </c>
    </row>
    <row r="1220" spans="1:15" x14ac:dyDescent="0.45">
      <c r="A1220" t="s">
        <v>1255</v>
      </c>
      <c r="B1220">
        <v>74.98</v>
      </c>
      <c r="C1220" t="s">
        <v>16</v>
      </c>
      <c r="D1220" t="s">
        <v>17</v>
      </c>
      <c r="E1220" t="s">
        <v>18</v>
      </c>
      <c r="F1220" t="s">
        <v>817</v>
      </c>
      <c r="G1220" t="s">
        <v>20</v>
      </c>
      <c r="H1220" t="s">
        <v>20</v>
      </c>
      <c r="I1220" t="s">
        <v>21</v>
      </c>
      <c r="J1220" t="s">
        <v>29</v>
      </c>
      <c r="K1220">
        <v>1</v>
      </c>
      <c r="L1220">
        <v>191.46666666666701</v>
      </c>
      <c r="M1220" t="s">
        <v>30</v>
      </c>
      <c r="N1220" t="str">
        <f>_xlfn.XLOOKUP(A1220,[1]!brca_metabric_clinical_data__2[Patient ID], [1]!brca_metabric_clinical_data__2[Tumor Size])</f>
        <v>30</v>
      </c>
      <c r="O1220" t="str">
        <f>_xlfn.XLOOKUP(A1220,[1]!brca_metabric_clinical_data__2[Sample ID],[1]!brca_metabric_clinical_data__2[Tumor Stage])</f>
        <v>2</v>
      </c>
    </row>
    <row r="1221" spans="1:15" x14ac:dyDescent="0.45">
      <c r="A1221" t="s">
        <v>1256</v>
      </c>
      <c r="B1221">
        <v>58.61</v>
      </c>
      <c r="C1221" t="s">
        <v>16</v>
      </c>
      <c r="D1221" t="s">
        <v>17</v>
      </c>
      <c r="E1221" t="s">
        <v>18</v>
      </c>
      <c r="F1221" t="s">
        <v>35</v>
      </c>
      <c r="G1221" t="s">
        <v>20</v>
      </c>
      <c r="H1221" t="s">
        <v>20</v>
      </c>
      <c r="I1221" t="s">
        <v>21</v>
      </c>
      <c r="J1221" t="s">
        <v>27</v>
      </c>
      <c r="K1221">
        <v>7</v>
      </c>
      <c r="L1221">
        <v>255</v>
      </c>
      <c r="M1221" t="s">
        <v>30</v>
      </c>
      <c r="N1221" t="str">
        <f>_xlfn.XLOOKUP(A1221,[1]!brca_metabric_clinical_data__2[Patient ID], [1]!brca_metabric_clinical_data__2[Tumor Size])</f>
        <v>15</v>
      </c>
      <c r="O1221" t="str">
        <f>_xlfn.XLOOKUP(A1221,[1]!brca_metabric_clinical_data__2[Sample ID],[1]!brca_metabric_clinical_data__2[Tumor Stage])</f>
        <v>1</v>
      </c>
    </row>
    <row r="1222" spans="1:15" x14ac:dyDescent="0.45">
      <c r="A1222" t="s">
        <v>1257</v>
      </c>
      <c r="B1222">
        <v>64.08</v>
      </c>
      <c r="C1222" t="s">
        <v>16</v>
      </c>
      <c r="D1222" t="s">
        <v>17</v>
      </c>
      <c r="E1222" t="s">
        <v>18</v>
      </c>
      <c r="F1222" t="s">
        <v>19</v>
      </c>
      <c r="G1222" t="s">
        <v>20</v>
      </c>
      <c r="H1222" t="s">
        <v>21</v>
      </c>
      <c r="I1222" t="s">
        <v>20</v>
      </c>
      <c r="J1222" t="s">
        <v>27</v>
      </c>
      <c r="K1222">
        <v>8</v>
      </c>
      <c r="L1222">
        <v>264.13333333333298</v>
      </c>
      <c r="M1222" t="s">
        <v>24</v>
      </c>
      <c r="N1222" t="str">
        <f>_xlfn.XLOOKUP(A1222,[1]!brca_metabric_clinical_data__2[Patient ID], [1]!brca_metabric_clinical_data__2[Tumor Size])</f>
        <v>3</v>
      </c>
      <c r="O1222" t="str">
        <f>_xlfn.XLOOKUP(A1222,[1]!brca_metabric_clinical_data__2[Sample ID],[1]!brca_metabric_clinical_data__2[Tumor Stage])</f>
        <v>NA</v>
      </c>
    </row>
    <row r="1223" spans="1:15" x14ac:dyDescent="0.45">
      <c r="A1223" t="s">
        <v>1258</v>
      </c>
      <c r="B1223">
        <v>46.58</v>
      </c>
      <c r="C1223" t="s">
        <v>16</v>
      </c>
      <c r="D1223" t="s">
        <v>26</v>
      </c>
      <c r="E1223" t="s">
        <v>18</v>
      </c>
      <c r="F1223" t="s">
        <v>19</v>
      </c>
      <c r="G1223" t="s">
        <v>20</v>
      </c>
      <c r="H1223" t="s">
        <v>20</v>
      </c>
      <c r="I1223" t="s">
        <v>21</v>
      </c>
      <c r="J1223" t="s">
        <v>27</v>
      </c>
      <c r="K1223">
        <v>3</v>
      </c>
      <c r="L1223">
        <v>196.53333333333299</v>
      </c>
      <c r="M1223" t="s">
        <v>24</v>
      </c>
      <c r="N1223" t="str">
        <f>_xlfn.XLOOKUP(A1223,[1]!brca_metabric_clinical_data__2[Patient ID], [1]!brca_metabric_clinical_data__2[Tumor Size])</f>
        <v>10</v>
      </c>
      <c r="O1223" t="str">
        <f>_xlfn.XLOOKUP(A1223,[1]!brca_metabric_clinical_data__2[Sample ID],[1]!brca_metabric_clinical_data__2[Tumor Stage])</f>
        <v>1</v>
      </c>
    </row>
    <row r="1224" spans="1:15" x14ac:dyDescent="0.45">
      <c r="A1224" t="s">
        <v>1259</v>
      </c>
      <c r="B1224">
        <v>38.590000000000003</v>
      </c>
      <c r="C1224" t="s">
        <v>16</v>
      </c>
      <c r="D1224" t="s">
        <v>26</v>
      </c>
      <c r="E1224" t="s">
        <v>37</v>
      </c>
      <c r="F1224" t="s">
        <v>19</v>
      </c>
      <c r="G1224" t="s">
        <v>20</v>
      </c>
      <c r="H1224" t="s">
        <v>20</v>
      </c>
      <c r="I1224" t="s">
        <v>21</v>
      </c>
      <c r="J1224" t="s">
        <v>58</v>
      </c>
      <c r="K1224">
        <v>10</v>
      </c>
      <c r="L1224">
        <v>37.366666666666703</v>
      </c>
      <c r="M1224" t="s">
        <v>30</v>
      </c>
      <c r="N1224" t="str">
        <f>_xlfn.XLOOKUP(A1224,[1]!brca_metabric_clinical_data__2[Patient ID], [1]!brca_metabric_clinical_data__2[Tumor Size])</f>
        <v>35</v>
      </c>
      <c r="O1224" t="str">
        <f>_xlfn.XLOOKUP(A1224,[1]!brca_metabric_clinical_data__2[Sample ID],[1]!brca_metabric_clinical_data__2[Tumor Stage])</f>
        <v>2</v>
      </c>
    </row>
    <row r="1225" spans="1:15" x14ac:dyDescent="0.45">
      <c r="A1225" t="s">
        <v>1260</v>
      </c>
      <c r="B1225">
        <v>63.22</v>
      </c>
      <c r="C1225" t="s">
        <v>16</v>
      </c>
      <c r="D1225" t="s">
        <v>17</v>
      </c>
      <c r="E1225" t="s">
        <v>18</v>
      </c>
      <c r="F1225" t="s">
        <v>19</v>
      </c>
      <c r="G1225" t="s">
        <v>20</v>
      </c>
      <c r="H1225" t="s">
        <v>21</v>
      </c>
      <c r="I1225" t="s">
        <v>20</v>
      </c>
      <c r="J1225" t="s">
        <v>27</v>
      </c>
      <c r="K1225" t="s">
        <v>23</v>
      </c>
      <c r="L1225">
        <v>178.73333333333301</v>
      </c>
      <c r="M1225" t="s">
        <v>24</v>
      </c>
      <c r="N1225" t="str">
        <f>_xlfn.XLOOKUP(A1225,[1]!brca_metabric_clinical_data__2[Patient ID], [1]!brca_metabric_clinical_data__2[Tumor Size])</f>
        <v>20</v>
      </c>
      <c r="O1225" t="str">
        <f>_xlfn.XLOOKUP(A1225,[1]!brca_metabric_clinical_data__2[Sample ID],[1]!brca_metabric_clinical_data__2[Tumor Stage])</f>
        <v>1</v>
      </c>
    </row>
    <row r="1226" spans="1:15" x14ac:dyDescent="0.45">
      <c r="A1226" t="s">
        <v>1261</v>
      </c>
      <c r="B1226">
        <v>36.04</v>
      </c>
      <c r="C1226" t="s">
        <v>16</v>
      </c>
      <c r="D1226" t="s">
        <v>26</v>
      </c>
      <c r="E1226" t="s">
        <v>37</v>
      </c>
      <c r="F1226" t="s">
        <v>43</v>
      </c>
      <c r="G1226" t="s">
        <v>21</v>
      </c>
      <c r="H1226" t="s">
        <v>20</v>
      </c>
      <c r="I1226" t="s">
        <v>21</v>
      </c>
      <c r="J1226" t="s">
        <v>58</v>
      </c>
      <c r="K1226">
        <v>10</v>
      </c>
      <c r="L1226">
        <v>43.266666666666701</v>
      </c>
      <c r="M1226" t="s">
        <v>24</v>
      </c>
      <c r="N1226" t="str">
        <f>_xlfn.XLOOKUP(A1226,[1]!brca_metabric_clinical_data__2[Patient ID], [1]!brca_metabric_clinical_data__2[Tumor Size])</f>
        <v>25</v>
      </c>
      <c r="O1226" t="str">
        <f>_xlfn.XLOOKUP(A1226,[1]!brca_metabric_clinical_data__2[Sample ID],[1]!brca_metabric_clinical_data__2[Tumor Stage])</f>
        <v>2</v>
      </c>
    </row>
    <row r="1227" spans="1:15" x14ac:dyDescent="0.45">
      <c r="A1227" t="s">
        <v>1262</v>
      </c>
      <c r="B1227">
        <v>44.59</v>
      </c>
      <c r="C1227" t="s">
        <v>16</v>
      </c>
      <c r="D1227" t="s">
        <v>26</v>
      </c>
      <c r="E1227" t="s">
        <v>37</v>
      </c>
      <c r="F1227" t="s">
        <v>19</v>
      </c>
      <c r="G1227" t="s">
        <v>21</v>
      </c>
      <c r="H1227" t="s">
        <v>21</v>
      </c>
      <c r="I1227" t="s">
        <v>21</v>
      </c>
      <c r="J1227" t="s">
        <v>58</v>
      </c>
      <c r="K1227">
        <v>10</v>
      </c>
      <c r="L1227">
        <v>37</v>
      </c>
      <c r="M1227" t="s">
        <v>30</v>
      </c>
      <c r="N1227" t="str">
        <f>_xlfn.XLOOKUP(A1227,[1]!brca_metabric_clinical_data__2[Patient ID], [1]!brca_metabric_clinical_data__2[Tumor Size])</f>
        <v>15</v>
      </c>
      <c r="O1227" t="str">
        <f>_xlfn.XLOOKUP(A1227,[1]!brca_metabric_clinical_data__2[Sample ID],[1]!brca_metabric_clinical_data__2[Tumor Stage])</f>
        <v>NA</v>
      </c>
    </row>
    <row r="1228" spans="1:15" x14ac:dyDescent="0.45">
      <c r="A1228" t="s">
        <v>1263</v>
      </c>
      <c r="B1228">
        <v>69.16</v>
      </c>
      <c r="C1228" t="s">
        <v>16</v>
      </c>
      <c r="D1228" t="s">
        <v>17</v>
      </c>
      <c r="E1228" t="s">
        <v>18</v>
      </c>
      <c r="F1228" t="s">
        <v>35</v>
      </c>
      <c r="G1228" t="s">
        <v>20</v>
      </c>
      <c r="H1228" t="s">
        <v>21</v>
      </c>
      <c r="I1228" t="s">
        <v>21</v>
      </c>
      <c r="J1228" t="s">
        <v>29</v>
      </c>
      <c r="K1228">
        <v>1</v>
      </c>
      <c r="L1228">
        <v>89.966666666666697</v>
      </c>
      <c r="M1228" t="s">
        <v>30</v>
      </c>
      <c r="N1228" t="str">
        <f>_xlfn.XLOOKUP(A1228,[1]!brca_metabric_clinical_data__2[Patient ID], [1]!brca_metabric_clinical_data__2[Tumor Size])</f>
        <v>29</v>
      </c>
      <c r="O1228" t="str">
        <f>_xlfn.XLOOKUP(A1228,[1]!brca_metabric_clinical_data__2[Sample ID],[1]!brca_metabric_clinical_data__2[Tumor Stage])</f>
        <v>2</v>
      </c>
    </row>
    <row r="1229" spans="1:15" x14ac:dyDescent="0.45">
      <c r="A1229" t="s">
        <v>1264</v>
      </c>
      <c r="B1229">
        <v>77.31</v>
      </c>
      <c r="C1229" t="s">
        <v>16</v>
      </c>
      <c r="D1229" t="s">
        <v>17</v>
      </c>
      <c r="E1229" t="s">
        <v>18</v>
      </c>
      <c r="F1229" t="s">
        <v>43</v>
      </c>
      <c r="G1229" t="s">
        <v>20</v>
      </c>
      <c r="H1229" t="s">
        <v>21</v>
      </c>
      <c r="I1229" t="s">
        <v>21</v>
      </c>
      <c r="J1229" t="s">
        <v>29</v>
      </c>
      <c r="K1229">
        <v>1</v>
      </c>
      <c r="L1229">
        <v>134.73333333333301</v>
      </c>
      <c r="M1229" t="s">
        <v>30</v>
      </c>
      <c r="N1229" t="str">
        <f>_xlfn.XLOOKUP(A1229,[1]!brca_metabric_clinical_data__2[Patient ID], [1]!brca_metabric_clinical_data__2[Tumor Size])</f>
        <v>50</v>
      </c>
      <c r="O1229" t="str">
        <f>_xlfn.XLOOKUP(A1229,[1]!brca_metabric_clinical_data__2[Sample ID],[1]!brca_metabric_clinical_data__2[Tumor Stage])</f>
        <v>2</v>
      </c>
    </row>
    <row r="1230" spans="1:15" x14ac:dyDescent="0.45">
      <c r="A1230" t="s">
        <v>1265</v>
      </c>
      <c r="B1230">
        <v>78.8</v>
      </c>
      <c r="C1230" t="s">
        <v>16</v>
      </c>
      <c r="D1230" t="s">
        <v>17</v>
      </c>
      <c r="E1230" t="s">
        <v>18</v>
      </c>
      <c r="F1230" t="s">
        <v>19</v>
      </c>
      <c r="G1230" t="s">
        <v>20</v>
      </c>
      <c r="H1230" t="s">
        <v>20</v>
      </c>
      <c r="I1230" t="s">
        <v>21</v>
      </c>
      <c r="J1230" t="s">
        <v>27</v>
      </c>
      <c r="K1230" t="s">
        <v>23</v>
      </c>
      <c r="L1230">
        <v>127.933333333333</v>
      </c>
      <c r="M1230" t="s">
        <v>30</v>
      </c>
      <c r="N1230" t="str">
        <f>_xlfn.XLOOKUP(A1230,[1]!brca_metabric_clinical_data__2[Patient ID], [1]!brca_metabric_clinical_data__2[Tumor Size])</f>
        <v>20</v>
      </c>
      <c r="O1230" t="str">
        <f>_xlfn.XLOOKUP(A1230,[1]!brca_metabric_clinical_data__2[Sample ID],[1]!brca_metabric_clinical_data__2[Tumor Stage])</f>
        <v>1</v>
      </c>
    </row>
    <row r="1231" spans="1:15" x14ac:dyDescent="0.45">
      <c r="A1231" t="s">
        <v>1266</v>
      </c>
      <c r="B1231">
        <v>57.14</v>
      </c>
      <c r="C1231" t="s">
        <v>16</v>
      </c>
      <c r="D1231" t="s">
        <v>17</v>
      </c>
      <c r="E1231" t="s">
        <v>18</v>
      </c>
      <c r="F1231" t="s">
        <v>43</v>
      </c>
      <c r="G1231" t="s">
        <v>20</v>
      </c>
      <c r="H1231" t="s">
        <v>21</v>
      </c>
      <c r="I1231" t="s">
        <v>21</v>
      </c>
      <c r="J1231" t="s">
        <v>29</v>
      </c>
      <c r="K1231">
        <v>9</v>
      </c>
      <c r="L1231">
        <v>213.03333333333299</v>
      </c>
      <c r="M1231" t="s">
        <v>24</v>
      </c>
      <c r="N1231" t="str">
        <f>_xlfn.XLOOKUP(A1231,[1]!brca_metabric_clinical_data__2[Patient ID], [1]!brca_metabric_clinical_data__2[Tumor Size])</f>
        <v>17</v>
      </c>
      <c r="O1231" t="str">
        <f>_xlfn.XLOOKUP(A1231,[1]!brca_metabric_clinical_data__2[Sample ID],[1]!brca_metabric_clinical_data__2[Tumor Stage])</f>
        <v>1</v>
      </c>
    </row>
    <row r="1232" spans="1:15" x14ac:dyDescent="0.45">
      <c r="A1232" t="s">
        <v>1267</v>
      </c>
      <c r="B1232">
        <v>61.55</v>
      </c>
      <c r="C1232" t="s">
        <v>16</v>
      </c>
      <c r="D1232" t="s">
        <v>17</v>
      </c>
      <c r="E1232" t="s">
        <v>18</v>
      </c>
      <c r="F1232" t="s">
        <v>19</v>
      </c>
      <c r="G1232" t="s">
        <v>20</v>
      </c>
      <c r="H1232" t="s">
        <v>21</v>
      </c>
      <c r="I1232" t="s">
        <v>21</v>
      </c>
      <c r="J1232" t="s">
        <v>38</v>
      </c>
      <c r="K1232">
        <v>9</v>
      </c>
      <c r="L1232">
        <v>159.23333333333301</v>
      </c>
      <c r="M1232" t="s">
        <v>30</v>
      </c>
      <c r="N1232" t="str">
        <f>_xlfn.XLOOKUP(A1232,[1]!brca_metabric_clinical_data__2[Patient ID], [1]!brca_metabric_clinical_data__2[Tumor Size])</f>
        <v>25</v>
      </c>
      <c r="O1232" t="str">
        <f>_xlfn.XLOOKUP(A1232,[1]!brca_metabric_clinical_data__2[Sample ID],[1]!brca_metabric_clinical_data__2[Tumor Stage])</f>
        <v>2</v>
      </c>
    </row>
    <row r="1233" spans="1:15" x14ac:dyDescent="0.45">
      <c r="A1233" t="s">
        <v>1268</v>
      </c>
      <c r="B1233">
        <v>54.61</v>
      </c>
      <c r="C1233" t="s">
        <v>16</v>
      </c>
      <c r="D1233" t="s">
        <v>17</v>
      </c>
      <c r="E1233" t="s">
        <v>18</v>
      </c>
      <c r="F1233" t="s">
        <v>43</v>
      </c>
      <c r="G1233" t="s">
        <v>20</v>
      </c>
      <c r="H1233" t="s">
        <v>21</v>
      </c>
      <c r="I1233" t="s">
        <v>20</v>
      </c>
      <c r="J1233" t="s">
        <v>27</v>
      </c>
      <c r="K1233">
        <v>5</v>
      </c>
      <c r="L1233">
        <v>20.266666666666701</v>
      </c>
      <c r="M1233" t="s">
        <v>24</v>
      </c>
      <c r="N1233" t="str">
        <f>_xlfn.XLOOKUP(A1233,[1]!brca_metabric_clinical_data__2[Patient ID], [1]!brca_metabric_clinical_data__2[Tumor Size])</f>
        <v>25</v>
      </c>
      <c r="O1233" t="str">
        <f>_xlfn.XLOOKUP(A1233,[1]!brca_metabric_clinical_data__2[Sample ID],[1]!brca_metabric_clinical_data__2[Tumor Stage])</f>
        <v>2</v>
      </c>
    </row>
    <row r="1234" spans="1:15" x14ac:dyDescent="0.45">
      <c r="A1234" t="s">
        <v>1269</v>
      </c>
      <c r="B1234">
        <v>76.72</v>
      </c>
      <c r="C1234" t="s">
        <v>16</v>
      </c>
      <c r="D1234" t="s">
        <v>17</v>
      </c>
      <c r="E1234" t="s">
        <v>18</v>
      </c>
      <c r="F1234" t="s">
        <v>19</v>
      </c>
      <c r="G1234" t="s">
        <v>20</v>
      </c>
      <c r="H1234" t="s">
        <v>20</v>
      </c>
      <c r="I1234" t="s">
        <v>21</v>
      </c>
      <c r="J1234" t="s">
        <v>45</v>
      </c>
      <c r="K1234" t="s">
        <v>23</v>
      </c>
      <c r="L1234">
        <v>245.23333333333301</v>
      </c>
      <c r="M1234" t="s">
        <v>30</v>
      </c>
      <c r="N1234" t="str">
        <f>_xlfn.XLOOKUP(A1234,[1]!brca_metabric_clinical_data__2[Patient ID], [1]!brca_metabric_clinical_data__2[Tumor Size])</f>
        <v>20</v>
      </c>
      <c r="O1234" t="str">
        <f>_xlfn.XLOOKUP(A1234,[1]!brca_metabric_clinical_data__2[Sample ID],[1]!brca_metabric_clinical_data__2[Tumor Stage])</f>
        <v>1</v>
      </c>
    </row>
    <row r="1235" spans="1:15" x14ac:dyDescent="0.45">
      <c r="A1235" t="s">
        <v>1270</v>
      </c>
      <c r="B1235">
        <v>69.290000000000006</v>
      </c>
      <c r="C1235" t="s">
        <v>16</v>
      </c>
      <c r="D1235" t="s">
        <v>17</v>
      </c>
      <c r="E1235" t="s">
        <v>18</v>
      </c>
      <c r="F1235" t="s">
        <v>19</v>
      </c>
      <c r="G1235" t="s">
        <v>20</v>
      </c>
      <c r="H1235" t="s">
        <v>20</v>
      </c>
      <c r="I1235" t="s">
        <v>20</v>
      </c>
      <c r="J1235" t="s">
        <v>38</v>
      </c>
      <c r="K1235" t="s">
        <v>23</v>
      </c>
      <c r="L1235">
        <v>110.833333333333</v>
      </c>
      <c r="M1235" t="s">
        <v>30</v>
      </c>
      <c r="N1235" t="str">
        <f>_xlfn.XLOOKUP(A1235,[1]!brca_metabric_clinical_data__2[Patient ID], [1]!brca_metabric_clinical_data__2[Tumor Size])</f>
        <v>1</v>
      </c>
      <c r="O1235" t="str">
        <f>_xlfn.XLOOKUP(A1235,[1]!brca_metabric_clinical_data__2[Sample ID],[1]!brca_metabric_clinical_data__2[Tumor Stage])</f>
        <v>1</v>
      </c>
    </row>
    <row r="1236" spans="1:15" x14ac:dyDescent="0.45">
      <c r="A1236" t="s">
        <v>1271</v>
      </c>
      <c r="B1236">
        <v>76.19</v>
      </c>
      <c r="C1236" t="s">
        <v>16</v>
      </c>
      <c r="D1236" t="s">
        <v>17</v>
      </c>
      <c r="E1236" t="s">
        <v>18</v>
      </c>
      <c r="F1236" t="s">
        <v>19</v>
      </c>
      <c r="G1236" t="s">
        <v>20</v>
      </c>
      <c r="H1236" t="s">
        <v>21</v>
      </c>
      <c r="I1236" t="s">
        <v>20</v>
      </c>
      <c r="J1236" t="s">
        <v>27</v>
      </c>
      <c r="K1236">
        <v>7</v>
      </c>
      <c r="L1236">
        <v>115.933333333333</v>
      </c>
      <c r="M1236" t="s">
        <v>30</v>
      </c>
      <c r="N1236" t="str">
        <f>_xlfn.XLOOKUP(A1236,[1]!brca_metabric_clinical_data__2[Patient ID], [1]!brca_metabric_clinical_data__2[Tumor Size])</f>
        <v>17</v>
      </c>
      <c r="O1236" t="str">
        <f>_xlfn.XLOOKUP(A1236,[1]!brca_metabric_clinical_data__2[Sample ID],[1]!brca_metabric_clinical_data__2[Tumor Stage])</f>
        <v>2</v>
      </c>
    </row>
    <row r="1237" spans="1:15" x14ac:dyDescent="0.45">
      <c r="A1237" t="s">
        <v>1272</v>
      </c>
      <c r="B1237">
        <v>31.87</v>
      </c>
      <c r="C1237" t="s">
        <v>16</v>
      </c>
      <c r="D1237" t="s">
        <v>26</v>
      </c>
      <c r="E1237" t="s">
        <v>37</v>
      </c>
      <c r="F1237" t="s">
        <v>43</v>
      </c>
      <c r="G1237" t="s">
        <v>20</v>
      </c>
      <c r="H1237" t="s">
        <v>20</v>
      </c>
      <c r="I1237" t="s">
        <v>20</v>
      </c>
      <c r="J1237" t="s">
        <v>38</v>
      </c>
      <c r="K1237">
        <v>3</v>
      </c>
      <c r="L1237">
        <v>170.833333333333</v>
      </c>
      <c r="M1237" t="s">
        <v>24</v>
      </c>
      <c r="N1237" t="str">
        <f>_xlfn.XLOOKUP(A1237,[1]!brca_metabric_clinical_data__2[Patient ID], [1]!brca_metabric_clinical_data__2[Tumor Size])</f>
        <v>1</v>
      </c>
      <c r="O1237" t="str">
        <f>_xlfn.XLOOKUP(A1237,[1]!brca_metabric_clinical_data__2[Sample ID],[1]!brca_metabric_clinical_data__2[Tumor Stage])</f>
        <v>1</v>
      </c>
    </row>
    <row r="1238" spans="1:15" x14ac:dyDescent="0.45">
      <c r="A1238" t="s">
        <v>1273</v>
      </c>
      <c r="B1238">
        <v>51.08</v>
      </c>
      <c r="C1238" t="s">
        <v>16</v>
      </c>
      <c r="D1238" t="s">
        <v>17</v>
      </c>
      <c r="E1238" t="s">
        <v>37</v>
      </c>
      <c r="F1238" t="s">
        <v>19</v>
      </c>
      <c r="G1238" t="s">
        <v>21</v>
      </c>
      <c r="H1238" t="s">
        <v>21</v>
      </c>
      <c r="I1238" t="s">
        <v>21</v>
      </c>
      <c r="J1238" t="s">
        <v>38</v>
      </c>
      <c r="K1238" t="s">
        <v>39</v>
      </c>
      <c r="L1238">
        <v>259.933333333333</v>
      </c>
      <c r="M1238" t="s">
        <v>24</v>
      </c>
      <c r="N1238" t="str">
        <f>_xlfn.XLOOKUP(A1238,[1]!brca_metabric_clinical_data__2[Patient ID], [1]!brca_metabric_clinical_data__2[Tumor Size])</f>
        <v>30</v>
      </c>
      <c r="O1238" t="str">
        <f>_xlfn.XLOOKUP(A1238,[1]!brca_metabric_clinical_data__2[Sample ID],[1]!brca_metabric_clinical_data__2[Tumor Stage])</f>
        <v>2</v>
      </c>
    </row>
    <row r="1239" spans="1:15" x14ac:dyDescent="0.45">
      <c r="A1239" t="s">
        <v>1274</v>
      </c>
      <c r="B1239">
        <v>70.680000000000007</v>
      </c>
      <c r="C1239" t="s">
        <v>16</v>
      </c>
      <c r="D1239" t="s">
        <v>17</v>
      </c>
      <c r="E1239" t="s">
        <v>18</v>
      </c>
      <c r="F1239" t="s">
        <v>19</v>
      </c>
      <c r="G1239" t="s">
        <v>20</v>
      </c>
      <c r="H1239" t="s">
        <v>21</v>
      </c>
      <c r="I1239" t="s">
        <v>21</v>
      </c>
      <c r="J1239" t="s">
        <v>38</v>
      </c>
      <c r="K1239" t="s">
        <v>23</v>
      </c>
      <c r="L1239">
        <v>18.233333333333299</v>
      </c>
      <c r="M1239" t="s">
        <v>30</v>
      </c>
      <c r="N1239" t="str">
        <f>_xlfn.XLOOKUP(A1239,[1]!brca_metabric_clinical_data__2[Patient ID], [1]!brca_metabric_clinical_data__2[Tumor Size])</f>
        <v>12</v>
      </c>
      <c r="O1239" t="str">
        <f>_xlfn.XLOOKUP(A1239,[1]!brca_metabric_clinical_data__2[Sample ID],[1]!brca_metabric_clinical_data__2[Tumor Stage])</f>
        <v>NA</v>
      </c>
    </row>
    <row r="1240" spans="1:15" x14ac:dyDescent="0.45">
      <c r="A1240" t="s">
        <v>1275</v>
      </c>
      <c r="B1240">
        <v>66.53</v>
      </c>
      <c r="C1240" t="s">
        <v>16</v>
      </c>
      <c r="D1240" t="s">
        <v>17</v>
      </c>
      <c r="E1240" t="s">
        <v>18</v>
      </c>
      <c r="F1240" t="s">
        <v>43</v>
      </c>
      <c r="G1240" t="s">
        <v>20</v>
      </c>
      <c r="H1240" t="s">
        <v>21</v>
      </c>
      <c r="I1240" t="s">
        <v>21</v>
      </c>
      <c r="J1240" t="s">
        <v>27</v>
      </c>
      <c r="K1240">
        <v>7</v>
      </c>
      <c r="L1240">
        <v>244.166666666667</v>
      </c>
      <c r="M1240" t="s">
        <v>30</v>
      </c>
      <c r="N1240" t="str">
        <f>_xlfn.XLOOKUP(A1240,[1]!brca_metabric_clinical_data__2[Patient ID], [1]!brca_metabric_clinical_data__2[Tumor Size])</f>
        <v>20</v>
      </c>
      <c r="O1240" t="str">
        <f>_xlfn.XLOOKUP(A1240,[1]!brca_metabric_clinical_data__2[Sample ID],[1]!brca_metabric_clinical_data__2[Tumor Stage])</f>
        <v>1</v>
      </c>
    </row>
    <row r="1241" spans="1:15" x14ac:dyDescent="0.45">
      <c r="A1241" t="s">
        <v>1276</v>
      </c>
      <c r="B1241">
        <v>68.52</v>
      </c>
      <c r="C1241" t="s">
        <v>16</v>
      </c>
      <c r="D1241" t="s">
        <v>17</v>
      </c>
      <c r="E1241" t="s">
        <v>18</v>
      </c>
      <c r="F1241" t="s">
        <v>19</v>
      </c>
      <c r="G1241" t="s">
        <v>20</v>
      </c>
      <c r="H1241" t="s">
        <v>21</v>
      </c>
      <c r="I1241" t="s">
        <v>21</v>
      </c>
      <c r="J1241" t="s">
        <v>29</v>
      </c>
      <c r="K1241">
        <v>8</v>
      </c>
      <c r="L1241">
        <v>87.733333333333306</v>
      </c>
      <c r="M1241" t="s">
        <v>30</v>
      </c>
      <c r="N1241" t="str">
        <f>_xlfn.XLOOKUP(A1241,[1]!brca_metabric_clinical_data__2[Patient ID], [1]!brca_metabric_clinical_data__2[Tumor Size])</f>
        <v>25</v>
      </c>
      <c r="O1241" t="str">
        <f>_xlfn.XLOOKUP(A1241,[1]!brca_metabric_clinical_data__2[Sample ID],[1]!brca_metabric_clinical_data__2[Tumor Stage])</f>
        <v>2</v>
      </c>
    </row>
    <row r="1242" spans="1:15" x14ac:dyDescent="0.45">
      <c r="A1242" t="s">
        <v>1277</v>
      </c>
      <c r="B1242">
        <v>44.41</v>
      </c>
      <c r="C1242" t="s">
        <v>16</v>
      </c>
      <c r="D1242" t="s">
        <v>26</v>
      </c>
      <c r="E1242" t="s">
        <v>18</v>
      </c>
      <c r="F1242" t="s">
        <v>19</v>
      </c>
      <c r="G1242" t="s">
        <v>20</v>
      </c>
      <c r="H1242" t="s">
        <v>20</v>
      </c>
      <c r="I1242" t="s">
        <v>21</v>
      </c>
      <c r="J1242" t="s">
        <v>38</v>
      </c>
      <c r="K1242" t="s">
        <v>23</v>
      </c>
      <c r="L1242">
        <v>175.333333333333</v>
      </c>
      <c r="M1242" t="s">
        <v>24</v>
      </c>
      <c r="N1242" t="str">
        <f>_xlfn.XLOOKUP(A1242,[1]!brca_metabric_clinical_data__2[Patient ID], [1]!brca_metabric_clinical_data__2[Tumor Size])</f>
        <v>12</v>
      </c>
      <c r="O1242" t="str">
        <f>_xlfn.XLOOKUP(A1242,[1]!brca_metabric_clinical_data__2[Sample ID],[1]!brca_metabric_clinical_data__2[Tumor Stage])</f>
        <v>1</v>
      </c>
    </row>
    <row r="1243" spans="1:15" x14ac:dyDescent="0.45">
      <c r="A1243" t="s">
        <v>1278</v>
      </c>
      <c r="B1243">
        <v>53.38</v>
      </c>
      <c r="C1243" t="s">
        <v>16</v>
      </c>
      <c r="D1243" t="s">
        <v>17</v>
      </c>
      <c r="F1243" t="s">
        <v>19</v>
      </c>
      <c r="G1243" t="s">
        <v>20</v>
      </c>
      <c r="H1243" t="s">
        <v>20</v>
      </c>
      <c r="I1243" t="s">
        <v>20</v>
      </c>
      <c r="J1243" t="s">
        <v>22</v>
      </c>
      <c r="K1243" t="s">
        <v>39</v>
      </c>
      <c r="L1243">
        <v>164.333333333333</v>
      </c>
      <c r="M1243" t="s">
        <v>24</v>
      </c>
      <c r="N1243" t="str">
        <f>_xlfn.XLOOKUP(A1243,[1]!brca_metabric_clinical_data__2[Patient ID], [1]!brca_metabric_clinical_data__2[Tumor Size])</f>
        <v>15</v>
      </c>
      <c r="O1243" t="str">
        <f>_xlfn.XLOOKUP(A1243,[1]!brca_metabric_clinical_data__2[Sample ID],[1]!brca_metabric_clinical_data__2[Tumor Stage])</f>
        <v>1</v>
      </c>
    </row>
    <row r="1244" spans="1:15" x14ac:dyDescent="0.45">
      <c r="A1244" t="s">
        <v>1279</v>
      </c>
      <c r="B1244">
        <v>69.040000000000006</v>
      </c>
      <c r="C1244" t="s">
        <v>16</v>
      </c>
      <c r="D1244" t="s">
        <v>17</v>
      </c>
      <c r="E1244" t="s">
        <v>18</v>
      </c>
      <c r="F1244" t="s">
        <v>19</v>
      </c>
      <c r="G1244" t="s">
        <v>20</v>
      </c>
      <c r="H1244" t="s">
        <v>21</v>
      </c>
      <c r="I1244" t="s">
        <v>21</v>
      </c>
      <c r="J1244" t="s">
        <v>27</v>
      </c>
      <c r="K1244">
        <v>3</v>
      </c>
      <c r="L1244">
        <v>212.2</v>
      </c>
      <c r="M1244" t="s">
        <v>30</v>
      </c>
      <c r="N1244" t="str">
        <f>_xlfn.XLOOKUP(A1244,[1]!brca_metabric_clinical_data__2[Patient ID], [1]!brca_metabric_clinical_data__2[Tumor Size])</f>
        <v>18</v>
      </c>
      <c r="O1244" t="str">
        <f>_xlfn.XLOOKUP(A1244,[1]!brca_metabric_clinical_data__2[Sample ID],[1]!brca_metabric_clinical_data__2[Tumor Stage])</f>
        <v>1</v>
      </c>
    </row>
    <row r="1245" spans="1:15" x14ac:dyDescent="0.45">
      <c r="A1245" t="s">
        <v>1280</v>
      </c>
      <c r="B1245">
        <v>48.76</v>
      </c>
      <c r="C1245" t="s">
        <v>16</v>
      </c>
      <c r="D1245" t="s">
        <v>26</v>
      </c>
      <c r="E1245" t="s">
        <v>18</v>
      </c>
      <c r="F1245" t="s">
        <v>43</v>
      </c>
      <c r="G1245" t="s">
        <v>20</v>
      </c>
      <c r="H1245" t="s">
        <v>20</v>
      </c>
      <c r="I1245" t="s">
        <v>21</v>
      </c>
      <c r="J1245" t="s">
        <v>38</v>
      </c>
      <c r="K1245">
        <v>5</v>
      </c>
      <c r="L1245">
        <v>80.5</v>
      </c>
      <c r="M1245" t="s">
        <v>24</v>
      </c>
      <c r="N1245" t="str">
        <f>_xlfn.XLOOKUP(A1245,[1]!brca_metabric_clinical_data__2[Patient ID], [1]!brca_metabric_clinical_data__2[Tumor Size])</f>
        <v>13</v>
      </c>
      <c r="O1245" t="str">
        <f>_xlfn.XLOOKUP(A1245,[1]!brca_metabric_clinical_data__2[Sample ID],[1]!brca_metabric_clinical_data__2[Tumor Stage])</f>
        <v>1</v>
      </c>
    </row>
    <row r="1246" spans="1:15" x14ac:dyDescent="0.45">
      <c r="A1246" t="s">
        <v>1281</v>
      </c>
      <c r="B1246">
        <v>69.23</v>
      </c>
      <c r="C1246" t="s">
        <v>16</v>
      </c>
      <c r="D1246" t="s">
        <v>17</v>
      </c>
      <c r="E1246" t="s">
        <v>18</v>
      </c>
      <c r="F1246" t="s">
        <v>43</v>
      </c>
      <c r="G1246" t="s">
        <v>20</v>
      </c>
      <c r="H1246" t="s">
        <v>21</v>
      </c>
      <c r="I1246" t="s">
        <v>21</v>
      </c>
      <c r="J1246" t="s">
        <v>29</v>
      </c>
      <c r="K1246">
        <v>5</v>
      </c>
      <c r="L1246">
        <v>80.733333333333306</v>
      </c>
      <c r="M1246" t="s">
        <v>30</v>
      </c>
      <c r="N1246" t="str">
        <f>_xlfn.XLOOKUP(A1246,[1]!brca_metabric_clinical_data__2[Patient ID], [1]!brca_metabric_clinical_data__2[Tumor Size])</f>
        <v>30</v>
      </c>
      <c r="O1246" t="str">
        <f>_xlfn.XLOOKUP(A1246,[1]!brca_metabric_clinical_data__2[Sample ID],[1]!brca_metabric_clinical_data__2[Tumor Stage])</f>
        <v>3</v>
      </c>
    </row>
    <row r="1247" spans="1:15" x14ac:dyDescent="0.45">
      <c r="A1247" t="s">
        <v>1282</v>
      </c>
      <c r="B1247">
        <v>60.46</v>
      </c>
      <c r="C1247" t="s">
        <v>16</v>
      </c>
      <c r="D1247" t="s">
        <v>17</v>
      </c>
      <c r="E1247" t="s">
        <v>18</v>
      </c>
      <c r="F1247" t="s">
        <v>19</v>
      </c>
      <c r="G1247" t="s">
        <v>20</v>
      </c>
      <c r="H1247" t="s">
        <v>21</v>
      </c>
      <c r="I1247" t="s">
        <v>20</v>
      </c>
      <c r="J1247" t="s">
        <v>29</v>
      </c>
      <c r="K1247">
        <v>8</v>
      </c>
      <c r="L1247">
        <v>208.4</v>
      </c>
      <c r="M1247" t="s">
        <v>24</v>
      </c>
      <c r="N1247" t="str">
        <f>_xlfn.XLOOKUP(A1247,[1]!brca_metabric_clinical_data__2[Patient ID], [1]!brca_metabric_clinical_data__2[Tumor Size])</f>
        <v>30</v>
      </c>
      <c r="O1247" t="str">
        <f>_xlfn.XLOOKUP(A1247,[1]!brca_metabric_clinical_data__2[Sample ID],[1]!brca_metabric_clinical_data__2[Tumor Stage])</f>
        <v>2</v>
      </c>
    </row>
    <row r="1248" spans="1:15" x14ac:dyDescent="0.45">
      <c r="A1248" t="s">
        <v>1283</v>
      </c>
      <c r="B1248">
        <v>62.84</v>
      </c>
      <c r="C1248" t="s">
        <v>16</v>
      </c>
      <c r="D1248" t="s">
        <v>17</v>
      </c>
      <c r="E1248" t="s">
        <v>18</v>
      </c>
      <c r="F1248" t="s">
        <v>19</v>
      </c>
      <c r="G1248" t="s">
        <v>20</v>
      </c>
      <c r="H1248" t="s">
        <v>20</v>
      </c>
      <c r="I1248" t="s">
        <v>20</v>
      </c>
      <c r="J1248" t="s">
        <v>29</v>
      </c>
      <c r="K1248">
        <v>3</v>
      </c>
      <c r="L1248">
        <v>51.966666666666697</v>
      </c>
      <c r="M1248" t="s">
        <v>30</v>
      </c>
      <c r="N1248" t="str">
        <f>_xlfn.XLOOKUP(A1248,[1]!brca_metabric_clinical_data__2[Patient ID], [1]!brca_metabric_clinical_data__2[Tumor Size])</f>
        <v>25</v>
      </c>
      <c r="O1248" t="str">
        <f>_xlfn.XLOOKUP(A1248,[1]!brca_metabric_clinical_data__2[Sample ID],[1]!brca_metabric_clinical_data__2[Tumor Stage])</f>
        <v>2</v>
      </c>
    </row>
    <row r="1249" spans="1:15" x14ac:dyDescent="0.45">
      <c r="A1249" t="s">
        <v>1284</v>
      </c>
      <c r="B1249">
        <v>46.79</v>
      </c>
      <c r="C1249" t="s">
        <v>16</v>
      </c>
      <c r="D1249" t="s">
        <v>26</v>
      </c>
      <c r="E1249" t="s">
        <v>18</v>
      </c>
      <c r="F1249" t="s">
        <v>19</v>
      </c>
      <c r="G1249" t="s">
        <v>20</v>
      </c>
      <c r="H1249" t="s">
        <v>20</v>
      </c>
      <c r="I1249" t="s">
        <v>21</v>
      </c>
      <c r="J1249" t="s">
        <v>38</v>
      </c>
      <c r="K1249" t="s">
        <v>23</v>
      </c>
      <c r="L1249">
        <v>185</v>
      </c>
      <c r="M1249" t="s">
        <v>30</v>
      </c>
      <c r="N1249" t="str">
        <f>_xlfn.XLOOKUP(A1249,[1]!brca_metabric_clinical_data__2[Patient ID], [1]!brca_metabric_clinical_data__2[Tumor Size])</f>
        <v>11</v>
      </c>
      <c r="O1249" t="str">
        <f>_xlfn.XLOOKUP(A1249,[1]!brca_metabric_clinical_data__2[Sample ID],[1]!brca_metabric_clinical_data__2[Tumor Stage])</f>
        <v>1</v>
      </c>
    </row>
    <row r="1250" spans="1:15" x14ac:dyDescent="0.45">
      <c r="A1250" t="s">
        <v>1285</v>
      </c>
      <c r="B1250">
        <v>49.57</v>
      </c>
      <c r="C1250" t="s">
        <v>16</v>
      </c>
      <c r="D1250" t="s">
        <v>26</v>
      </c>
      <c r="E1250" t="s">
        <v>37</v>
      </c>
      <c r="F1250" t="s">
        <v>43</v>
      </c>
      <c r="G1250" t="s">
        <v>21</v>
      </c>
      <c r="H1250" t="s">
        <v>21</v>
      </c>
      <c r="I1250" t="s">
        <v>21</v>
      </c>
      <c r="J1250" t="s">
        <v>45</v>
      </c>
      <c r="K1250">
        <v>5</v>
      </c>
      <c r="L1250">
        <v>184.26666666666699</v>
      </c>
      <c r="M1250" t="s">
        <v>24</v>
      </c>
      <c r="N1250" t="str">
        <f>_xlfn.XLOOKUP(A1250,[1]!brca_metabric_clinical_data__2[Patient ID], [1]!brca_metabric_clinical_data__2[Tumor Size])</f>
        <v>40</v>
      </c>
      <c r="O1250" t="str">
        <f>_xlfn.XLOOKUP(A1250,[1]!brca_metabric_clinical_data__2[Sample ID],[1]!brca_metabric_clinical_data__2[Tumor Stage])</f>
        <v>3</v>
      </c>
    </row>
    <row r="1251" spans="1:15" x14ac:dyDescent="0.45">
      <c r="A1251" t="s">
        <v>1286</v>
      </c>
      <c r="B1251">
        <v>69.05</v>
      </c>
      <c r="C1251" t="s">
        <v>16</v>
      </c>
      <c r="D1251" t="s">
        <v>17</v>
      </c>
      <c r="E1251" t="s">
        <v>37</v>
      </c>
      <c r="F1251" t="s">
        <v>19</v>
      </c>
      <c r="G1251" t="s">
        <v>20</v>
      </c>
      <c r="H1251" t="s">
        <v>21</v>
      </c>
      <c r="I1251" t="s">
        <v>20</v>
      </c>
      <c r="J1251" t="s">
        <v>58</v>
      </c>
      <c r="K1251">
        <v>10</v>
      </c>
      <c r="L1251">
        <v>22.133333333333301</v>
      </c>
      <c r="M1251" t="s">
        <v>30</v>
      </c>
      <c r="N1251" t="str">
        <f>_xlfn.XLOOKUP(A1251,[1]!brca_metabric_clinical_data__2[Patient ID], [1]!brca_metabric_clinical_data__2[Tumor Size])</f>
        <v>50</v>
      </c>
      <c r="O1251" t="str">
        <f>_xlfn.XLOOKUP(A1251,[1]!brca_metabric_clinical_data__2[Sample ID],[1]!brca_metabric_clinical_data__2[Tumor Stage])</f>
        <v>2</v>
      </c>
    </row>
    <row r="1252" spans="1:15" x14ac:dyDescent="0.45">
      <c r="A1252" t="s">
        <v>1287</v>
      </c>
      <c r="B1252">
        <v>54.69</v>
      </c>
      <c r="C1252" t="s">
        <v>16</v>
      </c>
      <c r="D1252" t="s">
        <v>17</v>
      </c>
      <c r="F1252" t="s">
        <v>43</v>
      </c>
      <c r="G1252" t="s">
        <v>20</v>
      </c>
      <c r="H1252" t="s">
        <v>20</v>
      </c>
      <c r="I1252" t="s">
        <v>20</v>
      </c>
      <c r="J1252" t="s">
        <v>45</v>
      </c>
      <c r="K1252">
        <v>5</v>
      </c>
      <c r="L1252">
        <v>151.19999999999999</v>
      </c>
      <c r="M1252" t="s">
        <v>30</v>
      </c>
      <c r="N1252" t="str">
        <f>_xlfn.XLOOKUP(A1252,[1]!brca_metabric_clinical_data__2[Patient ID], [1]!brca_metabric_clinical_data__2[Tumor Size])</f>
        <v>15</v>
      </c>
      <c r="O1252" t="str">
        <f>_xlfn.XLOOKUP(A1252,[1]!brca_metabric_clinical_data__2[Sample ID],[1]!brca_metabric_clinical_data__2[Tumor Stage])</f>
        <v>NA</v>
      </c>
    </row>
    <row r="1253" spans="1:15" x14ac:dyDescent="0.45">
      <c r="A1253" t="s">
        <v>1288</v>
      </c>
      <c r="B1253">
        <v>50.08</v>
      </c>
      <c r="C1253" t="s">
        <v>16</v>
      </c>
      <c r="D1253" t="s">
        <v>17</v>
      </c>
      <c r="E1253" t="s">
        <v>18</v>
      </c>
      <c r="F1253" t="s">
        <v>19</v>
      </c>
      <c r="G1253" t="s">
        <v>20</v>
      </c>
      <c r="H1253" t="s">
        <v>21</v>
      </c>
      <c r="I1253" t="s">
        <v>21</v>
      </c>
      <c r="J1253" t="s">
        <v>22</v>
      </c>
      <c r="K1253" t="s">
        <v>23</v>
      </c>
      <c r="L1253">
        <v>194.7</v>
      </c>
      <c r="M1253" t="s">
        <v>30</v>
      </c>
      <c r="N1253" t="str">
        <f>_xlfn.XLOOKUP(A1253,[1]!brca_metabric_clinical_data__2[Patient ID], [1]!brca_metabric_clinical_data__2[Tumor Size])</f>
        <v>18</v>
      </c>
      <c r="O1253" t="str">
        <f>_xlfn.XLOOKUP(A1253,[1]!brca_metabric_clinical_data__2[Sample ID],[1]!brca_metabric_clinical_data__2[Tumor Stage])</f>
        <v>NA</v>
      </c>
    </row>
    <row r="1254" spans="1:15" x14ac:dyDescent="0.45">
      <c r="A1254" t="s">
        <v>1289</v>
      </c>
      <c r="B1254">
        <v>53.96</v>
      </c>
      <c r="C1254" t="s">
        <v>16</v>
      </c>
      <c r="D1254" t="s">
        <v>17</v>
      </c>
      <c r="E1254" t="s">
        <v>18</v>
      </c>
      <c r="F1254" t="s">
        <v>19</v>
      </c>
      <c r="G1254" t="s">
        <v>20</v>
      </c>
      <c r="H1254" t="s">
        <v>20</v>
      </c>
      <c r="I1254" t="s">
        <v>21</v>
      </c>
      <c r="J1254" t="s">
        <v>22</v>
      </c>
      <c r="K1254" t="s">
        <v>23</v>
      </c>
      <c r="L1254">
        <v>112.633333333333</v>
      </c>
      <c r="M1254" t="s">
        <v>30</v>
      </c>
      <c r="N1254" t="str">
        <f>_xlfn.XLOOKUP(A1254,[1]!brca_metabric_clinical_data__2[Patient ID], [1]!brca_metabric_clinical_data__2[Tumor Size])</f>
        <v>15</v>
      </c>
      <c r="O1254" t="str">
        <f>_xlfn.XLOOKUP(A1254,[1]!brca_metabric_clinical_data__2[Sample ID],[1]!brca_metabric_clinical_data__2[Tumor Stage])</f>
        <v>1</v>
      </c>
    </row>
    <row r="1255" spans="1:15" x14ac:dyDescent="0.45">
      <c r="A1255" t="s">
        <v>1290</v>
      </c>
      <c r="B1255">
        <v>68.53</v>
      </c>
      <c r="C1255" t="s">
        <v>16</v>
      </c>
      <c r="D1255" t="s">
        <v>17</v>
      </c>
      <c r="E1255" t="s">
        <v>18</v>
      </c>
      <c r="F1255" t="s">
        <v>35</v>
      </c>
      <c r="G1255" t="s">
        <v>20</v>
      </c>
      <c r="H1255" t="s">
        <v>21</v>
      </c>
      <c r="I1255" t="s">
        <v>20</v>
      </c>
      <c r="J1255" t="s">
        <v>22</v>
      </c>
      <c r="K1255" t="s">
        <v>23</v>
      </c>
      <c r="L1255">
        <v>65.233333333333306</v>
      </c>
      <c r="M1255" t="s">
        <v>30</v>
      </c>
      <c r="N1255" t="str">
        <f>_xlfn.XLOOKUP(A1255,[1]!brca_metabric_clinical_data__2[Patient ID], [1]!brca_metabric_clinical_data__2[Tumor Size])</f>
        <v>NA</v>
      </c>
      <c r="O1255" t="str">
        <f>_xlfn.XLOOKUP(A1255,[1]!brca_metabric_clinical_data__2[Sample ID],[1]!brca_metabric_clinical_data__2[Tumor Stage])</f>
        <v>NA</v>
      </c>
    </row>
    <row r="1256" spans="1:15" x14ac:dyDescent="0.45">
      <c r="A1256" t="s">
        <v>1291</v>
      </c>
      <c r="B1256">
        <v>65.260000000000005</v>
      </c>
      <c r="C1256" t="s">
        <v>16</v>
      </c>
      <c r="D1256" t="s">
        <v>17</v>
      </c>
      <c r="E1256" t="s">
        <v>18</v>
      </c>
      <c r="F1256" t="s">
        <v>19</v>
      </c>
      <c r="G1256" t="s">
        <v>20</v>
      </c>
      <c r="H1256" t="s">
        <v>21</v>
      </c>
      <c r="I1256" t="s">
        <v>20</v>
      </c>
      <c r="J1256" t="s">
        <v>38</v>
      </c>
      <c r="K1256">
        <v>6</v>
      </c>
      <c r="L1256">
        <v>184.333333333333</v>
      </c>
      <c r="M1256" t="s">
        <v>24</v>
      </c>
      <c r="N1256" t="str">
        <f>_xlfn.XLOOKUP(A1256,[1]!brca_metabric_clinical_data__2[Patient ID], [1]!brca_metabric_clinical_data__2[Tumor Size])</f>
        <v>20</v>
      </c>
      <c r="O1256" t="str">
        <f>_xlfn.XLOOKUP(A1256,[1]!brca_metabric_clinical_data__2[Sample ID],[1]!brca_metabric_clinical_data__2[Tumor Stage])</f>
        <v>1</v>
      </c>
    </row>
    <row r="1257" spans="1:15" x14ac:dyDescent="0.45">
      <c r="A1257" t="s">
        <v>1292</v>
      </c>
      <c r="B1257">
        <v>68.599999999999994</v>
      </c>
      <c r="C1257" t="s">
        <v>16</v>
      </c>
      <c r="D1257" t="s">
        <v>17</v>
      </c>
      <c r="E1257" t="s">
        <v>18</v>
      </c>
      <c r="F1257" t="s">
        <v>19</v>
      </c>
      <c r="G1257" t="s">
        <v>20</v>
      </c>
      <c r="H1257" t="s">
        <v>21</v>
      </c>
      <c r="I1257" t="s">
        <v>20</v>
      </c>
      <c r="J1257" t="s">
        <v>27</v>
      </c>
      <c r="K1257">
        <v>3</v>
      </c>
      <c r="L1257">
        <v>246.6</v>
      </c>
      <c r="M1257" t="s">
        <v>30</v>
      </c>
      <c r="N1257" t="str">
        <f>_xlfn.XLOOKUP(A1257,[1]!brca_metabric_clinical_data__2[Patient ID], [1]!brca_metabric_clinical_data__2[Tumor Size])</f>
        <v>15</v>
      </c>
      <c r="O1257" t="str">
        <f>_xlfn.XLOOKUP(A1257,[1]!brca_metabric_clinical_data__2[Sample ID],[1]!brca_metabric_clinical_data__2[Tumor Stage])</f>
        <v>1</v>
      </c>
    </row>
    <row r="1258" spans="1:15" x14ac:dyDescent="0.45">
      <c r="A1258" t="s">
        <v>1293</v>
      </c>
      <c r="B1258">
        <v>78.040000000000006</v>
      </c>
      <c r="C1258" t="s">
        <v>16</v>
      </c>
      <c r="D1258" t="s">
        <v>17</v>
      </c>
      <c r="E1258" t="s">
        <v>18</v>
      </c>
      <c r="F1258" t="s">
        <v>19</v>
      </c>
      <c r="G1258" t="s">
        <v>20</v>
      </c>
      <c r="H1258" t="s">
        <v>21</v>
      </c>
      <c r="I1258" t="s">
        <v>21</v>
      </c>
      <c r="J1258" t="s">
        <v>27</v>
      </c>
      <c r="K1258">
        <v>3</v>
      </c>
      <c r="L1258">
        <v>134.26666666666699</v>
      </c>
      <c r="M1258" t="s">
        <v>30</v>
      </c>
      <c r="N1258" t="str">
        <f>_xlfn.XLOOKUP(A1258,[1]!brca_metabric_clinical_data__2[Patient ID], [1]!brca_metabric_clinical_data__2[Tumor Size])</f>
        <v>30</v>
      </c>
      <c r="O1258" t="str">
        <f>_xlfn.XLOOKUP(A1258,[1]!brca_metabric_clinical_data__2[Sample ID],[1]!brca_metabric_clinical_data__2[Tumor Stage])</f>
        <v>NA</v>
      </c>
    </row>
    <row r="1259" spans="1:15" x14ac:dyDescent="0.45">
      <c r="A1259" t="s">
        <v>1294</v>
      </c>
      <c r="B1259">
        <v>74.34</v>
      </c>
      <c r="C1259" t="s">
        <v>16</v>
      </c>
      <c r="D1259" t="s">
        <v>17</v>
      </c>
      <c r="E1259" t="s">
        <v>18</v>
      </c>
      <c r="F1259" t="s">
        <v>19</v>
      </c>
      <c r="G1259" t="s">
        <v>20</v>
      </c>
      <c r="H1259" t="s">
        <v>21</v>
      </c>
      <c r="I1259" t="s">
        <v>21</v>
      </c>
      <c r="J1259" t="s">
        <v>27</v>
      </c>
      <c r="K1259">
        <v>8</v>
      </c>
      <c r="L1259">
        <v>118.533333333333</v>
      </c>
      <c r="M1259" t="s">
        <v>30</v>
      </c>
      <c r="N1259" t="str">
        <f>_xlfn.XLOOKUP(A1259,[1]!brca_metabric_clinical_data__2[Patient ID], [1]!brca_metabric_clinical_data__2[Tumor Size])</f>
        <v>15</v>
      </c>
      <c r="O1259" t="str">
        <f>_xlfn.XLOOKUP(A1259,[1]!brca_metabric_clinical_data__2[Sample ID],[1]!brca_metabric_clinical_data__2[Tumor Stage])</f>
        <v>1</v>
      </c>
    </row>
    <row r="1260" spans="1:15" x14ac:dyDescent="0.45">
      <c r="A1260" t="s">
        <v>1295</v>
      </c>
      <c r="B1260">
        <v>79.760000000000005</v>
      </c>
      <c r="C1260" t="s">
        <v>16</v>
      </c>
      <c r="D1260" t="s">
        <v>17</v>
      </c>
      <c r="E1260" t="s">
        <v>18</v>
      </c>
      <c r="F1260" t="s">
        <v>19</v>
      </c>
      <c r="G1260" t="s">
        <v>20</v>
      </c>
      <c r="H1260" t="s">
        <v>20</v>
      </c>
      <c r="I1260" t="s">
        <v>20</v>
      </c>
      <c r="J1260" t="s">
        <v>27</v>
      </c>
      <c r="K1260" t="s">
        <v>23</v>
      </c>
      <c r="L1260">
        <v>89.3333333333333</v>
      </c>
      <c r="M1260" t="s">
        <v>30</v>
      </c>
      <c r="N1260" t="str">
        <f>_xlfn.XLOOKUP(A1260,[1]!brca_metabric_clinical_data__2[Patient ID], [1]!brca_metabric_clinical_data__2[Tumor Size])</f>
        <v>20</v>
      </c>
      <c r="O1260" t="str">
        <f>_xlfn.XLOOKUP(A1260,[1]!brca_metabric_clinical_data__2[Sample ID],[1]!brca_metabric_clinical_data__2[Tumor Stage])</f>
        <v>1</v>
      </c>
    </row>
    <row r="1261" spans="1:15" x14ac:dyDescent="0.45">
      <c r="A1261" t="s">
        <v>1296</v>
      </c>
      <c r="B1261">
        <v>61.88</v>
      </c>
      <c r="C1261" t="s">
        <v>16</v>
      </c>
      <c r="D1261" t="s">
        <v>17</v>
      </c>
      <c r="E1261" t="s">
        <v>18</v>
      </c>
      <c r="F1261" t="s">
        <v>19</v>
      </c>
      <c r="G1261" t="s">
        <v>20</v>
      </c>
      <c r="H1261" t="s">
        <v>21</v>
      </c>
      <c r="I1261" t="s">
        <v>20</v>
      </c>
      <c r="J1261" t="s">
        <v>27</v>
      </c>
      <c r="K1261" t="s">
        <v>23</v>
      </c>
      <c r="L1261">
        <v>77.466666666666697</v>
      </c>
      <c r="M1261" t="s">
        <v>30</v>
      </c>
      <c r="N1261" t="str">
        <f>_xlfn.XLOOKUP(A1261,[1]!brca_metabric_clinical_data__2[Patient ID], [1]!brca_metabric_clinical_data__2[Tumor Size])</f>
        <v>35</v>
      </c>
      <c r="O1261" t="str">
        <f>_xlfn.XLOOKUP(A1261,[1]!brca_metabric_clinical_data__2[Sample ID],[1]!brca_metabric_clinical_data__2[Tumor Stage])</f>
        <v>2</v>
      </c>
    </row>
    <row r="1262" spans="1:15" x14ac:dyDescent="0.45">
      <c r="A1262" t="s">
        <v>1297</v>
      </c>
      <c r="B1262">
        <v>42.84</v>
      </c>
      <c r="C1262" t="s">
        <v>16</v>
      </c>
      <c r="D1262" t="s">
        <v>26</v>
      </c>
      <c r="E1262" t="s">
        <v>18</v>
      </c>
      <c r="F1262" t="s">
        <v>43</v>
      </c>
      <c r="G1262" t="s">
        <v>20</v>
      </c>
      <c r="H1262" t="s">
        <v>20</v>
      </c>
      <c r="I1262" t="s">
        <v>21</v>
      </c>
      <c r="J1262" t="s">
        <v>27</v>
      </c>
      <c r="K1262">
        <v>6</v>
      </c>
      <c r="L1262">
        <v>203.26666666666699</v>
      </c>
      <c r="M1262" t="s">
        <v>24</v>
      </c>
      <c r="N1262" t="str">
        <f>_xlfn.XLOOKUP(A1262,[1]!brca_metabric_clinical_data__2[Patient ID], [1]!brca_metabric_clinical_data__2[Tumor Size])</f>
        <v>10</v>
      </c>
      <c r="O1262" t="str">
        <f>_xlfn.XLOOKUP(A1262,[1]!brca_metabric_clinical_data__2[Sample ID],[1]!brca_metabric_clinical_data__2[Tumor Stage])</f>
        <v>1</v>
      </c>
    </row>
    <row r="1263" spans="1:15" x14ac:dyDescent="0.45">
      <c r="A1263" t="s">
        <v>1298</v>
      </c>
      <c r="B1263">
        <v>65.44</v>
      </c>
      <c r="C1263" t="s">
        <v>16</v>
      </c>
      <c r="D1263" t="s">
        <v>17</v>
      </c>
      <c r="E1263" t="s">
        <v>18</v>
      </c>
      <c r="F1263" t="s">
        <v>19</v>
      </c>
      <c r="G1263" t="s">
        <v>20</v>
      </c>
      <c r="H1263" t="s">
        <v>21</v>
      </c>
      <c r="I1263" t="s">
        <v>20</v>
      </c>
      <c r="J1263" t="s">
        <v>58</v>
      </c>
      <c r="K1263">
        <v>10</v>
      </c>
      <c r="L1263">
        <v>19.399999999999999</v>
      </c>
      <c r="M1263" t="s">
        <v>30</v>
      </c>
      <c r="N1263" t="str">
        <f>_xlfn.XLOOKUP(A1263,[1]!brca_metabric_clinical_data__2[Patient ID], [1]!brca_metabric_clinical_data__2[Tumor Size])</f>
        <v>25</v>
      </c>
      <c r="O1263" t="str">
        <f>_xlfn.XLOOKUP(A1263,[1]!brca_metabric_clinical_data__2[Sample ID],[1]!brca_metabric_clinical_data__2[Tumor Stage])</f>
        <v>2</v>
      </c>
    </row>
    <row r="1264" spans="1:15" x14ac:dyDescent="0.45">
      <c r="A1264" t="s">
        <v>1299</v>
      </c>
      <c r="B1264">
        <v>69.239999999999995</v>
      </c>
      <c r="C1264" t="s">
        <v>16</v>
      </c>
      <c r="D1264" t="s">
        <v>17</v>
      </c>
      <c r="E1264" t="s">
        <v>18</v>
      </c>
      <c r="F1264" t="s">
        <v>19</v>
      </c>
      <c r="G1264" t="s">
        <v>20</v>
      </c>
      <c r="H1264" t="s">
        <v>21</v>
      </c>
      <c r="I1264" t="s">
        <v>20</v>
      </c>
      <c r="J1264" t="s">
        <v>27</v>
      </c>
      <c r="K1264" t="s">
        <v>23</v>
      </c>
      <c r="L1264">
        <v>111.966666666667</v>
      </c>
      <c r="M1264" t="s">
        <v>30</v>
      </c>
      <c r="N1264" t="str">
        <f>_xlfn.XLOOKUP(A1264,[1]!brca_metabric_clinical_data__2[Patient ID], [1]!brca_metabric_clinical_data__2[Tumor Size])</f>
        <v>50</v>
      </c>
      <c r="O1264" t="str">
        <f>_xlfn.XLOOKUP(A1264,[1]!brca_metabric_clinical_data__2[Sample ID],[1]!brca_metabric_clinical_data__2[Tumor Stage])</f>
        <v>2</v>
      </c>
    </row>
    <row r="1265" spans="1:15" x14ac:dyDescent="0.45">
      <c r="A1265" t="s">
        <v>1300</v>
      </c>
      <c r="B1265">
        <v>53.07</v>
      </c>
      <c r="C1265" t="s">
        <v>16</v>
      </c>
      <c r="D1265" t="s">
        <v>17</v>
      </c>
      <c r="E1265" t="s">
        <v>37</v>
      </c>
      <c r="F1265" t="s">
        <v>43</v>
      </c>
      <c r="G1265" t="s">
        <v>20</v>
      </c>
      <c r="H1265" t="s">
        <v>20</v>
      </c>
      <c r="I1265" t="s">
        <v>21</v>
      </c>
      <c r="J1265" t="s">
        <v>58</v>
      </c>
      <c r="K1265" t="s">
        <v>39</v>
      </c>
      <c r="L1265">
        <v>242.566666666667</v>
      </c>
      <c r="M1265" t="s">
        <v>24</v>
      </c>
      <c r="N1265" t="str">
        <f>_xlfn.XLOOKUP(A1265,[1]!brca_metabric_clinical_data__2[Patient ID], [1]!brca_metabric_clinical_data__2[Tumor Size])</f>
        <v>15</v>
      </c>
      <c r="O1265" t="str">
        <f>_xlfn.XLOOKUP(A1265,[1]!brca_metabric_clinical_data__2[Sample ID],[1]!brca_metabric_clinical_data__2[Tumor Stage])</f>
        <v>1</v>
      </c>
    </row>
    <row r="1266" spans="1:15" x14ac:dyDescent="0.45">
      <c r="A1266" t="s">
        <v>1301</v>
      </c>
      <c r="B1266">
        <v>54.75</v>
      </c>
      <c r="C1266" t="s">
        <v>16</v>
      </c>
      <c r="D1266" t="s">
        <v>17</v>
      </c>
      <c r="E1266" t="s">
        <v>18</v>
      </c>
      <c r="F1266" t="s">
        <v>19</v>
      </c>
      <c r="G1266" t="s">
        <v>20</v>
      </c>
      <c r="H1266" t="s">
        <v>21</v>
      </c>
      <c r="I1266" t="s">
        <v>20</v>
      </c>
      <c r="J1266" t="s">
        <v>27</v>
      </c>
      <c r="K1266">
        <v>8</v>
      </c>
      <c r="L1266">
        <v>142.166666666667</v>
      </c>
      <c r="M1266" t="s">
        <v>30</v>
      </c>
      <c r="N1266" t="str">
        <f>_xlfn.XLOOKUP(A1266,[1]!brca_metabric_clinical_data__2[Patient ID], [1]!brca_metabric_clinical_data__2[Tumor Size])</f>
        <v>20</v>
      </c>
      <c r="O1266" t="str">
        <f>_xlfn.XLOOKUP(A1266,[1]!brca_metabric_clinical_data__2[Sample ID],[1]!brca_metabric_clinical_data__2[Tumor Stage])</f>
        <v>1</v>
      </c>
    </row>
    <row r="1267" spans="1:15" x14ac:dyDescent="0.45">
      <c r="A1267" t="s">
        <v>1302</v>
      </c>
      <c r="B1267">
        <v>88.8</v>
      </c>
      <c r="C1267" t="s">
        <v>16</v>
      </c>
      <c r="D1267" t="s">
        <v>17</v>
      </c>
      <c r="E1267" t="s">
        <v>18</v>
      </c>
      <c r="F1267" t="s">
        <v>19</v>
      </c>
      <c r="G1267" t="s">
        <v>20</v>
      </c>
      <c r="H1267" t="s">
        <v>21</v>
      </c>
      <c r="I1267" t="s">
        <v>20</v>
      </c>
      <c r="J1267" t="s">
        <v>27</v>
      </c>
      <c r="K1267">
        <v>7</v>
      </c>
      <c r="L1267">
        <v>54.266666666666701</v>
      </c>
      <c r="M1267" t="s">
        <v>30</v>
      </c>
      <c r="N1267" t="str">
        <f>_xlfn.XLOOKUP(A1267,[1]!brca_metabric_clinical_data__2[Patient ID], [1]!brca_metabric_clinical_data__2[Tumor Size])</f>
        <v>30</v>
      </c>
      <c r="O1267" t="str">
        <f>_xlfn.XLOOKUP(A1267,[1]!brca_metabric_clinical_data__2[Sample ID],[1]!brca_metabric_clinical_data__2[Tumor Stage])</f>
        <v>2</v>
      </c>
    </row>
    <row r="1268" spans="1:15" x14ac:dyDescent="0.45">
      <c r="A1268" t="s">
        <v>1303</v>
      </c>
      <c r="B1268">
        <v>72.16</v>
      </c>
      <c r="C1268" t="s">
        <v>16</v>
      </c>
      <c r="D1268" t="s">
        <v>17</v>
      </c>
      <c r="E1268" t="s">
        <v>18</v>
      </c>
      <c r="F1268" t="s">
        <v>43</v>
      </c>
      <c r="G1268" t="s">
        <v>20</v>
      </c>
      <c r="H1268" t="s">
        <v>21</v>
      </c>
      <c r="I1268" t="s">
        <v>21</v>
      </c>
      <c r="J1268" t="s">
        <v>27</v>
      </c>
      <c r="K1268">
        <v>5</v>
      </c>
      <c r="L1268">
        <v>196.86666666666699</v>
      </c>
      <c r="M1268" t="s">
        <v>30</v>
      </c>
      <c r="N1268" t="str">
        <f>_xlfn.XLOOKUP(A1268,[1]!brca_metabric_clinical_data__2[Patient ID], [1]!brca_metabric_clinical_data__2[Tumor Size])</f>
        <v>15</v>
      </c>
      <c r="O1268" t="str">
        <f>_xlfn.XLOOKUP(A1268,[1]!brca_metabric_clinical_data__2[Sample ID],[1]!brca_metabric_clinical_data__2[Tumor Stage])</f>
        <v>1</v>
      </c>
    </row>
    <row r="1269" spans="1:15" x14ac:dyDescent="0.45">
      <c r="A1269" t="s">
        <v>1304</v>
      </c>
      <c r="B1269">
        <v>52.98</v>
      </c>
      <c r="C1269" t="s">
        <v>16</v>
      </c>
      <c r="D1269" t="s">
        <v>17</v>
      </c>
      <c r="E1269" t="s">
        <v>18</v>
      </c>
      <c r="F1269" t="s">
        <v>19</v>
      </c>
      <c r="G1269" t="s">
        <v>20</v>
      </c>
      <c r="H1269" t="s">
        <v>20</v>
      </c>
      <c r="I1269" t="s">
        <v>20</v>
      </c>
      <c r="J1269" t="s">
        <v>27</v>
      </c>
      <c r="K1269">
        <v>7</v>
      </c>
      <c r="L1269">
        <v>94.033333333333303</v>
      </c>
      <c r="M1269" t="s">
        <v>30</v>
      </c>
      <c r="N1269" t="str">
        <f>_xlfn.XLOOKUP(A1269,[1]!brca_metabric_clinical_data__2[Patient ID], [1]!brca_metabric_clinical_data__2[Tumor Size])</f>
        <v>15</v>
      </c>
      <c r="O1269" t="str">
        <f>_xlfn.XLOOKUP(A1269,[1]!brca_metabric_clinical_data__2[Sample ID],[1]!brca_metabric_clinical_data__2[Tumor Stage])</f>
        <v>1</v>
      </c>
    </row>
    <row r="1270" spans="1:15" x14ac:dyDescent="0.45">
      <c r="A1270" t="s">
        <v>1305</v>
      </c>
      <c r="B1270">
        <v>62.11</v>
      </c>
      <c r="C1270" t="s">
        <v>16</v>
      </c>
      <c r="D1270" t="s">
        <v>17</v>
      </c>
      <c r="E1270" t="s">
        <v>18</v>
      </c>
      <c r="F1270" t="s">
        <v>19</v>
      </c>
      <c r="G1270" t="s">
        <v>20</v>
      </c>
      <c r="H1270" t="s">
        <v>21</v>
      </c>
      <c r="I1270" t="s">
        <v>20</v>
      </c>
      <c r="J1270" t="s">
        <v>27</v>
      </c>
      <c r="K1270">
        <v>9</v>
      </c>
      <c r="L1270">
        <v>223.833333333333</v>
      </c>
      <c r="M1270" t="s">
        <v>30</v>
      </c>
      <c r="N1270" t="str">
        <f>_xlfn.XLOOKUP(A1270,[1]!brca_metabric_clinical_data__2[Patient ID], [1]!brca_metabric_clinical_data__2[Tumor Size])</f>
        <v>25</v>
      </c>
      <c r="O1270" t="str">
        <f>_xlfn.XLOOKUP(A1270,[1]!brca_metabric_clinical_data__2[Sample ID],[1]!brca_metabric_clinical_data__2[Tumor Stage])</f>
        <v>2</v>
      </c>
    </row>
    <row r="1271" spans="1:15" x14ac:dyDescent="0.45">
      <c r="A1271" t="s">
        <v>1306</v>
      </c>
      <c r="B1271">
        <v>65.349999999999994</v>
      </c>
      <c r="C1271" t="s">
        <v>16</v>
      </c>
      <c r="D1271" t="s">
        <v>17</v>
      </c>
      <c r="E1271" t="s">
        <v>37</v>
      </c>
      <c r="F1271" t="s">
        <v>43</v>
      </c>
      <c r="G1271" t="s">
        <v>20</v>
      </c>
      <c r="H1271" t="s">
        <v>21</v>
      </c>
      <c r="I1271" t="s">
        <v>20</v>
      </c>
      <c r="J1271" t="s">
        <v>58</v>
      </c>
      <c r="K1271">
        <v>5</v>
      </c>
      <c r="L1271">
        <v>204.4</v>
      </c>
      <c r="M1271" t="s">
        <v>24</v>
      </c>
      <c r="N1271" t="str">
        <f>_xlfn.XLOOKUP(A1271,[1]!brca_metabric_clinical_data__2[Patient ID], [1]!brca_metabric_clinical_data__2[Tumor Size])</f>
        <v>15</v>
      </c>
      <c r="O1271" t="str">
        <f>_xlfn.XLOOKUP(A1271,[1]!brca_metabric_clinical_data__2[Sample ID],[1]!brca_metabric_clinical_data__2[Tumor Stage])</f>
        <v>1</v>
      </c>
    </row>
    <row r="1272" spans="1:15" x14ac:dyDescent="0.45">
      <c r="A1272" t="s">
        <v>1307</v>
      </c>
      <c r="B1272">
        <v>70.23</v>
      </c>
      <c r="C1272" t="s">
        <v>16</v>
      </c>
      <c r="D1272" t="s">
        <v>17</v>
      </c>
      <c r="E1272" t="s">
        <v>18</v>
      </c>
      <c r="F1272" t="s">
        <v>43</v>
      </c>
      <c r="G1272" t="s">
        <v>20</v>
      </c>
      <c r="H1272" t="s">
        <v>21</v>
      </c>
      <c r="I1272" t="s">
        <v>21</v>
      </c>
      <c r="J1272" t="s">
        <v>29</v>
      </c>
      <c r="K1272">
        <v>1</v>
      </c>
      <c r="L1272">
        <v>52.3</v>
      </c>
      <c r="M1272" t="s">
        <v>30</v>
      </c>
      <c r="N1272" t="str">
        <f>_xlfn.XLOOKUP(A1272,[1]!brca_metabric_clinical_data__2[Patient ID], [1]!brca_metabric_clinical_data__2[Tumor Size])</f>
        <v>15</v>
      </c>
      <c r="O1272" t="str">
        <f>_xlfn.XLOOKUP(A1272,[1]!brca_metabric_clinical_data__2[Sample ID],[1]!brca_metabric_clinical_data__2[Tumor Stage])</f>
        <v>1</v>
      </c>
    </row>
    <row r="1273" spans="1:15" x14ac:dyDescent="0.45">
      <c r="A1273" t="s">
        <v>1308</v>
      </c>
      <c r="B1273">
        <v>73.17</v>
      </c>
      <c r="C1273" t="s">
        <v>16</v>
      </c>
      <c r="D1273" t="s">
        <v>17</v>
      </c>
      <c r="E1273" t="s">
        <v>18</v>
      </c>
      <c r="F1273" t="s">
        <v>19</v>
      </c>
      <c r="G1273" t="s">
        <v>20</v>
      </c>
      <c r="H1273" t="s">
        <v>21</v>
      </c>
      <c r="I1273" t="s">
        <v>21</v>
      </c>
      <c r="J1273" t="s">
        <v>27</v>
      </c>
      <c r="K1273">
        <v>8</v>
      </c>
      <c r="L1273">
        <v>96.966666666666697</v>
      </c>
      <c r="M1273" t="s">
        <v>30</v>
      </c>
      <c r="N1273" t="str">
        <f>_xlfn.XLOOKUP(A1273,[1]!brca_metabric_clinical_data__2[Patient ID], [1]!brca_metabric_clinical_data__2[Tumor Size])</f>
        <v>20</v>
      </c>
      <c r="O1273" t="str">
        <f>_xlfn.XLOOKUP(A1273,[1]!brca_metabric_clinical_data__2[Sample ID],[1]!brca_metabric_clinical_data__2[Tumor Stage])</f>
        <v>1</v>
      </c>
    </row>
    <row r="1274" spans="1:15" x14ac:dyDescent="0.45">
      <c r="A1274" t="s">
        <v>1309</v>
      </c>
      <c r="B1274">
        <v>76.91</v>
      </c>
      <c r="C1274" t="s">
        <v>16</v>
      </c>
      <c r="D1274" t="s">
        <v>17</v>
      </c>
      <c r="E1274" t="s">
        <v>18</v>
      </c>
      <c r="F1274" t="s">
        <v>19</v>
      </c>
      <c r="G1274" t="s">
        <v>20</v>
      </c>
      <c r="H1274" t="s">
        <v>21</v>
      </c>
      <c r="I1274" t="s">
        <v>20</v>
      </c>
      <c r="J1274" t="s">
        <v>27</v>
      </c>
      <c r="K1274">
        <v>3</v>
      </c>
      <c r="L1274">
        <v>191.933333333333</v>
      </c>
      <c r="M1274" t="s">
        <v>30</v>
      </c>
      <c r="N1274" t="str">
        <f>_xlfn.XLOOKUP(A1274,[1]!brca_metabric_clinical_data__2[Patient ID], [1]!brca_metabric_clinical_data__2[Tumor Size])</f>
        <v>24</v>
      </c>
      <c r="O1274" t="str">
        <f>_xlfn.XLOOKUP(A1274,[1]!brca_metabric_clinical_data__2[Sample ID],[1]!brca_metabric_clinical_data__2[Tumor Stage])</f>
        <v>2</v>
      </c>
    </row>
    <row r="1275" spans="1:15" x14ac:dyDescent="0.45">
      <c r="A1275" t="s">
        <v>1310</v>
      </c>
      <c r="B1275">
        <v>50.24</v>
      </c>
      <c r="C1275" t="s">
        <v>16</v>
      </c>
      <c r="D1275" t="s">
        <v>17</v>
      </c>
      <c r="E1275" t="s">
        <v>37</v>
      </c>
      <c r="F1275" t="s">
        <v>19</v>
      </c>
      <c r="G1275" t="s">
        <v>21</v>
      </c>
      <c r="H1275" t="s">
        <v>21</v>
      </c>
      <c r="I1275" t="s">
        <v>21</v>
      </c>
      <c r="J1275" t="s">
        <v>58</v>
      </c>
      <c r="K1275">
        <v>9</v>
      </c>
      <c r="L1275">
        <v>185.3</v>
      </c>
      <c r="M1275" t="s">
        <v>24</v>
      </c>
      <c r="N1275" t="str">
        <f>_xlfn.XLOOKUP(A1275,[1]!brca_metabric_clinical_data__2[Patient ID], [1]!brca_metabric_clinical_data__2[Tumor Size])</f>
        <v>35</v>
      </c>
      <c r="O1275" t="str">
        <f>_xlfn.XLOOKUP(A1275,[1]!brca_metabric_clinical_data__2[Sample ID],[1]!brca_metabric_clinical_data__2[Tumor Stage])</f>
        <v>2</v>
      </c>
    </row>
    <row r="1276" spans="1:15" x14ac:dyDescent="0.45">
      <c r="A1276" t="s">
        <v>1311</v>
      </c>
      <c r="B1276">
        <v>67.45</v>
      </c>
      <c r="C1276" t="s">
        <v>16</v>
      </c>
      <c r="D1276" t="s">
        <v>17</v>
      </c>
      <c r="E1276" t="s">
        <v>18</v>
      </c>
      <c r="F1276" t="s">
        <v>19</v>
      </c>
      <c r="G1276" t="s">
        <v>20</v>
      </c>
      <c r="H1276" t="s">
        <v>20</v>
      </c>
      <c r="I1276" t="s">
        <v>20</v>
      </c>
      <c r="J1276" t="s">
        <v>27</v>
      </c>
      <c r="K1276">
        <v>2</v>
      </c>
      <c r="L1276">
        <v>205.73333333333301</v>
      </c>
      <c r="M1276" t="s">
        <v>24</v>
      </c>
      <c r="N1276" t="str">
        <f>_xlfn.XLOOKUP(A1276,[1]!brca_metabric_clinical_data__2[Patient ID], [1]!brca_metabric_clinical_data__2[Tumor Size])</f>
        <v>15</v>
      </c>
      <c r="O1276" t="str">
        <f>_xlfn.XLOOKUP(A1276,[1]!brca_metabric_clinical_data__2[Sample ID],[1]!brca_metabric_clinical_data__2[Tumor Stage])</f>
        <v>1</v>
      </c>
    </row>
    <row r="1277" spans="1:15" x14ac:dyDescent="0.45">
      <c r="A1277" t="s">
        <v>1312</v>
      </c>
      <c r="B1277">
        <v>52.43</v>
      </c>
      <c r="C1277" t="s">
        <v>16</v>
      </c>
      <c r="D1277" t="s">
        <v>17</v>
      </c>
      <c r="E1277" t="s">
        <v>37</v>
      </c>
      <c r="F1277" t="s">
        <v>19</v>
      </c>
      <c r="G1277" t="s">
        <v>20</v>
      </c>
      <c r="H1277" t="s">
        <v>20</v>
      </c>
      <c r="I1277" t="s">
        <v>20</v>
      </c>
      <c r="J1277" t="s">
        <v>58</v>
      </c>
      <c r="K1277">
        <v>10</v>
      </c>
      <c r="L1277">
        <v>151.9</v>
      </c>
      <c r="M1277" t="s">
        <v>24</v>
      </c>
      <c r="N1277" t="str">
        <f>_xlfn.XLOOKUP(A1277,[1]!brca_metabric_clinical_data__2[Patient ID], [1]!brca_metabric_clinical_data__2[Tumor Size])</f>
        <v>27</v>
      </c>
      <c r="O1277" t="str">
        <f>_xlfn.XLOOKUP(A1277,[1]!brca_metabric_clinical_data__2[Sample ID],[1]!brca_metabric_clinical_data__2[Tumor Stage])</f>
        <v>2</v>
      </c>
    </row>
    <row r="1278" spans="1:15" x14ac:dyDescent="0.45">
      <c r="A1278" t="s">
        <v>1313</v>
      </c>
      <c r="B1278">
        <v>79.17</v>
      </c>
      <c r="C1278" t="s">
        <v>16</v>
      </c>
      <c r="D1278" t="s">
        <v>17</v>
      </c>
      <c r="E1278" t="s">
        <v>37</v>
      </c>
      <c r="F1278" t="s">
        <v>19</v>
      </c>
      <c r="G1278" t="s">
        <v>20</v>
      </c>
      <c r="H1278" t="s">
        <v>21</v>
      </c>
      <c r="I1278" t="s">
        <v>21</v>
      </c>
      <c r="J1278" t="s">
        <v>58</v>
      </c>
      <c r="K1278" t="s">
        <v>39</v>
      </c>
      <c r="L1278">
        <v>175.1</v>
      </c>
      <c r="M1278" t="s">
        <v>30</v>
      </c>
      <c r="N1278" t="str">
        <f>_xlfn.XLOOKUP(A1278,[1]!brca_metabric_clinical_data__2[Patient ID], [1]!brca_metabric_clinical_data__2[Tumor Size])</f>
        <v>60</v>
      </c>
      <c r="O1278" t="str">
        <f>_xlfn.XLOOKUP(A1278,[1]!brca_metabric_clinical_data__2[Sample ID],[1]!brca_metabric_clinical_data__2[Tumor Stage])</f>
        <v>2</v>
      </c>
    </row>
    <row r="1279" spans="1:15" x14ac:dyDescent="0.45">
      <c r="A1279" t="s">
        <v>1314</v>
      </c>
      <c r="B1279">
        <v>68.42</v>
      </c>
      <c r="C1279" t="s">
        <v>16</v>
      </c>
      <c r="D1279" t="s">
        <v>17</v>
      </c>
      <c r="E1279" t="s">
        <v>18</v>
      </c>
      <c r="F1279" t="s">
        <v>19</v>
      </c>
      <c r="G1279" t="s">
        <v>20</v>
      </c>
      <c r="H1279" t="s">
        <v>21</v>
      </c>
      <c r="I1279" t="s">
        <v>20</v>
      </c>
      <c r="J1279" t="s">
        <v>29</v>
      </c>
      <c r="K1279">
        <v>7</v>
      </c>
      <c r="L1279">
        <v>247.833333333333</v>
      </c>
      <c r="M1279" t="s">
        <v>30</v>
      </c>
      <c r="N1279" t="str">
        <f>_xlfn.XLOOKUP(A1279,[1]!brca_metabric_clinical_data__2[Patient ID], [1]!brca_metabric_clinical_data__2[Tumor Size])</f>
        <v>30</v>
      </c>
      <c r="O1279" t="str">
        <f>_xlfn.XLOOKUP(A1279,[1]!brca_metabric_clinical_data__2[Sample ID],[1]!brca_metabric_clinical_data__2[Tumor Stage])</f>
        <v>2</v>
      </c>
    </row>
    <row r="1280" spans="1:15" x14ac:dyDescent="0.45">
      <c r="A1280" t="s">
        <v>1315</v>
      </c>
      <c r="B1280">
        <v>80.17</v>
      </c>
      <c r="C1280" t="s">
        <v>16</v>
      </c>
      <c r="D1280" t="s">
        <v>17</v>
      </c>
      <c r="E1280" t="s">
        <v>18</v>
      </c>
      <c r="F1280" t="s">
        <v>43</v>
      </c>
      <c r="G1280" t="s">
        <v>20</v>
      </c>
      <c r="H1280" t="s">
        <v>21</v>
      </c>
      <c r="I1280" t="s">
        <v>20</v>
      </c>
      <c r="J1280" t="s">
        <v>29</v>
      </c>
      <c r="K1280">
        <v>5</v>
      </c>
      <c r="L1280">
        <v>179.1</v>
      </c>
      <c r="M1280" t="s">
        <v>30</v>
      </c>
      <c r="N1280" t="str">
        <f>_xlfn.XLOOKUP(A1280,[1]!brca_metabric_clinical_data__2[Patient ID], [1]!brca_metabric_clinical_data__2[Tumor Size])</f>
        <v>35</v>
      </c>
      <c r="O1280" t="str">
        <f>_xlfn.XLOOKUP(A1280,[1]!brca_metabric_clinical_data__2[Sample ID],[1]!brca_metabric_clinical_data__2[Tumor Stage])</f>
        <v>2</v>
      </c>
    </row>
    <row r="1281" spans="1:15" x14ac:dyDescent="0.45">
      <c r="A1281" t="s">
        <v>1316</v>
      </c>
      <c r="B1281">
        <v>74.98</v>
      </c>
      <c r="C1281" t="s">
        <v>16</v>
      </c>
      <c r="D1281" t="s">
        <v>17</v>
      </c>
      <c r="E1281" t="s">
        <v>37</v>
      </c>
      <c r="F1281" t="s">
        <v>43</v>
      </c>
      <c r="G1281" t="s">
        <v>21</v>
      </c>
      <c r="H1281" t="s">
        <v>21</v>
      </c>
      <c r="I1281" t="s">
        <v>21</v>
      </c>
      <c r="J1281" t="s">
        <v>45</v>
      </c>
      <c r="K1281">
        <v>5</v>
      </c>
      <c r="L1281">
        <v>43.4</v>
      </c>
      <c r="M1281" t="s">
        <v>30</v>
      </c>
      <c r="N1281" t="str">
        <f>_xlfn.XLOOKUP(A1281,[1]!brca_metabric_clinical_data__2[Patient ID], [1]!brca_metabric_clinical_data__2[Tumor Size])</f>
        <v>25</v>
      </c>
      <c r="O1281" t="str">
        <f>_xlfn.XLOOKUP(A1281,[1]!brca_metabric_clinical_data__2[Sample ID],[1]!brca_metabric_clinical_data__2[Tumor Stage])</f>
        <v>3</v>
      </c>
    </row>
    <row r="1282" spans="1:15" x14ac:dyDescent="0.45">
      <c r="A1282" t="s">
        <v>1317</v>
      </c>
      <c r="B1282">
        <v>66.569999999999993</v>
      </c>
      <c r="C1282" t="s">
        <v>16</v>
      </c>
      <c r="D1282" t="s">
        <v>17</v>
      </c>
      <c r="E1282" t="s">
        <v>18</v>
      </c>
      <c r="F1282" t="s">
        <v>19</v>
      </c>
      <c r="G1282" t="s">
        <v>20</v>
      </c>
      <c r="H1282" t="s">
        <v>21</v>
      </c>
      <c r="I1282" t="s">
        <v>21</v>
      </c>
      <c r="J1282" t="s">
        <v>38</v>
      </c>
      <c r="K1282">
        <v>2</v>
      </c>
      <c r="L1282">
        <v>107.366666666667</v>
      </c>
      <c r="M1282" t="s">
        <v>30</v>
      </c>
      <c r="N1282" t="str">
        <f>_xlfn.XLOOKUP(A1282,[1]!brca_metabric_clinical_data__2[Patient ID], [1]!brca_metabric_clinical_data__2[Tumor Size])</f>
        <v>20</v>
      </c>
      <c r="O1282" t="str">
        <f>_xlfn.XLOOKUP(A1282,[1]!brca_metabric_clinical_data__2[Sample ID],[1]!brca_metabric_clinical_data__2[Tumor Stage])</f>
        <v>1</v>
      </c>
    </row>
    <row r="1283" spans="1:15" x14ac:dyDescent="0.45">
      <c r="A1283" t="s">
        <v>1318</v>
      </c>
      <c r="B1283">
        <v>74.11</v>
      </c>
      <c r="C1283" t="s">
        <v>16</v>
      </c>
      <c r="D1283" t="s">
        <v>17</v>
      </c>
      <c r="E1283" t="s">
        <v>18</v>
      </c>
      <c r="F1283" t="s">
        <v>19</v>
      </c>
      <c r="G1283" t="s">
        <v>20</v>
      </c>
      <c r="H1283" t="s">
        <v>21</v>
      </c>
      <c r="I1283" t="s">
        <v>21</v>
      </c>
      <c r="J1283" t="s">
        <v>29</v>
      </c>
      <c r="K1283">
        <v>8</v>
      </c>
      <c r="L1283">
        <v>118.7</v>
      </c>
      <c r="M1283" t="s">
        <v>30</v>
      </c>
      <c r="N1283" t="str">
        <f>_xlfn.XLOOKUP(A1283,[1]!brca_metabric_clinical_data__2[Patient ID], [1]!brca_metabric_clinical_data__2[Tumor Size])</f>
        <v>28</v>
      </c>
      <c r="O1283" t="str">
        <f>_xlfn.XLOOKUP(A1283,[1]!brca_metabric_clinical_data__2[Sample ID],[1]!brca_metabric_clinical_data__2[Tumor Stage])</f>
        <v>NA</v>
      </c>
    </row>
    <row r="1284" spans="1:15" x14ac:dyDescent="0.45">
      <c r="A1284" t="s">
        <v>1319</v>
      </c>
      <c r="B1284">
        <v>42.11</v>
      </c>
      <c r="C1284" t="s">
        <v>16</v>
      </c>
      <c r="D1284" t="s">
        <v>26</v>
      </c>
      <c r="E1284" t="s">
        <v>18</v>
      </c>
      <c r="F1284" t="s">
        <v>19</v>
      </c>
      <c r="G1284" t="s">
        <v>20</v>
      </c>
      <c r="H1284" t="s">
        <v>20</v>
      </c>
      <c r="I1284" t="s">
        <v>21</v>
      </c>
      <c r="J1284" t="s">
        <v>29</v>
      </c>
      <c r="K1284">
        <v>1</v>
      </c>
      <c r="L1284">
        <v>254.96666666666701</v>
      </c>
      <c r="M1284" t="s">
        <v>24</v>
      </c>
      <c r="N1284" t="str">
        <f>_xlfn.XLOOKUP(A1284,[1]!brca_metabric_clinical_data__2[Patient ID], [1]!brca_metabric_clinical_data__2[Tumor Size])</f>
        <v>10</v>
      </c>
      <c r="O1284" t="str">
        <f>_xlfn.XLOOKUP(A1284,[1]!brca_metabric_clinical_data__2[Sample ID],[1]!brca_metabric_clinical_data__2[Tumor Stage])</f>
        <v>1</v>
      </c>
    </row>
    <row r="1285" spans="1:15" x14ac:dyDescent="0.45">
      <c r="A1285" t="s">
        <v>1320</v>
      </c>
      <c r="B1285">
        <v>55.77</v>
      </c>
      <c r="C1285" t="s">
        <v>16</v>
      </c>
      <c r="D1285" t="s">
        <v>17</v>
      </c>
      <c r="E1285" t="s">
        <v>18</v>
      </c>
      <c r="F1285" t="s">
        <v>19</v>
      </c>
      <c r="G1285" t="s">
        <v>20</v>
      </c>
      <c r="H1285" t="s">
        <v>21</v>
      </c>
      <c r="I1285" t="s">
        <v>20</v>
      </c>
      <c r="J1285" t="s">
        <v>27</v>
      </c>
      <c r="K1285" t="s">
        <v>23</v>
      </c>
      <c r="L1285">
        <v>252.9</v>
      </c>
      <c r="M1285" t="s">
        <v>24</v>
      </c>
      <c r="N1285" t="str">
        <f>_xlfn.XLOOKUP(A1285,[1]!brca_metabric_clinical_data__2[Patient ID], [1]!brca_metabric_clinical_data__2[Tumor Size])</f>
        <v>20</v>
      </c>
      <c r="O1285" t="str">
        <f>_xlfn.XLOOKUP(A1285,[1]!brca_metabric_clinical_data__2[Sample ID],[1]!brca_metabric_clinical_data__2[Tumor Stage])</f>
        <v>1</v>
      </c>
    </row>
    <row r="1286" spans="1:15" x14ac:dyDescent="0.45">
      <c r="A1286" t="s">
        <v>1321</v>
      </c>
      <c r="B1286">
        <v>63.53</v>
      </c>
      <c r="C1286" t="s">
        <v>16</v>
      </c>
      <c r="D1286" t="s">
        <v>17</v>
      </c>
      <c r="E1286" t="s">
        <v>18</v>
      </c>
      <c r="F1286" t="s">
        <v>19</v>
      </c>
      <c r="G1286" t="s">
        <v>20</v>
      </c>
      <c r="H1286" t="s">
        <v>20</v>
      </c>
      <c r="I1286" t="s">
        <v>20</v>
      </c>
      <c r="J1286" t="s">
        <v>27</v>
      </c>
      <c r="K1286">
        <v>8</v>
      </c>
      <c r="L1286">
        <v>131.30000000000001</v>
      </c>
      <c r="M1286" t="s">
        <v>30</v>
      </c>
      <c r="N1286" t="str">
        <f>_xlfn.XLOOKUP(A1286,[1]!brca_metabric_clinical_data__2[Patient ID], [1]!brca_metabric_clinical_data__2[Tumor Size])</f>
        <v>20</v>
      </c>
      <c r="O1286" t="str">
        <f>_xlfn.XLOOKUP(A1286,[1]!brca_metabric_clinical_data__2[Sample ID],[1]!brca_metabric_clinical_data__2[Tumor Stage])</f>
        <v>1</v>
      </c>
    </row>
    <row r="1287" spans="1:15" x14ac:dyDescent="0.45">
      <c r="A1287" t="s">
        <v>1322</v>
      </c>
      <c r="B1287">
        <v>76.2</v>
      </c>
      <c r="C1287" t="s">
        <v>16</v>
      </c>
      <c r="D1287" t="s">
        <v>17</v>
      </c>
      <c r="E1287" t="s">
        <v>37</v>
      </c>
      <c r="F1287" t="s">
        <v>43</v>
      </c>
      <c r="G1287" t="s">
        <v>20</v>
      </c>
      <c r="H1287" t="s">
        <v>21</v>
      </c>
      <c r="I1287" t="s">
        <v>21</v>
      </c>
      <c r="J1287" t="s">
        <v>22</v>
      </c>
      <c r="K1287">
        <v>10</v>
      </c>
      <c r="L1287">
        <v>111.833333333333</v>
      </c>
      <c r="M1287" t="s">
        <v>30</v>
      </c>
      <c r="N1287" t="str">
        <f>_xlfn.XLOOKUP(A1287,[1]!brca_metabric_clinical_data__2[Patient ID], [1]!brca_metabric_clinical_data__2[Tumor Size])</f>
        <v>15</v>
      </c>
      <c r="O1287" t="str">
        <f>_xlfn.XLOOKUP(A1287,[1]!brca_metabric_clinical_data__2[Sample ID],[1]!brca_metabric_clinical_data__2[Tumor Stage])</f>
        <v>1</v>
      </c>
    </row>
    <row r="1288" spans="1:15" x14ac:dyDescent="0.45">
      <c r="A1288" t="s">
        <v>1323</v>
      </c>
      <c r="B1288">
        <v>42.05</v>
      </c>
      <c r="C1288" t="s">
        <v>16</v>
      </c>
      <c r="D1288" t="s">
        <v>26</v>
      </c>
      <c r="E1288" t="s">
        <v>37</v>
      </c>
      <c r="F1288" t="s">
        <v>19</v>
      </c>
      <c r="G1288" t="s">
        <v>21</v>
      </c>
      <c r="H1288" t="s">
        <v>20</v>
      </c>
      <c r="I1288" t="s">
        <v>21</v>
      </c>
      <c r="J1288" t="s">
        <v>22</v>
      </c>
      <c r="K1288" t="s">
        <v>39</v>
      </c>
      <c r="L1288">
        <v>144.666666666667</v>
      </c>
      <c r="M1288" t="s">
        <v>30</v>
      </c>
      <c r="N1288" t="str">
        <f>_xlfn.XLOOKUP(A1288,[1]!brca_metabric_clinical_data__2[Patient ID], [1]!brca_metabric_clinical_data__2[Tumor Size])</f>
        <v>22</v>
      </c>
      <c r="O1288" t="str">
        <f>_xlfn.XLOOKUP(A1288,[1]!brca_metabric_clinical_data__2[Sample ID],[1]!brca_metabric_clinical_data__2[Tumor Stage])</f>
        <v>2</v>
      </c>
    </row>
    <row r="1289" spans="1:15" x14ac:dyDescent="0.45">
      <c r="A1289" t="s">
        <v>1324</v>
      </c>
      <c r="B1289">
        <v>90.23</v>
      </c>
      <c r="C1289" t="s">
        <v>16</v>
      </c>
      <c r="D1289" t="s">
        <v>17</v>
      </c>
      <c r="E1289" t="s">
        <v>18</v>
      </c>
      <c r="F1289" t="s">
        <v>19</v>
      </c>
      <c r="G1289" t="s">
        <v>20</v>
      </c>
      <c r="H1289" t="s">
        <v>21</v>
      </c>
      <c r="I1289" t="s">
        <v>20</v>
      </c>
      <c r="J1289" t="s">
        <v>27</v>
      </c>
      <c r="K1289">
        <v>7</v>
      </c>
      <c r="L1289">
        <v>99.4</v>
      </c>
      <c r="M1289" t="s">
        <v>30</v>
      </c>
      <c r="N1289" t="str">
        <f>_xlfn.XLOOKUP(A1289,[1]!brca_metabric_clinical_data__2[Patient ID], [1]!brca_metabric_clinical_data__2[Tumor Size])</f>
        <v>20</v>
      </c>
      <c r="O1289" t="str">
        <f>_xlfn.XLOOKUP(A1289,[1]!brca_metabric_clinical_data__2[Sample ID],[1]!brca_metabric_clinical_data__2[Tumor Stage])</f>
        <v>2</v>
      </c>
    </row>
    <row r="1290" spans="1:15" x14ac:dyDescent="0.45">
      <c r="A1290" t="s">
        <v>1325</v>
      </c>
      <c r="B1290">
        <v>68.010000000000005</v>
      </c>
      <c r="C1290" t="s">
        <v>16</v>
      </c>
      <c r="D1290" t="s">
        <v>17</v>
      </c>
      <c r="E1290" t="s">
        <v>37</v>
      </c>
      <c r="F1290" t="s">
        <v>19</v>
      </c>
      <c r="G1290" t="s">
        <v>20</v>
      </c>
      <c r="H1290" t="s">
        <v>21</v>
      </c>
      <c r="I1290" t="s">
        <v>21</v>
      </c>
      <c r="J1290" t="s">
        <v>58</v>
      </c>
      <c r="K1290">
        <v>10</v>
      </c>
      <c r="L1290">
        <v>43.266666666666701</v>
      </c>
      <c r="M1290" t="s">
        <v>30</v>
      </c>
      <c r="N1290" t="str">
        <f>_xlfn.XLOOKUP(A1290,[1]!brca_metabric_clinical_data__2[Patient ID], [1]!brca_metabric_clinical_data__2[Tumor Size])</f>
        <v>30</v>
      </c>
      <c r="O1290" t="str">
        <f>_xlfn.XLOOKUP(A1290,[1]!brca_metabric_clinical_data__2[Sample ID],[1]!brca_metabric_clinical_data__2[Tumor Stage])</f>
        <v>2</v>
      </c>
    </row>
    <row r="1291" spans="1:15" x14ac:dyDescent="0.45">
      <c r="A1291" t="s">
        <v>1326</v>
      </c>
      <c r="B1291">
        <v>75.53</v>
      </c>
      <c r="C1291" t="s">
        <v>16</v>
      </c>
      <c r="D1291" t="s">
        <v>17</v>
      </c>
      <c r="E1291" t="s">
        <v>18</v>
      </c>
      <c r="F1291" t="s">
        <v>35</v>
      </c>
      <c r="G1291" t="s">
        <v>20</v>
      </c>
      <c r="H1291" t="s">
        <v>20</v>
      </c>
      <c r="I1291" t="s">
        <v>21</v>
      </c>
      <c r="J1291" t="s">
        <v>29</v>
      </c>
      <c r="K1291" t="s">
        <v>23</v>
      </c>
      <c r="L1291">
        <v>200.6</v>
      </c>
      <c r="M1291" t="s">
        <v>24</v>
      </c>
      <c r="N1291" t="str">
        <f>_xlfn.XLOOKUP(A1291,[1]!brca_metabric_clinical_data__2[Patient ID], [1]!brca_metabric_clinical_data__2[Tumor Size])</f>
        <v>15</v>
      </c>
      <c r="O1291" t="str">
        <f>_xlfn.XLOOKUP(A1291,[1]!brca_metabric_clinical_data__2[Sample ID],[1]!brca_metabric_clinical_data__2[Tumor Stage])</f>
        <v>1</v>
      </c>
    </row>
    <row r="1292" spans="1:15" x14ac:dyDescent="0.45">
      <c r="A1292" t="s">
        <v>1327</v>
      </c>
      <c r="B1292">
        <v>74.459999999999994</v>
      </c>
      <c r="C1292" t="s">
        <v>16</v>
      </c>
      <c r="D1292" t="s">
        <v>17</v>
      </c>
      <c r="E1292" t="s">
        <v>18</v>
      </c>
      <c r="F1292" t="s">
        <v>19</v>
      </c>
      <c r="G1292" t="s">
        <v>20</v>
      </c>
      <c r="H1292" t="s">
        <v>21</v>
      </c>
      <c r="I1292" t="s">
        <v>20</v>
      </c>
      <c r="J1292" t="s">
        <v>27</v>
      </c>
      <c r="K1292" t="s">
        <v>23</v>
      </c>
      <c r="L1292">
        <v>187.03333333333299</v>
      </c>
      <c r="M1292" t="s">
        <v>30</v>
      </c>
      <c r="N1292" t="str">
        <f>_xlfn.XLOOKUP(A1292,[1]!brca_metabric_clinical_data__2[Patient ID], [1]!brca_metabric_clinical_data__2[Tumor Size])</f>
        <v>15</v>
      </c>
      <c r="O1292" t="str">
        <f>_xlfn.XLOOKUP(A1292,[1]!brca_metabric_clinical_data__2[Sample ID],[1]!brca_metabric_clinical_data__2[Tumor Stage])</f>
        <v>2</v>
      </c>
    </row>
    <row r="1293" spans="1:15" x14ac:dyDescent="0.45">
      <c r="A1293" t="s">
        <v>1328</v>
      </c>
      <c r="B1293">
        <v>72.56</v>
      </c>
      <c r="C1293" t="s">
        <v>16</v>
      </c>
      <c r="D1293" t="s">
        <v>17</v>
      </c>
      <c r="E1293" t="s">
        <v>18</v>
      </c>
      <c r="F1293" t="s">
        <v>19</v>
      </c>
      <c r="G1293" t="s">
        <v>20</v>
      </c>
      <c r="H1293" t="s">
        <v>21</v>
      </c>
      <c r="I1293" t="s">
        <v>21</v>
      </c>
      <c r="J1293" t="s">
        <v>29</v>
      </c>
      <c r="K1293">
        <v>7</v>
      </c>
      <c r="L1293">
        <v>180.73333333333301</v>
      </c>
      <c r="M1293" t="s">
        <v>30</v>
      </c>
      <c r="N1293" t="str">
        <f>_xlfn.XLOOKUP(A1293,[1]!brca_metabric_clinical_data__2[Patient ID], [1]!brca_metabric_clinical_data__2[Tumor Size])</f>
        <v>30</v>
      </c>
      <c r="O1293" t="str">
        <f>_xlfn.XLOOKUP(A1293,[1]!brca_metabric_clinical_data__2[Sample ID],[1]!brca_metabric_clinical_data__2[Tumor Stage])</f>
        <v>2</v>
      </c>
    </row>
    <row r="1294" spans="1:15" x14ac:dyDescent="0.45">
      <c r="A1294" t="s">
        <v>1329</v>
      </c>
      <c r="B1294">
        <v>39.99</v>
      </c>
      <c r="C1294" t="s">
        <v>16</v>
      </c>
      <c r="D1294" t="s">
        <v>26</v>
      </c>
      <c r="E1294" t="s">
        <v>37</v>
      </c>
      <c r="F1294" t="s">
        <v>43</v>
      </c>
      <c r="G1294" t="s">
        <v>21</v>
      </c>
      <c r="H1294" t="s">
        <v>20</v>
      </c>
      <c r="I1294" t="s">
        <v>20</v>
      </c>
      <c r="J1294" t="s">
        <v>58</v>
      </c>
      <c r="K1294">
        <v>5</v>
      </c>
      <c r="L1294">
        <v>33.966666666666697</v>
      </c>
      <c r="M1294" t="s">
        <v>30</v>
      </c>
      <c r="N1294" t="str">
        <f>_xlfn.XLOOKUP(A1294,[1]!brca_metabric_clinical_data__2[Patient ID], [1]!brca_metabric_clinical_data__2[Tumor Size])</f>
        <v>25</v>
      </c>
      <c r="O1294" t="str">
        <f>_xlfn.XLOOKUP(A1294,[1]!brca_metabric_clinical_data__2[Sample ID],[1]!brca_metabric_clinical_data__2[Tumor Stage])</f>
        <v>2</v>
      </c>
    </row>
    <row r="1295" spans="1:15" x14ac:dyDescent="0.45">
      <c r="A1295" t="s">
        <v>1330</v>
      </c>
      <c r="B1295">
        <v>48.17</v>
      </c>
      <c r="C1295" t="s">
        <v>16</v>
      </c>
      <c r="D1295" t="s">
        <v>26</v>
      </c>
      <c r="E1295" t="s">
        <v>18</v>
      </c>
      <c r="F1295" t="s">
        <v>19</v>
      </c>
      <c r="G1295" t="s">
        <v>20</v>
      </c>
      <c r="H1295" t="s">
        <v>20</v>
      </c>
      <c r="I1295" t="s">
        <v>21</v>
      </c>
      <c r="J1295" t="s">
        <v>27</v>
      </c>
      <c r="K1295">
        <v>3</v>
      </c>
      <c r="L1295">
        <v>176.5</v>
      </c>
      <c r="M1295" t="s">
        <v>24</v>
      </c>
      <c r="N1295" t="str">
        <f>_xlfn.XLOOKUP(A1295,[1]!brca_metabric_clinical_data__2[Patient ID], [1]!brca_metabric_clinical_data__2[Tumor Size])</f>
        <v>15</v>
      </c>
      <c r="O1295" t="str">
        <f>_xlfn.XLOOKUP(A1295,[1]!brca_metabric_clinical_data__2[Sample ID],[1]!brca_metabric_clinical_data__2[Tumor Stage])</f>
        <v>1</v>
      </c>
    </row>
    <row r="1296" spans="1:15" x14ac:dyDescent="0.45">
      <c r="A1296" t="s">
        <v>1331</v>
      </c>
      <c r="B1296">
        <v>61.28</v>
      </c>
      <c r="C1296" t="s">
        <v>16</v>
      </c>
      <c r="D1296" t="s">
        <v>17</v>
      </c>
      <c r="E1296" t="s">
        <v>37</v>
      </c>
      <c r="F1296" t="s">
        <v>43</v>
      </c>
      <c r="G1296" t="s">
        <v>20</v>
      </c>
      <c r="H1296" t="s">
        <v>21</v>
      </c>
      <c r="I1296" t="s">
        <v>20</v>
      </c>
      <c r="J1296" t="s">
        <v>45</v>
      </c>
      <c r="K1296">
        <v>5</v>
      </c>
      <c r="L1296">
        <v>16.566666666666698</v>
      </c>
      <c r="M1296" t="s">
        <v>30</v>
      </c>
      <c r="N1296" t="str">
        <f>_xlfn.XLOOKUP(A1296,[1]!brca_metabric_clinical_data__2[Patient ID], [1]!brca_metabric_clinical_data__2[Tumor Size])</f>
        <v>25</v>
      </c>
      <c r="O1296" t="str">
        <f>_xlfn.XLOOKUP(A1296,[1]!brca_metabric_clinical_data__2[Sample ID],[1]!brca_metabric_clinical_data__2[Tumor Stage])</f>
        <v>2</v>
      </c>
    </row>
    <row r="1297" spans="1:15" x14ac:dyDescent="0.45">
      <c r="A1297" t="s">
        <v>1332</v>
      </c>
      <c r="B1297">
        <v>74.53</v>
      </c>
      <c r="C1297" t="s">
        <v>16</v>
      </c>
      <c r="D1297" t="s">
        <v>17</v>
      </c>
      <c r="E1297" t="s">
        <v>37</v>
      </c>
      <c r="F1297" t="s">
        <v>19</v>
      </c>
      <c r="G1297" t="s">
        <v>20</v>
      </c>
      <c r="H1297" t="s">
        <v>20</v>
      </c>
      <c r="I1297" t="s">
        <v>21</v>
      </c>
      <c r="J1297" t="s">
        <v>58</v>
      </c>
      <c r="K1297">
        <v>10</v>
      </c>
      <c r="L1297">
        <v>211.2</v>
      </c>
      <c r="M1297" t="s">
        <v>30</v>
      </c>
      <c r="N1297" t="str">
        <f>_xlfn.XLOOKUP(A1297,[1]!brca_metabric_clinical_data__2[Patient ID], [1]!brca_metabric_clinical_data__2[Tumor Size])</f>
        <v>14</v>
      </c>
      <c r="O1297" t="str">
        <f>_xlfn.XLOOKUP(A1297,[1]!brca_metabric_clinical_data__2[Sample ID],[1]!brca_metabric_clinical_data__2[Tumor Stage])</f>
        <v>1</v>
      </c>
    </row>
    <row r="1298" spans="1:15" x14ac:dyDescent="0.45">
      <c r="A1298" t="s">
        <v>1333</v>
      </c>
      <c r="B1298">
        <v>79.59</v>
      </c>
      <c r="C1298" t="s">
        <v>16</v>
      </c>
      <c r="D1298" t="s">
        <v>17</v>
      </c>
      <c r="E1298" t="s">
        <v>18</v>
      </c>
      <c r="F1298" t="s">
        <v>19</v>
      </c>
      <c r="G1298" t="s">
        <v>20</v>
      </c>
      <c r="H1298" t="s">
        <v>21</v>
      </c>
      <c r="I1298" t="s">
        <v>21</v>
      </c>
      <c r="J1298" t="s">
        <v>29</v>
      </c>
      <c r="K1298">
        <v>8</v>
      </c>
      <c r="L1298">
        <v>209.03333333333299</v>
      </c>
      <c r="M1298" t="s">
        <v>30</v>
      </c>
      <c r="N1298" t="str">
        <f>_xlfn.XLOOKUP(A1298,[1]!brca_metabric_clinical_data__2[Patient ID], [1]!brca_metabric_clinical_data__2[Tumor Size])</f>
        <v>30</v>
      </c>
      <c r="O1298" t="str">
        <f>_xlfn.XLOOKUP(A1298,[1]!brca_metabric_clinical_data__2[Sample ID],[1]!brca_metabric_clinical_data__2[Tumor Stage])</f>
        <v>2</v>
      </c>
    </row>
    <row r="1299" spans="1:15" x14ac:dyDescent="0.45">
      <c r="A1299" t="s">
        <v>1334</v>
      </c>
      <c r="B1299">
        <v>59.04</v>
      </c>
      <c r="C1299" t="s">
        <v>16</v>
      </c>
      <c r="D1299" t="s">
        <v>17</v>
      </c>
      <c r="E1299" t="s">
        <v>18</v>
      </c>
      <c r="F1299" t="s">
        <v>19</v>
      </c>
      <c r="G1299" t="s">
        <v>20</v>
      </c>
      <c r="H1299" t="s">
        <v>20</v>
      </c>
      <c r="I1299" t="s">
        <v>21</v>
      </c>
      <c r="J1299" t="s">
        <v>58</v>
      </c>
      <c r="K1299">
        <v>9</v>
      </c>
      <c r="L1299">
        <v>204.2</v>
      </c>
      <c r="M1299" t="s">
        <v>30</v>
      </c>
      <c r="N1299" t="str">
        <f>_xlfn.XLOOKUP(A1299,[1]!brca_metabric_clinical_data__2[Patient ID], [1]!brca_metabric_clinical_data__2[Tumor Size])</f>
        <v>6</v>
      </c>
      <c r="O1299" t="str">
        <f>_xlfn.XLOOKUP(A1299,[1]!brca_metabric_clinical_data__2[Sample ID],[1]!brca_metabric_clinical_data__2[Tumor Stage])</f>
        <v>1</v>
      </c>
    </row>
    <row r="1300" spans="1:15" x14ac:dyDescent="0.45">
      <c r="A1300" t="s">
        <v>1335</v>
      </c>
      <c r="B1300">
        <v>63.02</v>
      </c>
      <c r="C1300" t="s">
        <v>16</v>
      </c>
      <c r="D1300" t="s">
        <v>17</v>
      </c>
      <c r="E1300" t="s">
        <v>37</v>
      </c>
      <c r="F1300" t="s">
        <v>19</v>
      </c>
      <c r="G1300" t="s">
        <v>21</v>
      </c>
      <c r="H1300" t="s">
        <v>21</v>
      </c>
      <c r="I1300" t="s">
        <v>21</v>
      </c>
      <c r="J1300" t="s">
        <v>58</v>
      </c>
      <c r="K1300">
        <v>10</v>
      </c>
      <c r="L1300">
        <v>166.666666666667</v>
      </c>
      <c r="M1300" t="s">
        <v>24</v>
      </c>
      <c r="N1300" t="str">
        <f>_xlfn.XLOOKUP(A1300,[1]!brca_metabric_clinical_data__2[Patient ID], [1]!brca_metabric_clinical_data__2[Tumor Size])</f>
        <v>65</v>
      </c>
      <c r="O1300" t="str">
        <f>_xlfn.XLOOKUP(A1300,[1]!brca_metabric_clinical_data__2[Sample ID],[1]!brca_metabric_clinical_data__2[Tumor Stage])</f>
        <v>3</v>
      </c>
    </row>
    <row r="1301" spans="1:15" x14ac:dyDescent="0.45">
      <c r="A1301" t="s">
        <v>1336</v>
      </c>
      <c r="B1301">
        <v>46.03</v>
      </c>
      <c r="C1301" t="s">
        <v>16</v>
      </c>
      <c r="D1301" t="s">
        <v>26</v>
      </c>
      <c r="E1301" t="s">
        <v>37</v>
      </c>
      <c r="F1301" t="s">
        <v>43</v>
      </c>
      <c r="G1301" t="s">
        <v>21</v>
      </c>
      <c r="H1301" t="s">
        <v>20</v>
      </c>
      <c r="I1301" t="s">
        <v>21</v>
      </c>
      <c r="J1301" t="s">
        <v>38</v>
      </c>
      <c r="K1301">
        <v>5</v>
      </c>
      <c r="L1301">
        <v>44.133333333333297</v>
      </c>
      <c r="M1301" t="s">
        <v>30</v>
      </c>
      <c r="N1301" t="str">
        <f>_xlfn.XLOOKUP(A1301,[1]!brca_metabric_clinical_data__2[Patient ID], [1]!brca_metabric_clinical_data__2[Tumor Size])</f>
        <v>20</v>
      </c>
      <c r="O1301" t="str">
        <f>_xlfn.XLOOKUP(A1301,[1]!brca_metabric_clinical_data__2[Sample ID],[1]!brca_metabric_clinical_data__2[Tumor Stage])</f>
        <v>2</v>
      </c>
    </row>
    <row r="1302" spans="1:15" x14ac:dyDescent="0.45">
      <c r="A1302" t="s">
        <v>1337</v>
      </c>
      <c r="B1302">
        <v>69.5</v>
      </c>
      <c r="C1302" t="s">
        <v>16</v>
      </c>
      <c r="D1302" t="s">
        <v>17</v>
      </c>
      <c r="F1302" t="s">
        <v>19</v>
      </c>
      <c r="G1302" t="s">
        <v>20</v>
      </c>
      <c r="H1302" t="s">
        <v>20</v>
      </c>
      <c r="I1302" t="s">
        <v>20</v>
      </c>
      <c r="J1302" t="s">
        <v>29</v>
      </c>
      <c r="K1302">
        <v>9</v>
      </c>
      <c r="L1302">
        <v>192.13333333333301</v>
      </c>
      <c r="M1302" t="s">
        <v>24</v>
      </c>
      <c r="N1302" t="str">
        <f>_xlfn.XLOOKUP(A1302,[1]!brca_metabric_clinical_data__2[Patient ID], [1]!brca_metabric_clinical_data__2[Tumor Size])</f>
        <v>15</v>
      </c>
      <c r="O1302" t="str">
        <f>_xlfn.XLOOKUP(A1302,[1]!brca_metabric_clinical_data__2[Sample ID],[1]!brca_metabric_clinical_data__2[Tumor Stage])</f>
        <v>1</v>
      </c>
    </row>
    <row r="1303" spans="1:15" x14ac:dyDescent="0.45">
      <c r="A1303" t="s">
        <v>1338</v>
      </c>
      <c r="B1303">
        <v>56.92</v>
      </c>
      <c r="C1303" t="s">
        <v>16</v>
      </c>
      <c r="D1303" t="s">
        <v>17</v>
      </c>
      <c r="E1303" t="s">
        <v>18</v>
      </c>
      <c r="F1303" t="s">
        <v>19</v>
      </c>
      <c r="G1303" t="s">
        <v>20</v>
      </c>
      <c r="H1303" t="s">
        <v>20</v>
      </c>
      <c r="I1303" t="s">
        <v>21</v>
      </c>
      <c r="J1303" t="s">
        <v>27</v>
      </c>
      <c r="K1303">
        <v>7</v>
      </c>
      <c r="L1303">
        <v>103.833333333333</v>
      </c>
      <c r="M1303" t="s">
        <v>30</v>
      </c>
      <c r="N1303" t="str">
        <f>_xlfn.XLOOKUP(A1303,[1]!brca_metabric_clinical_data__2[Patient ID], [1]!brca_metabric_clinical_data__2[Tumor Size])</f>
        <v>12</v>
      </c>
      <c r="O1303" t="str">
        <f>_xlfn.XLOOKUP(A1303,[1]!brca_metabric_clinical_data__2[Sample ID],[1]!brca_metabric_clinical_data__2[Tumor Stage])</f>
        <v>1</v>
      </c>
    </row>
    <row r="1304" spans="1:15" x14ac:dyDescent="0.45">
      <c r="A1304" t="s">
        <v>1339</v>
      </c>
      <c r="B1304">
        <v>62.79</v>
      </c>
      <c r="C1304" t="s">
        <v>16</v>
      </c>
      <c r="D1304" t="s">
        <v>17</v>
      </c>
      <c r="E1304" t="s">
        <v>18</v>
      </c>
      <c r="F1304" t="s">
        <v>43</v>
      </c>
      <c r="G1304" t="s">
        <v>20</v>
      </c>
      <c r="H1304" t="s">
        <v>21</v>
      </c>
      <c r="I1304" t="s">
        <v>20</v>
      </c>
      <c r="J1304" t="s">
        <v>29</v>
      </c>
      <c r="K1304">
        <v>1</v>
      </c>
      <c r="L1304">
        <v>38.433333333333302</v>
      </c>
      <c r="M1304" t="s">
        <v>30</v>
      </c>
      <c r="N1304" t="str">
        <f>_xlfn.XLOOKUP(A1304,[1]!brca_metabric_clinical_data__2[Patient ID], [1]!brca_metabric_clinical_data__2[Tumor Size])</f>
        <v>55</v>
      </c>
      <c r="O1304" t="str">
        <f>_xlfn.XLOOKUP(A1304,[1]!brca_metabric_clinical_data__2[Sample ID],[1]!brca_metabric_clinical_data__2[Tumor Stage])</f>
        <v>NA</v>
      </c>
    </row>
    <row r="1305" spans="1:15" x14ac:dyDescent="0.45">
      <c r="A1305" t="s">
        <v>1340</v>
      </c>
      <c r="B1305">
        <v>69.2</v>
      </c>
      <c r="C1305" t="s">
        <v>16</v>
      </c>
      <c r="D1305" t="s">
        <v>17</v>
      </c>
      <c r="E1305" t="s">
        <v>18</v>
      </c>
      <c r="F1305" t="s">
        <v>19</v>
      </c>
      <c r="G1305" t="s">
        <v>20</v>
      </c>
      <c r="H1305" t="s">
        <v>21</v>
      </c>
      <c r="I1305" t="s">
        <v>20</v>
      </c>
      <c r="J1305" t="s">
        <v>29</v>
      </c>
      <c r="K1305">
        <v>6</v>
      </c>
      <c r="L1305">
        <v>216.86666666666699</v>
      </c>
      <c r="M1305" t="s">
        <v>30</v>
      </c>
      <c r="N1305" t="str">
        <f>_xlfn.XLOOKUP(A1305,[1]!brca_metabric_clinical_data__2[Patient ID], [1]!brca_metabric_clinical_data__2[Tumor Size])</f>
        <v>40</v>
      </c>
      <c r="O1305" t="str">
        <f>_xlfn.XLOOKUP(A1305,[1]!brca_metabric_clinical_data__2[Sample ID],[1]!brca_metabric_clinical_data__2[Tumor Stage])</f>
        <v>2</v>
      </c>
    </row>
    <row r="1306" spans="1:15" x14ac:dyDescent="0.45">
      <c r="A1306" t="s">
        <v>1341</v>
      </c>
      <c r="B1306">
        <v>76.77</v>
      </c>
      <c r="C1306" t="s">
        <v>16</v>
      </c>
      <c r="D1306" t="s">
        <v>17</v>
      </c>
      <c r="E1306" t="s">
        <v>18</v>
      </c>
      <c r="F1306" t="s">
        <v>19</v>
      </c>
      <c r="G1306" t="s">
        <v>20</v>
      </c>
      <c r="H1306" t="s">
        <v>21</v>
      </c>
      <c r="I1306" t="s">
        <v>20</v>
      </c>
      <c r="J1306" t="s">
        <v>27</v>
      </c>
      <c r="K1306">
        <v>3</v>
      </c>
      <c r="L1306">
        <v>112.466666666667</v>
      </c>
      <c r="M1306" t="s">
        <v>30</v>
      </c>
      <c r="N1306" t="str">
        <f>_xlfn.XLOOKUP(A1306,[1]!brca_metabric_clinical_data__2[Patient ID], [1]!brca_metabric_clinical_data__2[Tumor Size])</f>
        <v>20</v>
      </c>
      <c r="O1306" t="str">
        <f>_xlfn.XLOOKUP(A1306,[1]!brca_metabric_clinical_data__2[Sample ID],[1]!brca_metabric_clinical_data__2[Tumor Stage])</f>
        <v>2</v>
      </c>
    </row>
    <row r="1307" spans="1:15" x14ac:dyDescent="0.45">
      <c r="A1307" t="s">
        <v>1342</v>
      </c>
      <c r="B1307">
        <v>69.59</v>
      </c>
      <c r="C1307" t="s">
        <v>16</v>
      </c>
      <c r="D1307" t="s">
        <v>17</v>
      </c>
      <c r="E1307" t="s">
        <v>18</v>
      </c>
      <c r="F1307" t="s">
        <v>19</v>
      </c>
      <c r="G1307" t="s">
        <v>20</v>
      </c>
      <c r="H1307" t="s">
        <v>21</v>
      </c>
      <c r="I1307" t="s">
        <v>20</v>
      </c>
      <c r="J1307" t="s">
        <v>27</v>
      </c>
      <c r="K1307">
        <v>3</v>
      </c>
      <c r="L1307">
        <v>102.066666666667</v>
      </c>
      <c r="M1307" t="s">
        <v>30</v>
      </c>
      <c r="N1307" t="str">
        <f>_xlfn.XLOOKUP(A1307,[1]!brca_metabric_clinical_data__2[Patient ID], [1]!brca_metabric_clinical_data__2[Tumor Size])</f>
        <v>30</v>
      </c>
      <c r="O1307" t="str">
        <f>_xlfn.XLOOKUP(A1307,[1]!brca_metabric_clinical_data__2[Sample ID],[1]!brca_metabric_clinical_data__2[Tumor Stage])</f>
        <v>2</v>
      </c>
    </row>
    <row r="1308" spans="1:15" x14ac:dyDescent="0.45">
      <c r="A1308" t="s">
        <v>1343</v>
      </c>
      <c r="B1308">
        <v>58.7</v>
      </c>
      <c r="C1308" t="s">
        <v>16</v>
      </c>
      <c r="D1308" t="s">
        <v>17</v>
      </c>
      <c r="E1308" t="s">
        <v>37</v>
      </c>
      <c r="F1308" t="s">
        <v>43</v>
      </c>
      <c r="G1308" t="s">
        <v>20</v>
      </c>
      <c r="H1308" t="s">
        <v>20</v>
      </c>
      <c r="I1308" t="s">
        <v>21</v>
      </c>
      <c r="J1308" t="s">
        <v>22</v>
      </c>
      <c r="K1308" t="s">
        <v>39</v>
      </c>
      <c r="L1308">
        <v>53.566666666666698</v>
      </c>
      <c r="M1308" t="s">
        <v>24</v>
      </c>
      <c r="N1308" t="str">
        <f>_xlfn.XLOOKUP(A1308,[1]!brca_metabric_clinical_data__2[Patient ID], [1]!brca_metabric_clinical_data__2[Tumor Size])</f>
        <v>15</v>
      </c>
      <c r="O1308" t="str">
        <f>_xlfn.XLOOKUP(A1308,[1]!brca_metabric_clinical_data__2[Sample ID],[1]!brca_metabric_clinical_data__2[Tumor Stage])</f>
        <v>1</v>
      </c>
    </row>
    <row r="1309" spans="1:15" x14ac:dyDescent="0.45">
      <c r="A1309" t="s">
        <v>1344</v>
      </c>
      <c r="B1309">
        <v>70.31</v>
      </c>
      <c r="C1309" t="s">
        <v>16</v>
      </c>
      <c r="D1309" t="s">
        <v>17</v>
      </c>
      <c r="E1309" t="s">
        <v>18</v>
      </c>
      <c r="F1309" t="s">
        <v>19</v>
      </c>
      <c r="G1309" t="s">
        <v>20</v>
      </c>
      <c r="H1309" t="s">
        <v>21</v>
      </c>
      <c r="I1309" t="s">
        <v>21</v>
      </c>
      <c r="J1309" t="s">
        <v>27</v>
      </c>
      <c r="K1309">
        <v>8</v>
      </c>
      <c r="L1309">
        <v>108.066666666667</v>
      </c>
      <c r="M1309" t="s">
        <v>30</v>
      </c>
      <c r="N1309" t="str">
        <f>_xlfn.XLOOKUP(A1309,[1]!brca_metabric_clinical_data__2[Patient ID], [1]!brca_metabric_clinical_data__2[Tumor Size])</f>
        <v>23</v>
      </c>
      <c r="O1309" t="str">
        <f>_xlfn.XLOOKUP(A1309,[1]!brca_metabric_clinical_data__2[Sample ID],[1]!brca_metabric_clinical_data__2[Tumor Stage])</f>
        <v>2</v>
      </c>
    </row>
    <row r="1310" spans="1:15" x14ac:dyDescent="0.45">
      <c r="A1310" t="s">
        <v>1345</v>
      </c>
      <c r="B1310">
        <v>72.77</v>
      </c>
      <c r="C1310" t="s">
        <v>16</v>
      </c>
      <c r="D1310" t="s">
        <v>17</v>
      </c>
      <c r="E1310" t="s">
        <v>37</v>
      </c>
      <c r="F1310" t="s">
        <v>19</v>
      </c>
      <c r="G1310" t="s">
        <v>20</v>
      </c>
      <c r="H1310" t="s">
        <v>21</v>
      </c>
      <c r="I1310" t="s">
        <v>20</v>
      </c>
      <c r="J1310" t="s">
        <v>58</v>
      </c>
      <c r="K1310">
        <v>10</v>
      </c>
      <c r="L1310">
        <v>101.066666666667</v>
      </c>
      <c r="M1310" t="s">
        <v>30</v>
      </c>
      <c r="N1310" t="str">
        <f>_xlfn.XLOOKUP(A1310,[1]!brca_metabric_clinical_data__2[Patient ID], [1]!brca_metabric_clinical_data__2[Tumor Size])</f>
        <v>30</v>
      </c>
      <c r="O1310" t="str">
        <f>_xlfn.XLOOKUP(A1310,[1]!brca_metabric_clinical_data__2[Sample ID],[1]!brca_metabric_clinical_data__2[Tumor Stage])</f>
        <v>2</v>
      </c>
    </row>
    <row r="1311" spans="1:15" x14ac:dyDescent="0.45">
      <c r="A1311" t="s">
        <v>1346</v>
      </c>
      <c r="B1311">
        <v>41.28</v>
      </c>
      <c r="C1311" t="s">
        <v>16</v>
      </c>
      <c r="D1311" t="s">
        <v>26</v>
      </c>
      <c r="E1311" t="s">
        <v>37</v>
      </c>
      <c r="F1311" t="s">
        <v>43</v>
      </c>
      <c r="G1311" t="s">
        <v>21</v>
      </c>
      <c r="H1311" t="s">
        <v>20</v>
      </c>
      <c r="I1311" t="s">
        <v>21</v>
      </c>
      <c r="J1311" t="s">
        <v>45</v>
      </c>
      <c r="K1311">
        <v>5</v>
      </c>
      <c r="L1311">
        <v>46.1666666666667</v>
      </c>
      <c r="M1311" t="s">
        <v>30</v>
      </c>
      <c r="N1311" t="str">
        <f>_xlfn.XLOOKUP(A1311,[1]!brca_metabric_clinical_data__2[Patient ID], [1]!brca_metabric_clinical_data__2[Tumor Size])</f>
        <v>35</v>
      </c>
      <c r="O1311" t="str">
        <f>_xlfn.XLOOKUP(A1311,[1]!brca_metabric_clinical_data__2[Sample ID],[1]!brca_metabric_clinical_data__2[Tumor Stage])</f>
        <v>2</v>
      </c>
    </row>
    <row r="1312" spans="1:15" x14ac:dyDescent="0.45">
      <c r="A1312" t="s">
        <v>1347</v>
      </c>
      <c r="B1312">
        <v>72.23</v>
      </c>
      <c r="C1312" t="s">
        <v>16</v>
      </c>
      <c r="D1312" t="s">
        <v>17</v>
      </c>
      <c r="E1312" t="s">
        <v>18</v>
      </c>
      <c r="F1312" t="s">
        <v>19</v>
      </c>
      <c r="G1312" t="s">
        <v>20</v>
      </c>
      <c r="H1312" t="s">
        <v>20</v>
      </c>
      <c r="I1312" t="s">
        <v>21</v>
      </c>
      <c r="J1312" t="s">
        <v>29</v>
      </c>
      <c r="K1312">
        <v>7</v>
      </c>
      <c r="L1312">
        <v>202.1</v>
      </c>
      <c r="M1312" t="s">
        <v>30</v>
      </c>
      <c r="N1312" t="str">
        <f>_xlfn.XLOOKUP(A1312,[1]!brca_metabric_clinical_data__2[Patient ID], [1]!brca_metabric_clinical_data__2[Tumor Size])</f>
        <v>15</v>
      </c>
      <c r="O1312" t="str">
        <f>_xlfn.XLOOKUP(A1312,[1]!brca_metabric_clinical_data__2[Sample ID],[1]!brca_metabric_clinical_data__2[Tumor Stage])</f>
        <v>1</v>
      </c>
    </row>
    <row r="1313" spans="1:15" x14ac:dyDescent="0.45">
      <c r="A1313" t="s">
        <v>1348</v>
      </c>
      <c r="B1313">
        <v>66.12</v>
      </c>
      <c r="C1313" t="s">
        <v>16</v>
      </c>
      <c r="D1313" t="s">
        <v>17</v>
      </c>
      <c r="E1313" t="s">
        <v>18</v>
      </c>
      <c r="F1313" t="s">
        <v>19</v>
      </c>
      <c r="G1313" t="s">
        <v>20</v>
      </c>
      <c r="H1313" t="s">
        <v>20</v>
      </c>
      <c r="I1313" t="s">
        <v>21</v>
      </c>
      <c r="J1313" t="s">
        <v>29</v>
      </c>
      <c r="K1313" t="s">
        <v>23</v>
      </c>
      <c r="L1313">
        <v>116.466666666667</v>
      </c>
      <c r="M1313" t="s">
        <v>30</v>
      </c>
      <c r="N1313" t="str">
        <f>_xlfn.XLOOKUP(A1313,[1]!brca_metabric_clinical_data__2[Patient ID], [1]!brca_metabric_clinical_data__2[Tumor Size])</f>
        <v>15</v>
      </c>
      <c r="O1313" t="str">
        <f>_xlfn.XLOOKUP(A1313,[1]!brca_metabric_clinical_data__2[Sample ID],[1]!brca_metabric_clinical_data__2[Tumor Stage])</f>
        <v>1</v>
      </c>
    </row>
    <row r="1314" spans="1:15" x14ac:dyDescent="0.45">
      <c r="A1314" t="s">
        <v>1349</v>
      </c>
      <c r="B1314">
        <v>46.4</v>
      </c>
      <c r="C1314" t="s">
        <v>16</v>
      </c>
      <c r="D1314" t="s">
        <v>26</v>
      </c>
      <c r="E1314" t="s">
        <v>18</v>
      </c>
      <c r="F1314" t="s">
        <v>19</v>
      </c>
      <c r="G1314" t="s">
        <v>20</v>
      </c>
      <c r="H1314" t="s">
        <v>20</v>
      </c>
      <c r="I1314" t="s">
        <v>21</v>
      </c>
      <c r="J1314" t="s">
        <v>27</v>
      </c>
      <c r="K1314">
        <v>8</v>
      </c>
      <c r="L1314">
        <v>199.3</v>
      </c>
      <c r="M1314" t="s">
        <v>24</v>
      </c>
      <c r="N1314" t="str">
        <f>_xlfn.XLOOKUP(A1314,[1]!brca_metabric_clinical_data__2[Patient ID], [1]!brca_metabric_clinical_data__2[Tumor Size])</f>
        <v>18</v>
      </c>
      <c r="O1314" t="str">
        <f>_xlfn.XLOOKUP(A1314,[1]!brca_metabric_clinical_data__2[Sample ID],[1]!brca_metabric_clinical_data__2[Tumor Stage])</f>
        <v>1</v>
      </c>
    </row>
    <row r="1315" spans="1:15" x14ac:dyDescent="0.45">
      <c r="A1315" t="s">
        <v>1350</v>
      </c>
      <c r="B1315">
        <v>76.83</v>
      </c>
      <c r="C1315" t="s">
        <v>16</v>
      </c>
      <c r="D1315" t="s">
        <v>17</v>
      </c>
      <c r="E1315" t="s">
        <v>18</v>
      </c>
      <c r="F1315" t="s">
        <v>43</v>
      </c>
      <c r="G1315" t="s">
        <v>20</v>
      </c>
      <c r="H1315" t="s">
        <v>21</v>
      </c>
      <c r="I1315" t="s">
        <v>20</v>
      </c>
      <c r="J1315" t="s">
        <v>29</v>
      </c>
      <c r="K1315">
        <v>1</v>
      </c>
      <c r="L1315">
        <v>83.633333333333297</v>
      </c>
      <c r="M1315" t="s">
        <v>30</v>
      </c>
      <c r="N1315" t="str">
        <f>_xlfn.XLOOKUP(A1315,[1]!brca_metabric_clinical_data__2[Patient ID], [1]!brca_metabric_clinical_data__2[Tumor Size])</f>
        <v>30</v>
      </c>
      <c r="O1315" t="str">
        <f>_xlfn.XLOOKUP(A1315,[1]!brca_metabric_clinical_data__2[Sample ID],[1]!brca_metabric_clinical_data__2[Tumor Stage])</f>
        <v>2</v>
      </c>
    </row>
    <row r="1316" spans="1:15" x14ac:dyDescent="0.45">
      <c r="A1316" t="s">
        <v>1351</v>
      </c>
      <c r="B1316">
        <v>52.77</v>
      </c>
      <c r="C1316" t="s">
        <v>16</v>
      </c>
      <c r="D1316" t="s">
        <v>17</v>
      </c>
      <c r="E1316" t="s">
        <v>18</v>
      </c>
      <c r="F1316" t="s">
        <v>19</v>
      </c>
      <c r="G1316" t="s">
        <v>20</v>
      </c>
      <c r="H1316" t="s">
        <v>20</v>
      </c>
      <c r="I1316" t="s">
        <v>21</v>
      </c>
      <c r="J1316" t="s">
        <v>27</v>
      </c>
      <c r="K1316">
        <v>2</v>
      </c>
      <c r="L1316">
        <v>71.066666666666706</v>
      </c>
      <c r="M1316" t="s">
        <v>30</v>
      </c>
      <c r="N1316" t="str">
        <f>_xlfn.XLOOKUP(A1316,[1]!brca_metabric_clinical_data__2[Patient ID], [1]!brca_metabric_clinical_data__2[Tumor Size])</f>
        <v>15</v>
      </c>
      <c r="O1316" t="str">
        <f>_xlfn.XLOOKUP(A1316,[1]!brca_metabric_clinical_data__2[Sample ID],[1]!brca_metabric_clinical_data__2[Tumor Stage])</f>
        <v>1</v>
      </c>
    </row>
    <row r="1317" spans="1:15" x14ac:dyDescent="0.45">
      <c r="A1317" t="s">
        <v>1352</v>
      </c>
      <c r="B1317">
        <v>47.98</v>
      </c>
      <c r="C1317" t="s">
        <v>16</v>
      </c>
      <c r="D1317" t="s">
        <v>26</v>
      </c>
      <c r="E1317" t="s">
        <v>18</v>
      </c>
      <c r="F1317" t="s">
        <v>19</v>
      </c>
      <c r="G1317" t="s">
        <v>20</v>
      </c>
      <c r="H1317" t="s">
        <v>20</v>
      </c>
      <c r="I1317" t="s">
        <v>21</v>
      </c>
      <c r="J1317" t="s">
        <v>27</v>
      </c>
      <c r="K1317">
        <v>3</v>
      </c>
      <c r="L1317">
        <v>186.13333333333301</v>
      </c>
      <c r="M1317" t="s">
        <v>24</v>
      </c>
      <c r="N1317" t="str">
        <f>_xlfn.XLOOKUP(A1317,[1]!brca_metabric_clinical_data__2[Patient ID], [1]!brca_metabric_clinical_data__2[Tumor Size])</f>
        <v>30</v>
      </c>
      <c r="O1317" t="str">
        <f>_xlfn.XLOOKUP(A1317,[1]!brca_metabric_clinical_data__2[Sample ID],[1]!brca_metabric_clinical_data__2[Tumor Stage])</f>
        <v>2</v>
      </c>
    </row>
    <row r="1318" spans="1:15" x14ac:dyDescent="0.45">
      <c r="A1318" t="s">
        <v>1353</v>
      </c>
      <c r="B1318">
        <v>67.099999999999994</v>
      </c>
      <c r="C1318" t="s">
        <v>16</v>
      </c>
      <c r="D1318" t="s">
        <v>17</v>
      </c>
      <c r="E1318" t="s">
        <v>18</v>
      </c>
      <c r="F1318" t="s">
        <v>19</v>
      </c>
      <c r="G1318" t="s">
        <v>20</v>
      </c>
      <c r="H1318" t="s">
        <v>21</v>
      </c>
      <c r="I1318" t="s">
        <v>20</v>
      </c>
      <c r="J1318" t="s">
        <v>27</v>
      </c>
      <c r="K1318">
        <v>8</v>
      </c>
      <c r="L1318">
        <v>187.833333333333</v>
      </c>
      <c r="M1318" t="s">
        <v>30</v>
      </c>
      <c r="N1318" t="str">
        <f>_xlfn.XLOOKUP(A1318,[1]!brca_metabric_clinical_data__2[Patient ID], [1]!brca_metabric_clinical_data__2[Tumor Size])</f>
        <v>35</v>
      </c>
      <c r="O1318" t="str">
        <f>_xlfn.XLOOKUP(A1318,[1]!brca_metabric_clinical_data__2[Sample ID],[1]!brca_metabric_clinical_data__2[Tumor Stage])</f>
        <v>2</v>
      </c>
    </row>
    <row r="1319" spans="1:15" x14ac:dyDescent="0.45">
      <c r="A1319" t="s">
        <v>1354</v>
      </c>
      <c r="B1319">
        <v>58.25</v>
      </c>
      <c r="C1319" t="s">
        <v>16</v>
      </c>
      <c r="D1319" t="s">
        <v>17</v>
      </c>
      <c r="E1319" t="s">
        <v>18</v>
      </c>
      <c r="F1319" t="s">
        <v>43</v>
      </c>
      <c r="G1319" t="s">
        <v>20</v>
      </c>
      <c r="H1319" t="s">
        <v>21</v>
      </c>
      <c r="I1319" t="s">
        <v>20</v>
      </c>
      <c r="J1319" t="s">
        <v>29</v>
      </c>
      <c r="K1319">
        <v>9</v>
      </c>
      <c r="L1319">
        <v>167.5</v>
      </c>
      <c r="M1319" t="s">
        <v>24</v>
      </c>
      <c r="N1319" t="str">
        <f>_xlfn.XLOOKUP(A1319,[1]!brca_metabric_clinical_data__2[Patient ID], [1]!brca_metabric_clinical_data__2[Tumor Size])</f>
        <v>40</v>
      </c>
      <c r="O1319" t="str">
        <f>_xlfn.XLOOKUP(A1319,[1]!brca_metabric_clinical_data__2[Sample ID],[1]!brca_metabric_clinical_data__2[Tumor Stage])</f>
        <v>2</v>
      </c>
    </row>
    <row r="1320" spans="1:15" x14ac:dyDescent="0.45">
      <c r="A1320" t="s">
        <v>1355</v>
      </c>
      <c r="B1320">
        <v>40.71</v>
      </c>
      <c r="C1320" t="s">
        <v>16</v>
      </c>
      <c r="D1320" t="s">
        <v>26</v>
      </c>
      <c r="E1320" t="s">
        <v>18</v>
      </c>
      <c r="F1320" t="s">
        <v>19</v>
      </c>
      <c r="G1320" t="s">
        <v>20</v>
      </c>
      <c r="H1320" t="s">
        <v>20</v>
      </c>
      <c r="I1320" t="s">
        <v>21</v>
      </c>
      <c r="J1320" t="s">
        <v>22</v>
      </c>
      <c r="K1320" t="s">
        <v>23</v>
      </c>
      <c r="L1320">
        <v>201.933333333333</v>
      </c>
      <c r="M1320" t="s">
        <v>30</v>
      </c>
      <c r="N1320" t="str">
        <f>_xlfn.XLOOKUP(A1320,[1]!brca_metabric_clinical_data__2[Patient ID], [1]!brca_metabric_clinical_data__2[Tumor Size])</f>
        <v>20</v>
      </c>
      <c r="O1320" t="str">
        <f>_xlfn.XLOOKUP(A1320,[1]!brca_metabric_clinical_data__2[Sample ID],[1]!brca_metabric_clinical_data__2[Tumor Stage])</f>
        <v>1</v>
      </c>
    </row>
    <row r="1321" spans="1:15" x14ac:dyDescent="0.45">
      <c r="A1321" t="s">
        <v>1356</v>
      </c>
      <c r="B1321">
        <v>60.33</v>
      </c>
      <c r="C1321" t="s">
        <v>16</v>
      </c>
      <c r="D1321" t="s">
        <v>17</v>
      </c>
      <c r="E1321" t="s">
        <v>18</v>
      </c>
      <c r="F1321" t="s">
        <v>19</v>
      </c>
      <c r="G1321" t="s">
        <v>20</v>
      </c>
      <c r="H1321" t="s">
        <v>21</v>
      </c>
      <c r="I1321" t="s">
        <v>20</v>
      </c>
      <c r="J1321" t="s">
        <v>29</v>
      </c>
      <c r="K1321">
        <v>6</v>
      </c>
      <c r="L1321">
        <v>60.866666666666703</v>
      </c>
      <c r="M1321" t="s">
        <v>30</v>
      </c>
      <c r="N1321" t="str">
        <f>_xlfn.XLOOKUP(A1321,[1]!brca_metabric_clinical_data__2[Patient ID], [1]!brca_metabric_clinical_data__2[Tumor Size])</f>
        <v>20</v>
      </c>
      <c r="O1321" t="str">
        <f>_xlfn.XLOOKUP(A1321,[1]!brca_metabric_clinical_data__2[Sample ID],[1]!brca_metabric_clinical_data__2[Tumor Stage])</f>
        <v>1</v>
      </c>
    </row>
    <row r="1322" spans="1:15" x14ac:dyDescent="0.45">
      <c r="A1322" t="s">
        <v>1357</v>
      </c>
      <c r="B1322">
        <v>72.19</v>
      </c>
      <c r="C1322" t="s">
        <v>16</v>
      </c>
      <c r="D1322" t="s">
        <v>17</v>
      </c>
      <c r="E1322" t="s">
        <v>18</v>
      </c>
      <c r="F1322" t="s">
        <v>19</v>
      </c>
      <c r="G1322" t="s">
        <v>20</v>
      </c>
      <c r="H1322" t="s">
        <v>20</v>
      </c>
      <c r="I1322" t="s">
        <v>20</v>
      </c>
      <c r="J1322" t="s">
        <v>45</v>
      </c>
      <c r="K1322">
        <v>3</v>
      </c>
      <c r="L1322">
        <v>75.966666666666697</v>
      </c>
      <c r="M1322" t="s">
        <v>30</v>
      </c>
      <c r="N1322" t="str">
        <f>_xlfn.XLOOKUP(A1322,[1]!brca_metabric_clinical_data__2[Patient ID], [1]!brca_metabric_clinical_data__2[Tumor Size])</f>
        <v>NA</v>
      </c>
      <c r="O1322" t="str">
        <f>_xlfn.XLOOKUP(A1322,[1]!brca_metabric_clinical_data__2[Sample ID],[1]!brca_metabric_clinical_data__2[Tumor Stage])</f>
        <v>NA</v>
      </c>
    </row>
    <row r="1323" spans="1:15" x14ac:dyDescent="0.45">
      <c r="A1323" t="s">
        <v>1358</v>
      </c>
      <c r="B1323">
        <v>35.78</v>
      </c>
      <c r="C1323" t="s">
        <v>16</v>
      </c>
      <c r="D1323" t="s">
        <v>26</v>
      </c>
      <c r="E1323" t="s">
        <v>18</v>
      </c>
      <c r="F1323" t="s">
        <v>19</v>
      </c>
      <c r="G1323" t="s">
        <v>20</v>
      </c>
      <c r="H1323" t="s">
        <v>20</v>
      </c>
      <c r="I1323" t="s">
        <v>20</v>
      </c>
      <c r="J1323" t="s">
        <v>38</v>
      </c>
      <c r="K1323">
        <v>8</v>
      </c>
      <c r="L1323">
        <v>221.066666666667</v>
      </c>
      <c r="M1323" t="s">
        <v>30</v>
      </c>
      <c r="N1323" t="str">
        <f>_xlfn.XLOOKUP(A1323,[1]!brca_metabric_clinical_data__2[Patient ID], [1]!brca_metabric_clinical_data__2[Tumor Size])</f>
        <v>18</v>
      </c>
      <c r="O1323" t="str">
        <f>_xlfn.XLOOKUP(A1323,[1]!brca_metabric_clinical_data__2[Sample ID],[1]!brca_metabric_clinical_data__2[Tumor Stage])</f>
        <v>NA</v>
      </c>
    </row>
    <row r="1324" spans="1:15" x14ac:dyDescent="0.45">
      <c r="A1324" t="s">
        <v>1359</v>
      </c>
      <c r="B1324">
        <v>47.92</v>
      </c>
      <c r="C1324" t="s">
        <v>16</v>
      </c>
      <c r="D1324" t="s">
        <v>26</v>
      </c>
      <c r="E1324" t="s">
        <v>18</v>
      </c>
      <c r="F1324" t="s">
        <v>19</v>
      </c>
      <c r="G1324" t="s">
        <v>20</v>
      </c>
      <c r="H1324" t="s">
        <v>20</v>
      </c>
      <c r="I1324" t="s">
        <v>20</v>
      </c>
      <c r="J1324" t="s">
        <v>38</v>
      </c>
      <c r="K1324" t="s">
        <v>23</v>
      </c>
      <c r="L1324">
        <v>99.966666666666697</v>
      </c>
      <c r="M1324" t="s">
        <v>30</v>
      </c>
      <c r="N1324" t="str">
        <f>_xlfn.XLOOKUP(A1324,[1]!brca_metabric_clinical_data__2[Patient ID], [1]!brca_metabric_clinical_data__2[Tumor Size])</f>
        <v>20</v>
      </c>
      <c r="O1324" t="str">
        <f>_xlfn.XLOOKUP(A1324,[1]!brca_metabric_clinical_data__2[Sample ID],[1]!brca_metabric_clinical_data__2[Tumor Stage])</f>
        <v>1</v>
      </c>
    </row>
    <row r="1325" spans="1:15" x14ac:dyDescent="0.45">
      <c r="A1325" t="s">
        <v>1360</v>
      </c>
      <c r="B1325">
        <v>66.55</v>
      </c>
      <c r="C1325" t="s">
        <v>16</v>
      </c>
      <c r="D1325" t="s">
        <v>17</v>
      </c>
      <c r="E1325" t="s">
        <v>18</v>
      </c>
      <c r="F1325" t="s">
        <v>19</v>
      </c>
      <c r="G1325" t="s">
        <v>20</v>
      </c>
      <c r="H1325" t="s">
        <v>20</v>
      </c>
      <c r="I1325" t="s">
        <v>20</v>
      </c>
      <c r="J1325" t="s">
        <v>27</v>
      </c>
      <c r="K1325">
        <v>8</v>
      </c>
      <c r="L1325">
        <v>68.766666666666694</v>
      </c>
      <c r="M1325" t="s">
        <v>30</v>
      </c>
      <c r="N1325" t="str">
        <f>_xlfn.XLOOKUP(A1325,[1]!brca_metabric_clinical_data__2[Patient ID], [1]!brca_metabric_clinical_data__2[Tumor Size])</f>
        <v>40</v>
      </c>
      <c r="O1325" t="str">
        <f>_xlfn.XLOOKUP(A1325,[1]!brca_metabric_clinical_data__2[Sample ID],[1]!brca_metabric_clinical_data__2[Tumor Stage])</f>
        <v>2</v>
      </c>
    </row>
    <row r="1326" spans="1:15" x14ac:dyDescent="0.45">
      <c r="A1326" t="s">
        <v>1361</v>
      </c>
      <c r="B1326">
        <v>45.85</v>
      </c>
      <c r="C1326" t="s">
        <v>16</v>
      </c>
      <c r="D1326" t="s">
        <v>26</v>
      </c>
      <c r="E1326" t="s">
        <v>18</v>
      </c>
      <c r="F1326" t="s">
        <v>35</v>
      </c>
      <c r="G1326" t="s">
        <v>20</v>
      </c>
      <c r="H1326" t="s">
        <v>20</v>
      </c>
      <c r="I1326" t="s">
        <v>20</v>
      </c>
      <c r="J1326" t="s">
        <v>38</v>
      </c>
      <c r="K1326">
        <v>1</v>
      </c>
      <c r="L1326">
        <v>77.866666666666703</v>
      </c>
      <c r="M1326" t="s">
        <v>30</v>
      </c>
      <c r="N1326" t="str">
        <f>_xlfn.XLOOKUP(A1326,[1]!brca_metabric_clinical_data__2[Patient ID], [1]!brca_metabric_clinical_data__2[Tumor Size])</f>
        <v>2</v>
      </c>
      <c r="O1326" t="str">
        <f>_xlfn.XLOOKUP(A1326,[1]!brca_metabric_clinical_data__2[Sample ID],[1]!brca_metabric_clinical_data__2[Tumor Stage])</f>
        <v>NA</v>
      </c>
    </row>
    <row r="1327" spans="1:15" x14ac:dyDescent="0.45">
      <c r="A1327" t="s">
        <v>1362</v>
      </c>
      <c r="B1327">
        <v>55.72</v>
      </c>
      <c r="C1327" t="s">
        <v>16</v>
      </c>
      <c r="D1327" t="s">
        <v>17</v>
      </c>
      <c r="E1327" t="s">
        <v>37</v>
      </c>
      <c r="F1327" t="s">
        <v>19</v>
      </c>
      <c r="G1327" t="s">
        <v>20</v>
      </c>
      <c r="H1327" t="s">
        <v>20</v>
      </c>
      <c r="I1327" t="s">
        <v>21</v>
      </c>
      <c r="J1327" t="s">
        <v>27</v>
      </c>
      <c r="K1327" t="s">
        <v>39</v>
      </c>
      <c r="L1327">
        <v>79.3</v>
      </c>
      <c r="M1327" t="s">
        <v>24</v>
      </c>
      <c r="N1327" t="str">
        <f>_xlfn.XLOOKUP(A1327,[1]!brca_metabric_clinical_data__2[Patient ID], [1]!brca_metabric_clinical_data__2[Tumor Size])</f>
        <v>15</v>
      </c>
      <c r="O1327" t="str">
        <f>_xlfn.XLOOKUP(A1327,[1]!brca_metabric_clinical_data__2[Sample ID],[1]!brca_metabric_clinical_data__2[Tumor Stage])</f>
        <v>1</v>
      </c>
    </row>
    <row r="1328" spans="1:15" x14ac:dyDescent="0.45">
      <c r="A1328" t="s">
        <v>1363</v>
      </c>
      <c r="B1328">
        <v>68.180000000000007</v>
      </c>
      <c r="C1328" t="s">
        <v>16</v>
      </c>
      <c r="D1328" t="s">
        <v>17</v>
      </c>
      <c r="E1328" t="s">
        <v>18</v>
      </c>
      <c r="F1328" t="s">
        <v>19</v>
      </c>
      <c r="G1328" t="s">
        <v>20</v>
      </c>
      <c r="H1328" t="s">
        <v>21</v>
      </c>
      <c r="I1328" t="s">
        <v>21</v>
      </c>
      <c r="J1328" t="s">
        <v>27</v>
      </c>
      <c r="K1328">
        <v>3</v>
      </c>
      <c r="L1328">
        <v>65.3333333333333</v>
      </c>
      <c r="M1328" t="s">
        <v>30</v>
      </c>
      <c r="N1328" t="str">
        <f>_xlfn.XLOOKUP(A1328,[1]!brca_metabric_clinical_data__2[Patient ID], [1]!brca_metabric_clinical_data__2[Tumor Size])</f>
        <v>40</v>
      </c>
      <c r="O1328" t="str">
        <f>_xlfn.XLOOKUP(A1328,[1]!brca_metabric_clinical_data__2[Sample ID],[1]!brca_metabric_clinical_data__2[Tumor Stage])</f>
        <v>2</v>
      </c>
    </row>
    <row r="1329" spans="1:15" x14ac:dyDescent="0.45">
      <c r="A1329" t="s">
        <v>1364</v>
      </c>
      <c r="B1329">
        <v>69.459999999999994</v>
      </c>
      <c r="C1329" t="s">
        <v>16</v>
      </c>
      <c r="D1329" t="s">
        <v>17</v>
      </c>
      <c r="E1329" t="s">
        <v>18</v>
      </c>
      <c r="F1329" t="s">
        <v>19</v>
      </c>
      <c r="G1329" t="s">
        <v>20</v>
      </c>
      <c r="H1329" t="s">
        <v>20</v>
      </c>
      <c r="I1329" t="s">
        <v>21</v>
      </c>
      <c r="J1329" t="s">
        <v>27</v>
      </c>
      <c r="K1329">
        <v>3</v>
      </c>
      <c r="L1329">
        <v>124</v>
      </c>
      <c r="M1329" t="s">
        <v>30</v>
      </c>
      <c r="N1329" t="str">
        <f>_xlfn.XLOOKUP(A1329,[1]!brca_metabric_clinical_data__2[Patient ID], [1]!brca_metabric_clinical_data__2[Tumor Size])</f>
        <v>20</v>
      </c>
      <c r="O1329" t="str">
        <f>_xlfn.XLOOKUP(A1329,[1]!brca_metabric_clinical_data__2[Sample ID],[1]!brca_metabric_clinical_data__2[Tumor Stage])</f>
        <v>1</v>
      </c>
    </row>
    <row r="1330" spans="1:15" x14ac:dyDescent="0.45">
      <c r="A1330" t="s">
        <v>1365</v>
      </c>
      <c r="B1330">
        <v>70.099999999999994</v>
      </c>
      <c r="C1330" t="s">
        <v>16</v>
      </c>
      <c r="D1330" t="s">
        <v>17</v>
      </c>
      <c r="E1330" t="s">
        <v>18</v>
      </c>
      <c r="F1330" t="s">
        <v>19</v>
      </c>
      <c r="G1330" t="s">
        <v>20</v>
      </c>
      <c r="H1330" t="s">
        <v>21</v>
      </c>
      <c r="I1330" t="s">
        <v>21</v>
      </c>
      <c r="J1330" t="s">
        <v>29</v>
      </c>
      <c r="K1330">
        <v>3</v>
      </c>
      <c r="L1330">
        <v>128.4</v>
      </c>
      <c r="M1330" t="s">
        <v>30</v>
      </c>
      <c r="N1330" t="str">
        <f>_xlfn.XLOOKUP(A1330,[1]!brca_metabric_clinical_data__2[Patient ID], [1]!brca_metabric_clinical_data__2[Tumor Size])</f>
        <v>35</v>
      </c>
      <c r="O1330" t="str">
        <f>_xlfn.XLOOKUP(A1330,[1]!brca_metabric_clinical_data__2[Sample ID],[1]!brca_metabric_clinical_data__2[Tumor Stage])</f>
        <v>2</v>
      </c>
    </row>
    <row r="1331" spans="1:15" x14ac:dyDescent="0.45">
      <c r="A1331" t="s">
        <v>1366</v>
      </c>
      <c r="B1331">
        <v>65.45</v>
      </c>
      <c r="C1331" t="s">
        <v>16</v>
      </c>
      <c r="D1331" t="s">
        <v>17</v>
      </c>
      <c r="E1331" t="s">
        <v>18</v>
      </c>
      <c r="F1331" t="s">
        <v>19</v>
      </c>
      <c r="G1331" t="s">
        <v>20</v>
      </c>
      <c r="H1331" t="s">
        <v>21</v>
      </c>
      <c r="I1331" t="s">
        <v>21</v>
      </c>
      <c r="J1331" t="s">
        <v>27</v>
      </c>
      <c r="K1331">
        <v>8</v>
      </c>
      <c r="L1331">
        <v>87</v>
      </c>
      <c r="M1331" t="s">
        <v>30</v>
      </c>
      <c r="N1331" t="str">
        <f>_xlfn.XLOOKUP(A1331,[1]!brca_metabric_clinical_data__2[Patient ID], [1]!brca_metabric_clinical_data__2[Tumor Size])</f>
        <v>26</v>
      </c>
      <c r="O1331" t="str">
        <f>_xlfn.XLOOKUP(A1331,[1]!brca_metabric_clinical_data__2[Sample ID],[1]!brca_metabric_clinical_data__2[Tumor Stage])</f>
        <v>2</v>
      </c>
    </row>
    <row r="1332" spans="1:15" x14ac:dyDescent="0.45">
      <c r="A1332" t="s">
        <v>1367</v>
      </c>
      <c r="B1332">
        <v>69.42</v>
      </c>
      <c r="C1332" t="s">
        <v>16</v>
      </c>
      <c r="D1332" t="s">
        <v>17</v>
      </c>
      <c r="E1332" t="s">
        <v>18</v>
      </c>
      <c r="F1332" t="s">
        <v>19</v>
      </c>
      <c r="G1332" t="s">
        <v>20</v>
      </c>
      <c r="H1332" t="s">
        <v>20</v>
      </c>
      <c r="I1332" t="s">
        <v>20</v>
      </c>
      <c r="J1332" t="s">
        <v>27</v>
      </c>
      <c r="K1332">
        <v>8</v>
      </c>
      <c r="L1332">
        <v>36.933333333333302</v>
      </c>
      <c r="M1332" t="s">
        <v>30</v>
      </c>
      <c r="N1332" t="str">
        <f>_xlfn.XLOOKUP(A1332,[1]!brca_metabric_clinical_data__2[Patient ID], [1]!brca_metabric_clinical_data__2[Tumor Size])</f>
        <v>22</v>
      </c>
      <c r="O1332" t="str">
        <f>_xlfn.XLOOKUP(A1332,[1]!brca_metabric_clinical_data__2[Sample ID],[1]!brca_metabric_clinical_data__2[Tumor Stage])</f>
        <v>2</v>
      </c>
    </row>
    <row r="1333" spans="1:15" x14ac:dyDescent="0.45">
      <c r="A1333" t="s">
        <v>1368</v>
      </c>
      <c r="B1333">
        <v>67.25</v>
      </c>
      <c r="C1333" t="s">
        <v>16</v>
      </c>
      <c r="D1333" t="s">
        <v>17</v>
      </c>
      <c r="E1333" t="s">
        <v>18</v>
      </c>
      <c r="F1333" t="s">
        <v>43</v>
      </c>
      <c r="G1333" t="s">
        <v>20</v>
      </c>
      <c r="H1333" t="s">
        <v>21</v>
      </c>
      <c r="I1333" t="s">
        <v>21</v>
      </c>
      <c r="J1333" t="s">
        <v>29</v>
      </c>
      <c r="K1333">
        <v>9</v>
      </c>
      <c r="L1333">
        <v>153.53333333333299</v>
      </c>
      <c r="M1333" t="s">
        <v>24</v>
      </c>
      <c r="N1333" t="str">
        <f>_xlfn.XLOOKUP(A1333,[1]!brca_metabric_clinical_data__2[Patient ID], [1]!brca_metabric_clinical_data__2[Tumor Size])</f>
        <v>15</v>
      </c>
      <c r="O1333" t="str">
        <f>_xlfn.XLOOKUP(A1333,[1]!brca_metabric_clinical_data__2[Sample ID],[1]!brca_metabric_clinical_data__2[Tumor Stage])</f>
        <v>1</v>
      </c>
    </row>
    <row r="1334" spans="1:15" x14ac:dyDescent="0.45">
      <c r="A1334" t="s">
        <v>1369</v>
      </c>
      <c r="B1334">
        <v>82.06</v>
      </c>
      <c r="C1334" t="s">
        <v>16</v>
      </c>
      <c r="D1334" t="s">
        <v>17</v>
      </c>
      <c r="E1334" t="s">
        <v>18</v>
      </c>
      <c r="F1334" t="s">
        <v>43</v>
      </c>
      <c r="G1334" t="s">
        <v>20</v>
      </c>
      <c r="H1334" t="s">
        <v>20</v>
      </c>
      <c r="I1334" t="s">
        <v>20</v>
      </c>
      <c r="J1334" t="s">
        <v>29</v>
      </c>
      <c r="K1334">
        <v>5</v>
      </c>
      <c r="L1334">
        <v>48.433333333333302</v>
      </c>
      <c r="M1334" t="s">
        <v>30</v>
      </c>
      <c r="N1334" t="str">
        <f>_xlfn.XLOOKUP(A1334,[1]!brca_metabric_clinical_data__2[Patient ID], [1]!brca_metabric_clinical_data__2[Tumor Size])</f>
        <v>5</v>
      </c>
      <c r="O1334" t="str">
        <f>_xlfn.XLOOKUP(A1334,[1]!brca_metabric_clinical_data__2[Sample ID],[1]!brca_metabric_clinical_data__2[Tumor Stage])</f>
        <v>NA</v>
      </c>
    </row>
    <row r="1335" spans="1:15" x14ac:dyDescent="0.45">
      <c r="A1335" t="s">
        <v>1370</v>
      </c>
      <c r="B1335">
        <v>70.86</v>
      </c>
      <c r="C1335" t="s">
        <v>16</v>
      </c>
      <c r="D1335" t="s">
        <v>17</v>
      </c>
      <c r="E1335" t="s">
        <v>18</v>
      </c>
      <c r="F1335" t="s">
        <v>19</v>
      </c>
      <c r="G1335" t="s">
        <v>20</v>
      </c>
      <c r="H1335" t="s">
        <v>20</v>
      </c>
      <c r="I1335" t="s">
        <v>21</v>
      </c>
      <c r="J1335" t="s">
        <v>27</v>
      </c>
      <c r="K1335">
        <v>3</v>
      </c>
      <c r="L1335">
        <v>208.96666666666701</v>
      </c>
      <c r="M1335" t="s">
        <v>30</v>
      </c>
      <c r="N1335" t="str">
        <f>_xlfn.XLOOKUP(A1335,[1]!brca_metabric_clinical_data__2[Patient ID], [1]!brca_metabric_clinical_data__2[Tumor Size])</f>
        <v>30</v>
      </c>
      <c r="O1335" t="str">
        <f>_xlfn.XLOOKUP(A1335,[1]!brca_metabric_clinical_data__2[Sample ID],[1]!brca_metabric_clinical_data__2[Tumor Stage])</f>
        <v>2</v>
      </c>
    </row>
    <row r="1336" spans="1:15" x14ac:dyDescent="0.45">
      <c r="A1336" t="s">
        <v>1371</v>
      </c>
      <c r="B1336">
        <v>31.71</v>
      </c>
      <c r="C1336" t="s">
        <v>16</v>
      </c>
      <c r="D1336" t="s">
        <v>26</v>
      </c>
      <c r="E1336" t="s">
        <v>37</v>
      </c>
      <c r="F1336" t="s">
        <v>19</v>
      </c>
      <c r="G1336" t="s">
        <v>21</v>
      </c>
      <c r="H1336" t="s">
        <v>21</v>
      </c>
      <c r="I1336" t="s">
        <v>21</v>
      </c>
      <c r="J1336" t="s">
        <v>58</v>
      </c>
      <c r="K1336">
        <v>10</v>
      </c>
      <c r="L1336">
        <v>195.933333333333</v>
      </c>
      <c r="M1336" t="s">
        <v>24</v>
      </c>
      <c r="N1336" t="str">
        <f>_xlfn.XLOOKUP(A1336,[1]!brca_metabric_clinical_data__2[Patient ID], [1]!brca_metabric_clinical_data__2[Tumor Size])</f>
        <v>99</v>
      </c>
      <c r="O1336" t="str">
        <f>_xlfn.XLOOKUP(A1336,[1]!brca_metabric_clinical_data__2[Sample ID],[1]!brca_metabric_clinical_data__2[Tumor Stage])</f>
        <v>3</v>
      </c>
    </row>
    <row r="1337" spans="1:15" x14ac:dyDescent="0.45">
      <c r="A1337" t="s">
        <v>1372</v>
      </c>
      <c r="B1337">
        <v>60.51</v>
      </c>
      <c r="C1337" t="s">
        <v>16</v>
      </c>
      <c r="D1337" t="s">
        <v>17</v>
      </c>
      <c r="E1337" t="s">
        <v>37</v>
      </c>
      <c r="F1337" t="s">
        <v>19</v>
      </c>
      <c r="G1337" t="s">
        <v>20</v>
      </c>
      <c r="H1337" t="s">
        <v>20</v>
      </c>
      <c r="I1337" t="s">
        <v>21</v>
      </c>
      <c r="J1337" t="s">
        <v>58</v>
      </c>
      <c r="K1337">
        <v>10</v>
      </c>
      <c r="L1337">
        <v>75.7</v>
      </c>
      <c r="M1337" t="s">
        <v>30</v>
      </c>
      <c r="N1337" t="str">
        <f>_xlfn.XLOOKUP(A1337,[1]!brca_metabric_clinical_data__2[Patient ID], [1]!brca_metabric_clinical_data__2[Tumor Size])</f>
        <v>25</v>
      </c>
      <c r="O1337" t="str">
        <f>_xlfn.XLOOKUP(A1337,[1]!brca_metabric_clinical_data__2[Sample ID],[1]!brca_metabric_clinical_data__2[Tumor Stage])</f>
        <v>2</v>
      </c>
    </row>
    <row r="1338" spans="1:15" x14ac:dyDescent="0.45">
      <c r="A1338" t="s">
        <v>1373</v>
      </c>
      <c r="B1338">
        <v>78.930000000000007</v>
      </c>
      <c r="C1338" t="s">
        <v>16</v>
      </c>
      <c r="D1338" t="s">
        <v>17</v>
      </c>
      <c r="E1338" t="s">
        <v>18</v>
      </c>
      <c r="F1338" t="s">
        <v>43</v>
      </c>
      <c r="G1338" t="s">
        <v>20</v>
      </c>
      <c r="H1338" t="s">
        <v>21</v>
      </c>
      <c r="I1338" t="s">
        <v>21</v>
      </c>
      <c r="J1338" t="s">
        <v>22</v>
      </c>
      <c r="K1338">
        <v>5</v>
      </c>
      <c r="L1338">
        <v>13.8</v>
      </c>
      <c r="M1338" t="s">
        <v>30</v>
      </c>
      <c r="N1338" t="str">
        <f>_xlfn.XLOOKUP(A1338,[1]!brca_metabric_clinical_data__2[Patient ID], [1]!brca_metabric_clinical_data__2[Tumor Size])</f>
        <v>40</v>
      </c>
      <c r="O1338" t="str">
        <f>_xlfn.XLOOKUP(A1338,[1]!brca_metabric_clinical_data__2[Sample ID],[1]!brca_metabric_clinical_data__2[Tumor Stage])</f>
        <v>3</v>
      </c>
    </row>
    <row r="1339" spans="1:15" x14ac:dyDescent="0.45">
      <c r="A1339" t="s">
        <v>1374</v>
      </c>
      <c r="B1339">
        <v>49.63</v>
      </c>
      <c r="C1339" t="s">
        <v>16</v>
      </c>
      <c r="D1339" t="s">
        <v>26</v>
      </c>
      <c r="E1339" t="s">
        <v>37</v>
      </c>
      <c r="F1339" t="s">
        <v>19</v>
      </c>
      <c r="G1339" t="s">
        <v>21</v>
      </c>
      <c r="H1339" t="s">
        <v>20</v>
      </c>
      <c r="I1339" t="s">
        <v>20</v>
      </c>
      <c r="J1339" t="s">
        <v>58</v>
      </c>
      <c r="K1339">
        <v>10</v>
      </c>
      <c r="L1339">
        <v>84.9</v>
      </c>
      <c r="M1339" t="s">
        <v>30</v>
      </c>
      <c r="N1339" t="str">
        <f>_xlfn.XLOOKUP(A1339,[1]!brca_metabric_clinical_data__2[Patient ID], [1]!brca_metabric_clinical_data__2[Tumor Size])</f>
        <v>23</v>
      </c>
      <c r="O1339" t="str">
        <f>_xlfn.XLOOKUP(A1339,[1]!brca_metabric_clinical_data__2[Sample ID],[1]!brca_metabric_clinical_data__2[Tumor Stage])</f>
        <v>2</v>
      </c>
    </row>
    <row r="1340" spans="1:15" x14ac:dyDescent="0.45">
      <c r="A1340" t="s">
        <v>1375</v>
      </c>
      <c r="B1340">
        <v>53.35</v>
      </c>
      <c r="C1340" t="s">
        <v>16</v>
      </c>
      <c r="D1340" t="s">
        <v>17</v>
      </c>
      <c r="E1340" t="s">
        <v>37</v>
      </c>
      <c r="F1340" t="s">
        <v>19</v>
      </c>
      <c r="G1340" t="s">
        <v>21</v>
      </c>
      <c r="H1340" t="s">
        <v>21</v>
      </c>
      <c r="I1340" t="s">
        <v>20</v>
      </c>
      <c r="J1340" t="s">
        <v>58</v>
      </c>
      <c r="K1340">
        <v>10</v>
      </c>
      <c r="L1340">
        <v>16.7</v>
      </c>
      <c r="M1340" t="s">
        <v>30</v>
      </c>
      <c r="N1340" t="str">
        <f>_xlfn.XLOOKUP(A1340,[1]!brca_metabric_clinical_data__2[Patient ID], [1]!brca_metabric_clinical_data__2[Tumor Size])</f>
        <v>40</v>
      </c>
      <c r="O1340" t="str">
        <f>_xlfn.XLOOKUP(A1340,[1]!brca_metabric_clinical_data__2[Sample ID],[1]!brca_metabric_clinical_data__2[Tumor Stage])</f>
        <v>2</v>
      </c>
    </row>
    <row r="1341" spans="1:15" x14ac:dyDescent="0.45">
      <c r="A1341" t="s">
        <v>1376</v>
      </c>
      <c r="B1341">
        <v>55.53</v>
      </c>
      <c r="C1341" t="s">
        <v>16</v>
      </c>
      <c r="D1341" t="s">
        <v>17</v>
      </c>
      <c r="E1341" t="s">
        <v>18</v>
      </c>
      <c r="F1341" t="s">
        <v>19</v>
      </c>
      <c r="G1341" t="s">
        <v>20</v>
      </c>
      <c r="H1341" t="s">
        <v>20</v>
      </c>
      <c r="I1341" t="s">
        <v>21</v>
      </c>
      <c r="J1341" t="s">
        <v>27</v>
      </c>
      <c r="K1341">
        <v>8</v>
      </c>
      <c r="L1341">
        <v>190.166666666667</v>
      </c>
      <c r="M1341" t="s">
        <v>24</v>
      </c>
      <c r="N1341" t="str">
        <f>_xlfn.XLOOKUP(A1341,[1]!brca_metabric_clinical_data__2[Patient ID], [1]!brca_metabric_clinical_data__2[Tumor Size])</f>
        <v>15</v>
      </c>
      <c r="O1341" t="str">
        <f>_xlfn.XLOOKUP(A1341,[1]!brca_metabric_clinical_data__2[Sample ID],[1]!brca_metabric_clinical_data__2[Tumor Stage])</f>
        <v>1</v>
      </c>
    </row>
    <row r="1342" spans="1:15" x14ac:dyDescent="0.45">
      <c r="A1342" t="s">
        <v>1377</v>
      </c>
      <c r="B1342">
        <v>64.459999999999994</v>
      </c>
      <c r="C1342" t="s">
        <v>16</v>
      </c>
      <c r="D1342" t="s">
        <v>17</v>
      </c>
      <c r="E1342" t="s">
        <v>37</v>
      </c>
      <c r="F1342" t="s">
        <v>19</v>
      </c>
      <c r="G1342" t="s">
        <v>20</v>
      </c>
      <c r="H1342" t="s">
        <v>20</v>
      </c>
      <c r="I1342" t="s">
        <v>21</v>
      </c>
      <c r="J1342" t="s">
        <v>45</v>
      </c>
      <c r="K1342">
        <v>8</v>
      </c>
      <c r="L1342">
        <v>241.23333333333301</v>
      </c>
      <c r="M1342" t="s">
        <v>24</v>
      </c>
      <c r="N1342" t="str">
        <f>_xlfn.XLOOKUP(A1342,[1]!brca_metabric_clinical_data__2[Patient ID], [1]!brca_metabric_clinical_data__2[Tumor Size])</f>
        <v>18</v>
      </c>
      <c r="O1342" t="str">
        <f>_xlfn.XLOOKUP(A1342,[1]!brca_metabric_clinical_data__2[Sample ID],[1]!brca_metabric_clinical_data__2[Tumor Stage])</f>
        <v>1</v>
      </c>
    </row>
    <row r="1343" spans="1:15" x14ac:dyDescent="0.45">
      <c r="A1343" t="s">
        <v>1378</v>
      </c>
      <c r="B1343">
        <v>52.81</v>
      </c>
      <c r="C1343" t="s">
        <v>16</v>
      </c>
      <c r="D1343" t="s">
        <v>17</v>
      </c>
      <c r="E1343" t="s">
        <v>18</v>
      </c>
      <c r="F1343" t="s">
        <v>19</v>
      </c>
      <c r="G1343" t="s">
        <v>20</v>
      </c>
      <c r="H1343" t="s">
        <v>21</v>
      </c>
      <c r="I1343" t="s">
        <v>21</v>
      </c>
      <c r="J1343" t="s">
        <v>38</v>
      </c>
      <c r="K1343">
        <v>3</v>
      </c>
      <c r="L1343">
        <v>191.1</v>
      </c>
      <c r="M1343" t="s">
        <v>24</v>
      </c>
      <c r="N1343" t="str">
        <f>_xlfn.XLOOKUP(A1343,[1]!brca_metabric_clinical_data__2[Patient ID], [1]!brca_metabric_clinical_data__2[Tumor Size])</f>
        <v>60</v>
      </c>
      <c r="O1343" t="str">
        <f>_xlfn.XLOOKUP(A1343,[1]!brca_metabric_clinical_data__2[Sample ID],[1]!brca_metabric_clinical_data__2[Tumor Stage])</f>
        <v>2</v>
      </c>
    </row>
    <row r="1344" spans="1:15" x14ac:dyDescent="0.45">
      <c r="A1344" t="s">
        <v>1379</v>
      </c>
      <c r="B1344">
        <v>61.88</v>
      </c>
      <c r="C1344" t="s">
        <v>16</v>
      </c>
      <c r="D1344" t="s">
        <v>17</v>
      </c>
      <c r="E1344" t="s">
        <v>18</v>
      </c>
      <c r="F1344" t="s">
        <v>19</v>
      </c>
      <c r="G1344" t="s">
        <v>20</v>
      </c>
      <c r="H1344" t="s">
        <v>21</v>
      </c>
      <c r="I1344" t="s">
        <v>20</v>
      </c>
      <c r="J1344" t="s">
        <v>27</v>
      </c>
      <c r="K1344">
        <v>8</v>
      </c>
      <c r="L1344">
        <v>149.433333333333</v>
      </c>
      <c r="M1344" t="s">
        <v>30</v>
      </c>
      <c r="N1344" t="str">
        <f>_xlfn.XLOOKUP(A1344,[1]!brca_metabric_clinical_data__2[Patient ID], [1]!brca_metabric_clinical_data__2[Tumor Size])</f>
        <v>30</v>
      </c>
      <c r="O1344" t="str">
        <f>_xlfn.XLOOKUP(A1344,[1]!brca_metabric_clinical_data__2[Sample ID],[1]!brca_metabric_clinical_data__2[Tumor Stage])</f>
        <v>2</v>
      </c>
    </row>
    <row r="1345" spans="1:15" x14ac:dyDescent="0.45">
      <c r="A1345" t="s">
        <v>1380</v>
      </c>
      <c r="B1345">
        <v>58.26</v>
      </c>
      <c r="C1345" t="s">
        <v>16</v>
      </c>
      <c r="D1345" t="s">
        <v>17</v>
      </c>
      <c r="E1345" t="s">
        <v>18</v>
      </c>
      <c r="F1345" t="s">
        <v>43</v>
      </c>
      <c r="G1345" t="s">
        <v>20</v>
      </c>
      <c r="H1345" t="s">
        <v>20</v>
      </c>
      <c r="I1345" t="s">
        <v>20</v>
      </c>
      <c r="J1345" t="s">
        <v>27</v>
      </c>
      <c r="K1345">
        <v>7</v>
      </c>
      <c r="L1345">
        <v>159.73333333333301</v>
      </c>
      <c r="M1345" t="s">
        <v>24</v>
      </c>
      <c r="N1345" t="str">
        <f>_xlfn.XLOOKUP(A1345,[1]!brca_metabric_clinical_data__2[Patient ID], [1]!brca_metabric_clinical_data__2[Tumor Size])</f>
        <v>15</v>
      </c>
      <c r="O1345" t="str">
        <f>_xlfn.XLOOKUP(A1345,[1]!brca_metabric_clinical_data__2[Sample ID],[1]!brca_metabric_clinical_data__2[Tumor Stage])</f>
        <v>1</v>
      </c>
    </row>
    <row r="1346" spans="1:15" x14ac:dyDescent="0.45">
      <c r="A1346" t="s">
        <v>1381</v>
      </c>
      <c r="B1346">
        <v>67.62</v>
      </c>
      <c r="C1346" t="s">
        <v>16</v>
      </c>
      <c r="D1346" t="s">
        <v>17</v>
      </c>
      <c r="E1346" t="s">
        <v>18</v>
      </c>
      <c r="F1346" t="s">
        <v>19</v>
      </c>
      <c r="G1346" t="s">
        <v>20</v>
      </c>
      <c r="H1346" t="s">
        <v>21</v>
      </c>
      <c r="I1346" t="s">
        <v>21</v>
      </c>
      <c r="J1346" t="s">
        <v>38</v>
      </c>
      <c r="K1346" t="s">
        <v>23</v>
      </c>
      <c r="L1346">
        <v>104.76666666666701</v>
      </c>
      <c r="M1346" t="s">
        <v>30</v>
      </c>
      <c r="N1346" t="str">
        <f>_xlfn.XLOOKUP(A1346,[1]!brca_metabric_clinical_data__2[Patient ID], [1]!brca_metabric_clinical_data__2[Tumor Size])</f>
        <v>25</v>
      </c>
      <c r="O1346" t="str">
        <f>_xlfn.XLOOKUP(A1346,[1]!brca_metabric_clinical_data__2[Sample ID],[1]!brca_metabric_clinical_data__2[Tumor Stage])</f>
        <v>2</v>
      </c>
    </row>
    <row r="1347" spans="1:15" x14ac:dyDescent="0.45">
      <c r="A1347" t="s">
        <v>1382</v>
      </c>
      <c r="B1347">
        <v>71.400000000000006</v>
      </c>
      <c r="C1347" t="s">
        <v>16</v>
      </c>
      <c r="D1347" t="s">
        <v>17</v>
      </c>
      <c r="E1347" t="s">
        <v>18</v>
      </c>
      <c r="F1347" t="s">
        <v>19</v>
      </c>
      <c r="G1347" t="s">
        <v>20</v>
      </c>
      <c r="H1347" t="s">
        <v>21</v>
      </c>
      <c r="I1347" t="s">
        <v>20</v>
      </c>
      <c r="J1347" t="s">
        <v>27</v>
      </c>
      <c r="K1347">
        <v>3</v>
      </c>
      <c r="L1347">
        <v>153.30000000000001</v>
      </c>
      <c r="M1347" t="s">
        <v>30</v>
      </c>
      <c r="N1347" t="str">
        <f>_xlfn.XLOOKUP(A1347,[1]!brca_metabric_clinical_data__2[Patient ID], [1]!brca_metabric_clinical_data__2[Tumor Size])</f>
        <v>30</v>
      </c>
      <c r="O1347" t="str">
        <f>_xlfn.XLOOKUP(A1347,[1]!brca_metabric_clinical_data__2[Sample ID],[1]!brca_metabric_clinical_data__2[Tumor Stage])</f>
        <v>2</v>
      </c>
    </row>
    <row r="1348" spans="1:15" x14ac:dyDescent="0.45">
      <c r="A1348" t="s">
        <v>1383</v>
      </c>
      <c r="B1348">
        <v>73.010000000000005</v>
      </c>
      <c r="C1348" t="s">
        <v>16</v>
      </c>
      <c r="D1348" t="s">
        <v>17</v>
      </c>
      <c r="E1348" t="s">
        <v>18</v>
      </c>
      <c r="F1348" t="s">
        <v>19</v>
      </c>
      <c r="G1348" t="s">
        <v>20</v>
      </c>
      <c r="H1348" t="s">
        <v>21</v>
      </c>
      <c r="I1348" t="s">
        <v>21</v>
      </c>
      <c r="J1348" t="s">
        <v>22</v>
      </c>
      <c r="K1348" t="s">
        <v>23</v>
      </c>
      <c r="L1348">
        <v>57.6666666666667</v>
      </c>
      <c r="M1348" t="s">
        <v>30</v>
      </c>
      <c r="N1348" t="str">
        <f>_xlfn.XLOOKUP(A1348,[1]!brca_metabric_clinical_data__2[Patient ID], [1]!brca_metabric_clinical_data__2[Tumor Size])</f>
        <v>27</v>
      </c>
      <c r="O1348" t="str">
        <f>_xlfn.XLOOKUP(A1348,[1]!brca_metabric_clinical_data__2[Sample ID],[1]!brca_metabric_clinical_data__2[Tumor Stage])</f>
        <v>2</v>
      </c>
    </row>
    <row r="1349" spans="1:15" x14ac:dyDescent="0.45">
      <c r="A1349" t="s">
        <v>1384</v>
      </c>
      <c r="B1349">
        <v>50.6</v>
      </c>
      <c r="C1349" t="s">
        <v>16</v>
      </c>
      <c r="D1349" t="s">
        <v>17</v>
      </c>
      <c r="E1349" t="s">
        <v>37</v>
      </c>
      <c r="F1349" t="s">
        <v>43</v>
      </c>
      <c r="G1349" t="s">
        <v>21</v>
      </c>
      <c r="H1349" t="s">
        <v>20</v>
      </c>
      <c r="I1349" t="s">
        <v>20</v>
      </c>
      <c r="J1349" t="s">
        <v>45</v>
      </c>
      <c r="K1349">
        <v>5</v>
      </c>
      <c r="L1349">
        <v>37.9</v>
      </c>
      <c r="M1349" t="s">
        <v>30</v>
      </c>
      <c r="N1349" t="str">
        <f>_xlfn.XLOOKUP(A1349,[1]!brca_metabric_clinical_data__2[Patient ID], [1]!brca_metabric_clinical_data__2[Tumor Size])</f>
        <v>60</v>
      </c>
      <c r="O1349" t="str">
        <f>_xlfn.XLOOKUP(A1349,[1]!brca_metabric_clinical_data__2[Sample ID],[1]!brca_metabric_clinical_data__2[Tumor Stage])</f>
        <v>3</v>
      </c>
    </row>
    <row r="1350" spans="1:15" x14ac:dyDescent="0.45">
      <c r="A1350" t="s">
        <v>1385</v>
      </c>
      <c r="B1350">
        <v>79.12</v>
      </c>
      <c r="C1350" t="s">
        <v>16</v>
      </c>
      <c r="D1350" t="s">
        <v>17</v>
      </c>
      <c r="E1350" t="s">
        <v>18</v>
      </c>
      <c r="F1350" t="s">
        <v>19</v>
      </c>
      <c r="G1350" t="s">
        <v>20</v>
      </c>
      <c r="H1350" t="s">
        <v>21</v>
      </c>
      <c r="I1350" t="s">
        <v>20</v>
      </c>
      <c r="J1350" t="s">
        <v>45</v>
      </c>
      <c r="K1350">
        <v>1</v>
      </c>
      <c r="L1350">
        <v>46.533333333333303</v>
      </c>
      <c r="M1350" t="s">
        <v>30</v>
      </c>
      <c r="N1350" t="str">
        <f>_xlfn.XLOOKUP(A1350,[1]!brca_metabric_clinical_data__2[Patient ID], [1]!brca_metabric_clinical_data__2[Tumor Size])</f>
        <v>30</v>
      </c>
      <c r="O1350" t="str">
        <f>_xlfn.XLOOKUP(A1350,[1]!brca_metabric_clinical_data__2[Sample ID],[1]!brca_metabric_clinical_data__2[Tumor Stage])</f>
        <v>2</v>
      </c>
    </row>
    <row r="1351" spans="1:15" x14ac:dyDescent="0.45">
      <c r="A1351" t="s">
        <v>1386</v>
      </c>
      <c r="B1351">
        <v>52.13</v>
      </c>
      <c r="C1351" t="s">
        <v>16</v>
      </c>
      <c r="D1351" t="s">
        <v>17</v>
      </c>
      <c r="E1351" t="s">
        <v>37</v>
      </c>
      <c r="F1351" t="s">
        <v>43</v>
      </c>
      <c r="G1351" t="s">
        <v>21</v>
      </c>
      <c r="H1351" t="s">
        <v>21</v>
      </c>
      <c r="I1351" t="s">
        <v>21</v>
      </c>
      <c r="J1351" t="s">
        <v>45</v>
      </c>
      <c r="K1351" t="s">
        <v>39</v>
      </c>
      <c r="L1351">
        <v>43.033333333333303</v>
      </c>
      <c r="M1351" t="s">
        <v>30</v>
      </c>
      <c r="N1351" t="str">
        <f>_xlfn.XLOOKUP(A1351,[1]!brca_metabric_clinical_data__2[Patient ID], [1]!brca_metabric_clinical_data__2[Tumor Size])</f>
        <v>80</v>
      </c>
      <c r="O1351" t="str">
        <f>_xlfn.XLOOKUP(A1351,[1]!brca_metabric_clinical_data__2[Sample ID],[1]!brca_metabric_clinical_data__2[Tumor Stage])</f>
        <v>3</v>
      </c>
    </row>
    <row r="1352" spans="1:15" x14ac:dyDescent="0.45">
      <c r="A1352" t="s">
        <v>1387</v>
      </c>
      <c r="B1352">
        <v>69.7</v>
      </c>
      <c r="C1352" t="s">
        <v>16</v>
      </c>
      <c r="D1352" t="s">
        <v>17</v>
      </c>
      <c r="E1352" t="s">
        <v>18</v>
      </c>
      <c r="F1352" t="s">
        <v>19</v>
      </c>
      <c r="G1352" t="s">
        <v>20</v>
      </c>
      <c r="H1352" t="s">
        <v>21</v>
      </c>
      <c r="I1352" t="s">
        <v>21</v>
      </c>
      <c r="J1352" t="s">
        <v>29</v>
      </c>
      <c r="K1352">
        <v>8</v>
      </c>
      <c r="L1352">
        <v>53.633333333333297</v>
      </c>
      <c r="M1352" t="s">
        <v>30</v>
      </c>
      <c r="N1352" t="str">
        <f>_xlfn.XLOOKUP(A1352,[1]!brca_metabric_clinical_data__2[Patient ID], [1]!brca_metabric_clinical_data__2[Tumor Size])</f>
        <v>15</v>
      </c>
      <c r="O1352" t="str">
        <f>_xlfn.XLOOKUP(A1352,[1]!brca_metabric_clinical_data__2[Sample ID],[1]!brca_metabric_clinical_data__2[Tumor Stage])</f>
        <v>2</v>
      </c>
    </row>
    <row r="1353" spans="1:15" x14ac:dyDescent="0.45">
      <c r="A1353" t="s">
        <v>1388</v>
      </c>
      <c r="B1353">
        <v>60.96</v>
      </c>
      <c r="C1353" t="s">
        <v>16</v>
      </c>
      <c r="D1353" t="s">
        <v>17</v>
      </c>
      <c r="E1353" t="s">
        <v>18</v>
      </c>
      <c r="F1353" t="s">
        <v>43</v>
      </c>
      <c r="G1353" t="s">
        <v>20</v>
      </c>
      <c r="H1353" t="s">
        <v>20</v>
      </c>
      <c r="I1353" t="s">
        <v>21</v>
      </c>
      <c r="J1353" t="s">
        <v>29</v>
      </c>
      <c r="K1353">
        <v>5</v>
      </c>
      <c r="L1353">
        <v>14.1666666666667</v>
      </c>
      <c r="M1353" t="s">
        <v>30</v>
      </c>
      <c r="N1353" t="str">
        <f>_xlfn.XLOOKUP(A1353,[1]!brca_metabric_clinical_data__2[Patient ID], [1]!brca_metabric_clinical_data__2[Tumor Size])</f>
        <v>18</v>
      </c>
      <c r="O1353" t="str">
        <f>_xlfn.XLOOKUP(A1353,[1]!brca_metabric_clinical_data__2[Sample ID],[1]!brca_metabric_clinical_data__2[Tumor Stage])</f>
        <v>1</v>
      </c>
    </row>
    <row r="1354" spans="1:15" x14ac:dyDescent="0.45">
      <c r="A1354" t="s">
        <v>1389</v>
      </c>
      <c r="B1354">
        <v>66.58</v>
      </c>
      <c r="C1354" t="s">
        <v>16</v>
      </c>
      <c r="D1354" t="s">
        <v>17</v>
      </c>
      <c r="E1354" t="s">
        <v>18</v>
      </c>
      <c r="F1354" t="s">
        <v>19</v>
      </c>
      <c r="G1354" t="s">
        <v>20</v>
      </c>
      <c r="H1354" t="s">
        <v>21</v>
      </c>
      <c r="I1354" t="s">
        <v>21</v>
      </c>
      <c r="J1354" t="s">
        <v>27</v>
      </c>
      <c r="K1354">
        <v>2</v>
      </c>
      <c r="L1354">
        <v>102.3</v>
      </c>
      <c r="M1354" t="s">
        <v>30</v>
      </c>
      <c r="N1354" t="str">
        <f>_xlfn.XLOOKUP(A1354,[1]!brca_metabric_clinical_data__2[Patient ID], [1]!brca_metabric_clinical_data__2[Tumor Size])</f>
        <v>23</v>
      </c>
      <c r="O1354" t="str">
        <f>_xlfn.XLOOKUP(A1354,[1]!brca_metabric_clinical_data__2[Sample ID],[1]!brca_metabric_clinical_data__2[Tumor Stage])</f>
        <v>2</v>
      </c>
    </row>
    <row r="1355" spans="1:15" x14ac:dyDescent="0.45">
      <c r="A1355" t="s">
        <v>1390</v>
      </c>
      <c r="B1355">
        <v>31.26</v>
      </c>
      <c r="C1355" t="s">
        <v>16</v>
      </c>
      <c r="D1355" t="s">
        <v>26</v>
      </c>
      <c r="E1355" t="s">
        <v>37</v>
      </c>
      <c r="F1355" t="s">
        <v>35</v>
      </c>
      <c r="G1355" t="s">
        <v>20</v>
      </c>
      <c r="H1355" t="s">
        <v>20</v>
      </c>
      <c r="I1355" t="s">
        <v>20</v>
      </c>
      <c r="J1355" t="s">
        <v>22</v>
      </c>
      <c r="K1355" t="s">
        <v>39</v>
      </c>
      <c r="L1355">
        <v>226.066666666667</v>
      </c>
      <c r="M1355" t="s">
        <v>24</v>
      </c>
      <c r="N1355" t="str">
        <f>_xlfn.XLOOKUP(A1355,[1]!brca_metabric_clinical_data__2[Patient ID], [1]!brca_metabric_clinical_data__2[Tumor Size])</f>
        <v>15</v>
      </c>
      <c r="O1355" t="str">
        <f>_xlfn.XLOOKUP(A1355,[1]!brca_metabric_clinical_data__2[Sample ID],[1]!brca_metabric_clinical_data__2[Tumor Stage])</f>
        <v>1</v>
      </c>
    </row>
    <row r="1356" spans="1:15" x14ac:dyDescent="0.45">
      <c r="A1356" t="s">
        <v>1391</v>
      </c>
      <c r="B1356">
        <v>64.010000000000005</v>
      </c>
      <c r="C1356" t="s">
        <v>16</v>
      </c>
      <c r="D1356" t="s">
        <v>17</v>
      </c>
      <c r="E1356" t="s">
        <v>18</v>
      </c>
      <c r="F1356" t="s">
        <v>19</v>
      </c>
      <c r="G1356" t="s">
        <v>20</v>
      </c>
      <c r="H1356" t="s">
        <v>20</v>
      </c>
      <c r="I1356" t="s">
        <v>20</v>
      </c>
      <c r="J1356" t="s">
        <v>27</v>
      </c>
      <c r="K1356">
        <v>3</v>
      </c>
      <c r="L1356">
        <v>190.1</v>
      </c>
      <c r="M1356" t="s">
        <v>30</v>
      </c>
      <c r="N1356" t="str">
        <f>_xlfn.XLOOKUP(A1356,[1]!brca_metabric_clinical_data__2[Patient ID], [1]!brca_metabric_clinical_data__2[Tumor Size])</f>
        <v>10</v>
      </c>
      <c r="O1356" t="str">
        <f>_xlfn.XLOOKUP(A1356,[1]!brca_metabric_clinical_data__2[Sample ID],[1]!brca_metabric_clinical_data__2[Tumor Stage])</f>
        <v>1</v>
      </c>
    </row>
    <row r="1357" spans="1:15" x14ac:dyDescent="0.45">
      <c r="A1357" t="s">
        <v>1392</v>
      </c>
      <c r="B1357">
        <v>43.04</v>
      </c>
      <c r="C1357" t="s">
        <v>16</v>
      </c>
      <c r="D1357" t="s">
        <v>26</v>
      </c>
      <c r="E1357" t="s">
        <v>37</v>
      </c>
      <c r="F1357" t="s">
        <v>19</v>
      </c>
      <c r="G1357" t="s">
        <v>21</v>
      </c>
      <c r="H1357" t="s">
        <v>21</v>
      </c>
      <c r="I1357" t="s">
        <v>21</v>
      </c>
      <c r="J1357" t="s">
        <v>22</v>
      </c>
      <c r="K1357">
        <v>10</v>
      </c>
      <c r="L1357">
        <v>204.23333333333301</v>
      </c>
      <c r="M1357" t="s">
        <v>24</v>
      </c>
      <c r="N1357" t="str">
        <f>_xlfn.XLOOKUP(A1357,[1]!brca_metabric_clinical_data__2[Patient ID], [1]!brca_metabric_clinical_data__2[Tumor Size])</f>
        <v>80</v>
      </c>
      <c r="O1357" t="str">
        <f>_xlfn.XLOOKUP(A1357,[1]!brca_metabric_clinical_data__2[Sample ID],[1]!brca_metabric_clinical_data__2[Tumor Stage])</f>
        <v>NA</v>
      </c>
    </row>
    <row r="1358" spans="1:15" x14ac:dyDescent="0.45">
      <c r="A1358" t="s">
        <v>1393</v>
      </c>
      <c r="B1358">
        <v>79.260000000000005</v>
      </c>
      <c r="C1358" t="s">
        <v>16</v>
      </c>
      <c r="D1358" t="s">
        <v>17</v>
      </c>
      <c r="E1358" t="s">
        <v>18</v>
      </c>
      <c r="F1358" t="s">
        <v>19</v>
      </c>
      <c r="G1358" t="s">
        <v>20</v>
      </c>
      <c r="H1358" t="s">
        <v>21</v>
      </c>
      <c r="I1358" t="s">
        <v>21</v>
      </c>
      <c r="J1358" t="s">
        <v>38</v>
      </c>
      <c r="K1358" t="s">
        <v>23</v>
      </c>
      <c r="L1358">
        <v>96.2</v>
      </c>
      <c r="M1358" t="s">
        <v>30</v>
      </c>
      <c r="N1358" t="str">
        <f>_xlfn.XLOOKUP(A1358,[1]!brca_metabric_clinical_data__2[Patient ID], [1]!brca_metabric_clinical_data__2[Tumor Size])</f>
        <v>48</v>
      </c>
      <c r="O1358" t="str">
        <f>_xlfn.XLOOKUP(A1358,[1]!brca_metabric_clinical_data__2[Sample ID],[1]!brca_metabric_clinical_data__2[Tumor Stage])</f>
        <v>2</v>
      </c>
    </row>
    <row r="1359" spans="1:15" x14ac:dyDescent="0.45">
      <c r="A1359" t="s">
        <v>1394</v>
      </c>
      <c r="B1359">
        <v>66.94</v>
      </c>
      <c r="C1359" t="s">
        <v>16</v>
      </c>
      <c r="D1359" t="s">
        <v>17</v>
      </c>
      <c r="E1359" t="s">
        <v>37</v>
      </c>
      <c r="F1359" t="s">
        <v>43</v>
      </c>
      <c r="G1359" t="s">
        <v>20</v>
      </c>
      <c r="H1359" t="s">
        <v>21</v>
      </c>
      <c r="I1359" t="s">
        <v>21</v>
      </c>
      <c r="J1359" t="s">
        <v>45</v>
      </c>
      <c r="K1359">
        <v>5</v>
      </c>
      <c r="L1359">
        <v>163.53333333333299</v>
      </c>
      <c r="M1359" t="s">
        <v>24</v>
      </c>
      <c r="N1359" t="str">
        <f>_xlfn.XLOOKUP(A1359,[1]!brca_metabric_clinical_data__2[Patient ID], [1]!brca_metabric_clinical_data__2[Tumor Size])</f>
        <v>25</v>
      </c>
      <c r="O1359" t="str">
        <f>_xlfn.XLOOKUP(A1359,[1]!brca_metabric_clinical_data__2[Sample ID],[1]!brca_metabric_clinical_data__2[Tumor Stage])</f>
        <v>2</v>
      </c>
    </row>
    <row r="1360" spans="1:15" x14ac:dyDescent="0.45">
      <c r="A1360" t="s">
        <v>1395</v>
      </c>
      <c r="B1360">
        <v>74.569999999999993</v>
      </c>
      <c r="C1360" t="s">
        <v>16</v>
      </c>
      <c r="D1360" t="s">
        <v>17</v>
      </c>
      <c r="E1360" t="s">
        <v>18</v>
      </c>
      <c r="F1360" t="s">
        <v>19</v>
      </c>
      <c r="G1360" t="s">
        <v>20</v>
      </c>
      <c r="H1360" t="s">
        <v>21</v>
      </c>
      <c r="I1360" t="s">
        <v>20</v>
      </c>
      <c r="J1360" t="s">
        <v>29</v>
      </c>
      <c r="K1360">
        <v>1</v>
      </c>
      <c r="L1360">
        <v>14.2</v>
      </c>
      <c r="M1360" t="s">
        <v>30</v>
      </c>
      <c r="N1360" t="str">
        <f>_xlfn.XLOOKUP(A1360,[1]!brca_metabric_clinical_data__2[Patient ID], [1]!brca_metabric_clinical_data__2[Tumor Size])</f>
        <v>50</v>
      </c>
      <c r="O1360" t="str">
        <f>_xlfn.XLOOKUP(A1360,[1]!brca_metabric_clinical_data__2[Sample ID],[1]!brca_metabric_clinical_data__2[Tumor Stage])</f>
        <v>2</v>
      </c>
    </row>
    <row r="1361" spans="1:15" x14ac:dyDescent="0.45">
      <c r="A1361" t="s">
        <v>1396</v>
      </c>
      <c r="B1361">
        <v>64.64</v>
      </c>
      <c r="C1361" t="s">
        <v>16</v>
      </c>
      <c r="D1361" t="s">
        <v>17</v>
      </c>
      <c r="E1361" t="s">
        <v>37</v>
      </c>
      <c r="F1361" t="s">
        <v>19</v>
      </c>
      <c r="G1361" t="s">
        <v>21</v>
      </c>
      <c r="H1361" t="s">
        <v>20</v>
      </c>
      <c r="I1361" t="s">
        <v>21</v>
      </c>
      <c r="J1361" t="s">
        <v>27</v>
      </c>
      <c r="K1361">
        <v>2</v>
      </c>
      <c r="L1361">
        <v>45.733333333333299</v>
      </c>
      <c r="M1361" t="s">
        <v>30</v>
      </c>
      <c r="N1361" t="str">
        <f>_xlfn.XLOOKUP(A1361,[1]!brca_metabric_clinical_data__2[Patient ID], [1]!brca_metabric_clinical_data__2[Tumor Size])</f>
        <v>65</v>
      </c>
      <c r="O1361" t="str">
        <f>_xlfn.XLOOKUP(A1361,[1]!brca_metabric_clinical_data__2[Sample ID],[1]!brca_metabric_clinical_data__2[Tumor Stage])</f>
        <v>3</v>
      </c>
    </row>
    <row r="1362" spans="1:15" x14ac:dyDescent="0.45">
      <c r="A1362" t="s">
        <v>1397</v>
      </c>
      <c r="B1362">
        <v>70.489999999999995</v>
      </c>
      <c r="C1362" t="s">
        <v>16</v>
      </c>
      <c r="D1362" t="s">
        <v>17</v>
      </c>
      <c r="E1362" t="s">
        <v>18</v>
      </c>
      <c r="F1362" t="s">
        <v>19</v>
      </c>
      <c r="G1362" t="s">
        <v>20</v>
      </c>
      <c r="H1362" t="s">
        <v>21</v>
      </c>
      <c r="I1362" t="s">
        <v>20</v>
      </c>
      <c r="J1362" t="s">
        <v>27</v>
      </c>
      <c r="K1362">
        <v>8</v>
      </c>
      <c r="L1362">
        <v>114.533333333333</v>
      </c>
      <c r="M1362" t="s">
        <v>30</v>
      </c>
      <c r="N1362" t="str">
        <f>_xlfn.XLOOKUP(A1362,[1]!brca_metabric_clinical_data__2[Patient ID], [1]!brca_metabric_clinical_data__2[Tumor Size])</f>
        <v>25</v>
      </c>
      <c r="O1362" t="str">
        <f>_xlfn.XLOOKUP(A1362,[1]!brca_metabric_clinical_data__2[Sample ID],[1]!brca_metabric_clinical_data__2[Tumor Stage])</f>
        <v>NA</v>
      </c>
    </row>
    <row r="1363" spans="1:15" x14ac:dyDescent="0.45">
      <c r="A1363" t="s">
        <v>1398</v>
      </c>
      <c r="B1363">
        <v>54.69</v>
      </c>
      <c r="C1363" t="s">
        <v>16</v>
      </c>
      <c r="D1363" t="s">
        <v>17</v>
      </c>
      <c r="E1363" t="s">
        <v>18</v>
      </c>
      <c r="F1363" t="s">
        <v>43</v>
      </c>
      <c r="G1363" t="s">
        <v>20</v>
      </c>
      <c r="H1363" t="s">
        <v>20</v>
      </c>
      <c r="I1363" t="s">
        <v>20</v>
      </c>
      <c r="J1363" t="s">
        <v>27</v>
      </c>
      <c r="K1363">
        <v>2</v>
      </c>
      <c r="L1363">
        <v>124.133333333333</v>
      </c>
      <c r="M1363" t="s">
        <v>30</v>
      </c>
      <c r="N1363" t="str">
        <f>_xlfn.XLOOKUP(A1363,[1]!brca_metabric_clinical_data__2[Patient ID], [1]!brca_metabric_clinical_data__2[Tumor Size])</f>
        <v>23</v>
      </c>
      <c r="O1363" t="str">
        <f>_xlfn.XLOOKUP(A1363,[1]!brca_metabric_clinical_data__2[Sample ID],[1]!brca_metabric_clinical_data__2[Tumor Stage])</f>
        <v>2</v>
      </c>
    </row>
    <row r="1364" spans="1:15" x14ac:dyDescent="0.45">
      <c r="A1364" t="s">
        <v>1399</v>
      </c>
      <c r="B1364">
        <v>68.930000000000007</v>
      </c>
      <c r="C1364" t="s">
        <v>16</v>
      </c>
      <c r="D1364" t="s">
        <v>17</v>
      </c>
      <c r="E1364" t="s">
        <v>18</v>
      </c>
      <c r="F1364" t="s">
        <v>43</v>
      </c>
      <c r="G1364" t="s">
        <v>20</v>
      </c>
      <c r="H1364" t="s">
        <v>21</v>
      </c>
      <c r="I1364" t="s">
        <v>20</v>
      </c>
      <c r="J1364" t="s">
        <v>45</v>
      </c>
      <c r="K1364">
        <v>5</v>
      </c>
      <c r="L1364">
        <v>98.8333333333333</v>
      </c>
      <c r="M1364" t="s">
        <v>30</v>
      </c>
      <c r="N1364" t="str">
        <f>_xlfn.XLOOKUP(A1364,[1]!brca_metabric_clinical_data__2[Patient ID], [1]!brca_metabric_clinical_data__2[Tumor Size])</f>
        <v>18</v>
      </c>
      <c r="O1364" t="str">
        <f>_xlfn.XLOOKUP(A1364,[1]!brca_metabric_clinical_data__2[Sample ID],[1]!brca_metabric_clinical_data__2[Tumor Stage])</f>
        <v>2</v>
      </c>
    </row>
    <row r="1365" spans="1:15" x14ac:dyDescent="0.45">
      <c r="A1365" t="s">
        <v>1400</v>
      </c>
      <c r="B1365">
        <v>78.44</v>
      </c>
      <c r="C1365" t="s">
        <v>16</v>
      </c>
      <c r="D1365" t="s">
        <v>17</v>
      </c>
      <c r="E1365" t="s">
        <v>18</v>
      </c>
      <c r="F1365" t="s">
        <v>19</v>
      </c>
      <c r="G1365" t="s">
        <v>20</v>
      </c>
      <c r="H1365" t="s">
        <v>21</v>
      </c>
      <c r="I1365" t="s">
        <v>21</v>
      </c>
      <c r="J1365" t="s">
        <v>27</v>
      </c>
      <c r="K1365">
        <v>9</v>
      </c>
      <c r="L1365">
        <v>85.4</v>
      </c>
      <c r="M1365" t="s">
        <v>30</v>
      </c>
      <c r="N1365" t="str">
        <f>_xlfn.XLOOKUP(A1365,[1]!brca_metabric_clinical_data__2[Patient ID], [1]!brca_metabric_clinical_data__2[Tumor Size])</f>
        <v>20</v>
      </c>
      <c r="O1365" t="str">
        <f>_xlfn.XLOOKUP(A1365,[1]!brca_metabric_clinical_data__2[Sample ID],[1]!brca_metabric_clinical_data__2[Tumor Stage])</f>
        <v>1</v>
      </c>
    </row>
    <row r="1366" spans="1:15" x14ac:dyDescent="0.45">
      <c r="A1366" t="s">
        <v>1401</v>
      </c>
      <c r="B1366">
        <v>41.81</v>
      </c>
      <c r="C1366" t="s">
        <v>16</v>
      </c>
      <c r="D1366" t="s">
        <v>26</v>
      </c>
      <c r="E1366" t="s">
        <v>37</v>
      </c>
      <c r="F1366" t="s">
        <v>19</v>
      </c>
      <c r="G1366" t="s">
        <v>20</v>
      </c>
      <c r="H1366" t="s">
        <v>20</v>
      </c>
      <c r="I1366" t="s">
        <v>20</v>
      </c>
      <c r="J1366" t="s">
        <v>58</v>
      </c>
      <c r="K1366">
        <v>10</v>
      </c>
      <c r="L1366">
        <v>25.233333333333299</v>
      </c>
      <c r="M1366" t="s">
        <v>30</v>
      </c>
      <c r="N1366" t="str">
        <f>_xlfn.XLOOKUP(A1366,[1]!brca_metabric_clinical_data__2[Patient ID], [1]!brca_metabric_clinical_data__2[Tumor Size])</f>
        <v>27</v>
      </c>
      <c r="O1366" t="str">
        <f>_xlfn.XLOOKUP(A1366,[1]!brca_metabric_clinical_data__2[Sample ID],[1]!brca_metabric_clinical_data__2[Tumor Stage])</f>
        <v>2</v>
      </c>
    </row>
    <row r="1367" spans="1:15" x14ac:dyDescent="0.45">
      <c r="A1367" t="s">
        <v>1402</v>
      </c>
      <c r="B1367">
        <v>61.24</v>
      </c>
      <c r="C1367" t="s">
        <v>16</v>
      </c>
      <c r="D1367" t="s">
        <v>17</v>
      </c>
      <c r="E1367" t="s">
        <v>18</v>
      </c>
      <c r="F1367" t="s">
        <v>19</v>
      </c>
      <c r="G1367" t="s">
        <v>20</v>
      </c>
      <c r="H1367" t="s">
        <v>21</v>
      </c>
      <c r="I1367" t="s">
        <v>21</v>
      </c>
      <c r="J1367" t="s">
        <v>29</v>
      </c>
      <c r="K1367">
        <v>1</v>
      </c>
      <c r="L1367">
        <v>51.6666666666667</v>
      </c>
      <c r="M1367" t="s">
        <v>30</v>
      </c>
      <c r="N1367" t="str">
        <f>_xlfn.XLOOKUP(A1367,[1]!brca_metabric_clinical_data__2[Patient ID], [1]!brca_metabric_clinical_data__2[Tumor Size])</f>
        <v>20</v>
      </c>
      <c r="O1367" t="str">
        <f>_xlfn.XLOOKUP(A1367,[1]!brca_metabric_clinical_data__2[Sample ID],[1]!brca_metabric_clinical_data__2[Tumor Stage])</f>
        <v>2</v>
      </c>
    </row>
    <row r="1368" spans="1:15" x14ac:dyDescent="0.45">
      <c r="A1368" t="s">
        <v>1403</v>
      </c>
      <c r="B1368">
        <v>71.78</v>
      </c>
      <c r="C1368" t="s">
        <v>16</v>
      </c>
      <c r="D1368" t="s">
        <v>17</v>
      </c>
      <c r="E1368" t="s">
        <v>18</v>
      </c>
      <c r="F1368" t="s">
        <v>19</v>
      </c>
      <c r="G1368" t="s">
        <v>20</v>
      </c>
      <c r="H1368" t="s">
        <v>21</v>
      </c>
      <c r="I1368" t="s">
        <v>21</v>
      </c>
      <c r="J1368" t="s">
        <v>613</v>
      </c>
      <c r="K1368">
        <v>3</v>
      </c>
      <c r="L1368">
        <v>195.86666666666699</v>
      </c>
      <c r="M1368" t="s">
        <v>24</v>
      </c>
      <c r="N1368" t="str">
        <f>_xlfn.XLOOKUP(A1368,[1]!brca_metabric_clinical_data__2[Patient ID], [1]!brca_metabric_clinical_data__2[Tumor Size])</f>
        <v>15</v>
      </c>
      <c r="O1368" t="str">
        <f>_xlfn.XLOOKUP(A1368,[1]!brca_metabric_clinical_data__2[Sample ID],[1]!brca_metabric_clinical_data__2[Tumor Stage])</f>
        <v>2</v>
      </c>
    </row>
    <row r="1369" spans="1:15" x14ac:dyDescent="0.45">
      <c r="A1369" t="s">
        <v>1404</v>
      </c>
      <c r="B1369">
        <v>56.37</v>
      </c>
      <c r="C1369" t="s">
        <v>16</v>
      </c>
      <c r="D1369" t="s">
        <v>17</v>
      </c>
      <c r="E1369" t="s">
        <v>18</v>
      </c>
      <c r="F1369" t="s">
        <v>19</v>
      </c>
      <c r="G1369" t="s">
        <v>20</v>
      </c>
      <c r="H1369" t="s">
        <v>20</v>
      </c>
      <c r="I1369" t="s">
        <v>21</v>
      </c>
      <c r="J1369" t="s">
        <v>29</v>
      </c>
      <c r="K1369">
        <v>2</v>
      </c>
      <c r="L1369">
        <v>250.833333333333</v>
      </c>
      <c r="M1369" t="s">
        <v>24</v>
      </c>
      <c r="N1369" t="str">
        <f>_xlfn.XLOOKUP(A1369,[1]!brca_metabric_clinical_data__2[Patient ID], [1]!brca_metabric_clinical_data__2[Tumor Size])</f>
        <v>20</v>
      </c>
      <c r="O1369" t="str">
        <f>_xlfn.XLOOKUP(A1369,[1]!brca_metabric_clinical_data__2[Sample ID],[1]!brca_metabric_clinical_data__2[Tumor Stage])</f>
        <v>1</v>
      </c>
    </row>
    <row r="1370" spans="1:15" x14ac:dyDescent="0.45">
      <c r="A1370" t="s">
        <v>1405</v>
      </c>
      <c r="B1370">
        <v>76.87</v>
      </c>
      <c r="C1370" t="s">
        <v>16</v>
      </c>
      <c r="D1370" t="s">
        <v>17</v>
      </c>
      <c r="E1370" t="s">
        <v>18</v>
      </c>
      <c r="F1370" t="s">
        <v>19</v>
      </c>
      <c r="G1370" t="s">
        <v>20</v>
      </c>
      <c r="H1370" t="s">
        <v>21</v>
      </c>
      <c r="I1370" t="s">
        <v>21</v>
      </c>
      <c r="J1370" t="s">
        <v>38</v>
      </c>
      <c r="K1370" t="s">
        <v>23</v>
      </c>
      <c r="L1370">
        <v>216.03333333333299</v>
      </c>
      <c r="M1370" t="s">
        <v>30</v>
      </c>
      <c r="N1370" t="str">
        <f>_xlfn.XLOOKUP(A1370,[1]!brca_metabric_clinical_data__2[Patient ID], [1]!brca_metabric_clinical_data__2[Tumor Size])</f>
        <v>15</v>
      </c>
      <c r="O1370" t="str">
        <f>_xlfn.XLOOKUP(A1370,[1]!brca_metabric_clinical_data__2[Sample ID],[1]!brca_metabric_clinical_data__2[Tumor Stage])</f>
        <v>2</v>
      </c>
    </row>
    <row r="1371" spans="1:15" x14ac:dyDescent="0.45">
      <c r="A1371" t="s">
        <v>1406</v>
      </c>
      <c r="B1371">
        <v>52.09</v>
      </c>
      <c r="C1371" t="s">
        <v>16</v>
      </c>
      <c r="D1371" t="s">
        <v>17</v>
      </c>
      <c r="E1371" t="s">
        <v>37</v>
      </c>
      <c r="F1371" t="s">
        <v>19</v>
      </c>
      <c r="G1371" t="s">
        <v>21</v>
      </c>
      <c r="H1371" t="s">
        <v>20</v>
      </c>
      <c r="I1371" t="s">
        <v>21</v>
      </c>
      <c r="J1371" t="s">
        <v>58</v>
      </c>
      <c r="K1371">
        <v>10</v>
      </c>
      <c r="L1371">
        <v>194.3</v>
      </c>
      <c r="M1371" t="s">
        <v>24</v>
      </c>
      <c r="N1371" t="str">
        <f>_xlfn.XLOOKUP(A1371,[1]!brca_metabric_clinical_data__2[Patient ID], [1]!brca_metabric_clinical_data__2[Tumor Size])</f>
        <v>80</v>
      </c>
      <c r="O1371" t="str">
        <f>_xlfn.XLOOKUP(A1371,[1]!brca_metabric_clinical_data__2[Sample ID],[1]!brca_metabric_clinical_data__2[Tumor Stage])</f>
        <v>NA</v>
      </c>
    </row>
    <row r="1372" spans="1:15" x14ac:dyDescent="0.45">
      <c r="A1372" t="s">
        <v>1407</v>
      </c>
      <c r="B1372">
        <v>56.89</v>
      </c>
      <c r="C1372" t="s">
        <v>16</v>
      </c>
      <c r="D1372" t="s">
        <v>17</v>
      </c>
      <c r="E1372" t="s">
        <v>18</v>
      </c>
      <c r="F1372" t="s">
        <v>19</v>
      </c>
      <c r="G1372" t="s">
        <v>20</v>
      </c>
      <c r="H1372" t="s">
        <v>21</v>
      </c>
      <c r="I1372" t="s">
        <v>21</v>
      </c>
      <c r="J1372" t="s">
        <v>29</v>
      </c>
      <c r="K1372">
        <v>3</v>
      </c>
      <c r="L1372">
        <v>211.9</v>
      </c>
      <c r="M1372" t="s">
        <v>30</v>
      </c>
      <c r="N1372" t="str">
        <f>_xlfn.XLOOKUP(A1372,[1]!brca_metabric_clinical_data__2[Patient ID], [1]!brca_metabric_clinical_data__2[Tumor Size])</f>
        <v>25</v>
      </c>
      <c r="O1372" t="str">
        <f>_xlfn.XLOOKUP(A1372,[1]!brca_metabric_clinical_data__2[Sample ID],[1]!brca_metabric_clinical_data__2[Tumor Stage])</f>
        <v>2</v>
      </c>
    </row>
    <row r="1373" spans="1:15" x14ac:dyDescent="0.45">
      <c r="A1373" t="s">
        <v>1408</v>
      </c>
      <c r="B1373">
        <v>41.27</v>
      </c>
      <c r="C1373" t="s">
        <v>16</v>
      </c>
      <c r="D1373" t="s">
        <v>26</v>
      </c>
      <c r="E1373" t="s">
        <v>37</v>
      </c>
      <c r="F1373" t="s">
        <v>19</v>
      </c>
      <c r="G1373" t="s">
        <v>21</v>
      </c>
      <c r="H1373" t="s">
        <v>20</v>
      </c>
      <c r="I1373" t="s">
        <v>20</v>
      </c>
      <c r="J1373" t="s">
        <v>22</v>
      </c>
      <c r="K1373">
        <v>10</v>
      </c>
      <c r="L1373">
        <v>169.666666666667</v>
      </c>
      <c r="M1373" t="s">
        <v>24</v>
      </c>
      <c r="N1373" t="str">
        <f>_xlfn.XLOOKUP(A1373,[1]!brca_metabric_clinical_data__2[Patient ID], [1]!brca_metabric_clinical_data__2[Tumor Size])</f>
        <v>15</v>
      </c>
      <c r="O1373" t="str">
        <f>_xlfn.XLOOKUP(A1373,[1]!brca_metabric_clinical_data__2[Sample ID],[1]!brca_metabric_clinical_data__2[Tumor Stage])</f>
        <v>2</v>
      </c>
    </row>
    <row r="1374" spans="1:15" x14ac:dyDescent="0.45">
      <c r="A1374" t="s">
        <v>1409</v>
      </c>
      <c r="B1374">
        <v>72.88</v>
      </c>
      <c r="C1374" t="s">
        <v>16</v>
      </c>
      <c r="D1374" t="s">
        <v>17</v>
      </c>
      <c r="E1374" t="s">
        <v>18</v>
      </c>
      <c r="F1374" t="s">
        <v>19</v>
      </c>
      <c r="G1374" t="s">
        <v>20</v>
      </c>
      <c r="H1374" t="s">
        <v>20</v>
      </c>
      <c r="I1374" t="s">
        <v>20</v>
      </c>
      <c r="J1374" t="s">
        <v>27</v>
      </c>
      <c r="K1374" t="s">
        <v>23</v>
      </c>
      <c r="L1374">
        <v>191</v>
      </c>
      <c r="M1374" t="s">
        <v>30</v>
      </c>
      <c r="N1374" t="str">
        <f>_xlfn.XLOOKUP(A1374,[1]!brca_metabric_clinical_data__2[Patient ID], [1]!brca_metabric_clinical_data__2[Tumor Size])</f>
        <v>15</v>
      </c>
      <c r="O1374" t="str">
        <f>_xlfn.XLOOKUP(A1374,[1]!brca_metabric_clinical_data__2[Sample ID],[1]!brca_metabric_clinical_data__2[Tumor Stage])</f>
        <v>1</v>
      </c>
    </row>
    <row r="1375" spans="1:15" x14ac:dyDescent="0.45">
      <c r="A1375" t="s">
        <v>1410</v>
      </c>
      <c r="B1375">
        <v>66.7</v>
      </c>
      <c r="C1375" t="s">
        <v>16</v>
      </c>
      <c r="D1375" t="s">
        <v>17</v>
      </c>
      <c r="E1375" t="s">
        <v>18</v>
      </c>
      <c r="F1375" t="s">
        <v>19</v>
      </c>
      <c r="G1375" t="s">
        <v>20</v>
      </c>
      <c r="H1375" t="s">
        <v>21</v>
      </c>
      <c r="I1375" t="s">
        <v>21</v>
      </c>
      <c r="J1375" t="s">
        <v>22</v>
      </c>
      <c r="K1375" t="s">
        <v>23</v>
      </c>
      <c r="L1375">
        <v>53.633333333333297</v>
      </c>
      <c r="M1375" t="s">
        <v>30</v>
      </c>
      <c r="N1375" t="str">
        <f>_xlfn.XLOOKUP(A1375,[1]!brca_metabric_clinical_data__2[Patient ID], [1]!brca_metabric_clinical_data__2[Tumor Size])</f>
        <v>25</v>
      </c>
      <c r="O1375" t="str">
        <f>_xlfn.XLOOKUP(A1375,[1]!brca_metabric_clinical_data__2[Sample ID],[1]!brca_metabric_clinical_data__2[Tumor Stage])</f>
        <v>2</v>
      </c>
    </row>
    <row r="1376" spans="1:15" x14ac:dyDescent="0.45">
      <c r="A1376" t="s">
        <v>1411</v>
      </c>
      <c r="B1376">
        <v>47.35</v>
      </c>
      <c r="C1376" t="s">
        <v>16</v>
      </c>
      <c r="D1376" t="s">
        <v>26</v>
      </c>
      <c r="E1376" t="s">
        <v>18</v>
      </c>
      <c r="F1376" t="s">
        <v>43</v>
      </c>
      <c r="G1376" t="s">
        <v>20</v>
      </c>
      <c r="H1376" t="s">
        <v>20</v>
      </c>
      <c r="I1376" t="s">
        <v>20</v>
      </c>
      <c r="J1376" t="s">
        <v>38</v>
      </c>
      <c r="K1376" t="s">
        <v>23</v>
      </c>
      <c r="L1376">
        <v>202.1</v>
      </c>
      <c r="M1376" t="s">
        <v>24</v>
      </c>
      <c r="N1376" t="str">
        <f>_xlfn.XLOOKUP(A1376,[1]!brca_metabric_clinical_data__2[Patient ID], [1]!brca_metabric_clinical_data__2[Tumor Size])</f>
        <v>2</v>
      </c>
      <c r="O1376" t="str">
        <f>_xlfn.XLOOKUP(A1376,[1]!brca_metabric_clinical_data__2[Sample ID],[1]!brca_metabric_clinical_data__2[Tumor Stage])</f>
        <v>1</v>
      </c>
    </row>
    <row r="1377" spans="1:15" x14ac:dyDescent="0.45">
      <c r="A1377" t="s">
        <v>1412</v>
      </c>
      <c r="B1377">
        <v>72.88</v>
      </c>
      <c r="C1377" t="s">
        <v>16</v>
      </c>
      <c r="D1377" t="s">
        <v>17</v>
      </c>
      <c r="E1377" t="s">
        <v>18</v>
      </c>
      <c r="F1377" t="s">
        <v>19</v>
      </c>
      <c r="G1377" t="s">
        <v>20</v>
      </c>
      <c r="H1377" t="s">
        <v>21</v>
      </c>
      <c r="I1377" t="s">
        <v>21</v>
      </c>
      <c r="J1377" t="s">
        <v>27</v>
      </c>
      <c r="K1377">
        <v>3</v>
      </c>
      <c r="L1377">
        <v>28.8333333333333</v>
      </c>
      <c r="M1377" t="s">
        <v>30</v>
      </c>
      <c r="N1377" t="str">
        <f>_xlfn.XLOOKUP(A1377,[1]!brca_metabric_clinical_data__2[Patient ID], [1]!brca_metabric_clinical_data__2[Tumor Size])</f>
        <v>57</v>
      </c>
      <c r="O1377" t="str">
        <f>_xlfn.XLOOKUP(A1377,[1]!brca_metabric_clinical_data__2[Sample ID],[1]!brca_metabric_clinical_data__2[Tumor Stage])</f>
        <v>3</v>
      </c>
    </row>
    <row r="1378" spans="1:15" x14ac:dyDescent="0.45">
      <c r="A1378" t="s">
        <v>1413</v>
      </c>
      <c r="B1378">
        <v>66.39</v>
      </c>
      <c r="C1378" t="s">
        <v>16</v>
      </c>
      <c r="D1378" t="s">
        <v>17</v>
      </c>
      <c r="E1378" t="s">
        <v>18</v>
      </c>
      <c r="F1378" t="s">
        <v>19</v>
      </c>
      <c r="G1378" t="s">
        <v>20</v>
      </c>
      <c r="H1378" t="s">
        <v>21</v>
      </c>
      <c r="I1378" t="s">
        <v>21</v>
      </c>
      <c r="J1378" t="s">
        <v>27</v>
      </c>
      <c r="K1378">
        <v>8</v>
      </c>
      <c r="L1378">
        <v>161.13333333333301</v>
      </c>
      <c r="M1378" t="s">
        <v>30</v>
      </c>
      <c r="N1378" t="str">
        <f>_xlfn.XLOOKUP(A1378,[1]!brca_metabric_clinical_data__2[Patient ID], [1]!brca_metabric_clinical_data__2[Tumor Size])</f>
        <v>70</v>
      </c>
      <c r="O1378" t="str">
        <f>_xlfn.XLOOKUP(A1378,[1]!brca_metabric_clinical_data__2[Sample ID],[1]!brca_metabric_clinical_data__2[Tumor Stage])</f>
        <v>3</v>
      </c>
    </row>
    <row r="1379" spans="1:15" x14ac:dyDescent="0.45">
      <c r="A1379" t="s">
        <v>1414</v>
      </c>
      <c r="B1379">
        <v>76.010000000000005</v>
      </c>
      <c r="C1379" t="s">
        <v>16</v>
      </c>
      <c r="D1379" t="s">
        <v>17</v>
      </c>
      <c r="E1379" t="s">
        <v>18</v>
      </c>
      <c r="F1379" t="s">
        <v>43</v>
      </c>
      <c r="G1379" t="s">
        <v>20</v>
      </c>
      <c r="H1379" t="s">
        <v>21</v>
      </c>
      <c r="I1379" t="s">
        <v>20</v>
      </c>
      <c r="J1379" t="s">
        <v>27</v>
      </c>
      <c r="K1379">
        <v>8</v>
      </c>
      <c r="L1379">
        <v>15.366666666666699</v>
      </c>
      <c r="M1379" t="s">
        <v>30</v>
      </c>
      <c r="N1379" t="str">
        <f>_xlfn.XLOOKUP(A1379,[1]!brca_metabric_clinical_data__2[Patient ID], [1]!brca_metabric_clinical_data__2[Tumor Size])</f>
        <v>40</v>
      </c>
      <c r="O1379" t="str">
        <f>_xlfn.XLOOKUP(A1379,[1]!brca_metabric_clinical_data__2[Sample ID],[1]!brca_metabric_clinical_data__2[Tumor Stage])</f>
        <v>2</v>
      </c>
    </row>
    <row r="1380" spans="1:15" x14ac:dyDescent="0.45">
      <c r="A1380" t="s">
        <v>1415</v>
      </c>
      <c r="B1380">
        <v>56.89</v>
      </c>
      <c r="C1380" t="s">
        <v>16</v>
      </c>
      <c r="D1380" t="s">
        <v>17</v>
      </c>
      <c r="E1380" t="s">
        <v>18</v>
      </c>
      <c r="F1380" t="s">
        <v>19</v>
      </c>
      <c r="G1380" t="s">
        <v>20</v>
      </c>
      <c r="H1380" t="s">
        <v>21</v>
      </c>
      <c r="I1380" t="s">
        <v>21</v>
      </c>
      <c r="J1380" t="s">
        <v>38</v>
      </c>
      <c r="K1380">
        <v>3</v>
      </c>
      <c r="L1380">
        <v>125.76666666666701</v>
      </c>
      <c r="M1380" t="s">
        <v>30</v>
      </c>
      <c r="N1380" t="str">
        <f>_xlfn.XLOOKUP(A1380,[1]!brca_metabric_clinical_data__2[Patient ID], [1]!brca_metabric_clinical_data__2[Tumor Size])</f>
        <v>15</v>
      </c>
      <c r="O1380" t="str">
        <f>_xlfn.XLOOKUP(A1380,[1]!brca_metabric_clinical_data__2[Sample ID],[1]!brca_metabric_clinical_data__2[Tumor Stage])</f>
        <v>1</v>
      </c>
    </row>
    <row r="1381" spans="1:15" x14ac:dyDescent="0.45">
      <c r="A1381" t="s">
        <v>1416</v>
      </c>
      <c r="B1381">
        <v>79.290000000000006</v>
      </c>
      <c r="C1381" t="s">
        <v>16</v>
      </c>
      <c r="D1381" t="s">
        <v>17</v>
      </c>
      <c r="E1381" t="s">
        <v>18</v>
      </c>
      <c r="F1381" t="s">
        <v>19</v>
      </c>
      <c r="G1381" t="s">
        <v>20</v>
      </c>
      <c r="H1381" t="s">
        <v>21</v>
      </c>
      <c r="I1381" t="s">
        <v>20</v>
      </c>
      <c r="J1381" t="s">
        <v>27</v>
      </c>
      <c r="K1381">
        <v>7</v>
      </c>
      <c r="L1381">
        <v>23.033333333333299</v>
      </c>
      <c r="M1381" t="s">
        <v>30</v>
      </c>
      <c r="N1381" t="str">
        <f>_xlfn.XLOOKUP(A1381,[1]!brca_metabric_clinical_data__2[Patient ID], [1]!brca_metabric_clinical_data__2[Tumor Size])</f>
        <v>25</v>
      </c>
      <c r="O1381" t="str">
        <f>_xlfn.XLOOKUP(A1381,[1]!brca_metabric_clinical_data__2[Sample ID],[1]!brca_metabric_clinical_data__2[Tumor Stage])</f>
        <v>2</v>
      </c>
    </row>
    <row r="1382" spans="1:15" x14ac:dyDescent="0.45">
      <c r="A1382" t="s">
        <v>1417</v>
      </c>
      <c r="B1382">
        <v>75.56</v>
      </c>
      <c r="C1382" t="s">
        <v>16</v>
      </c>
      <c r="D1382" t="s">
        <v>17</v>
      </c>
      <c r="E1382" t="s">
        <v>18</v>
      </c>
      <c r="F1382" t="s">
        <v>43</v>
      </c>
      <c r="G1382" t="s">
        <v>20</v>
      </c>
      <c r="H1382" t="s">
        <v>21</v>
      </c>
      <c r="I1382" t="s">
        <v>20</v>
      </c>
      <c r="J1382" t="s">
        <v>45</v>
      </c>
      <c r="K1382">
        <v>5</v>
      </c>
      <c r="L1382">
        <v>243.166666666667</v>
      </c>
      <c r="M1382" t="s">
        <v>24</v>
      </c>
      <c r="N1382" t="str">
        <f>_xlfn.XLOOKUP(A1382,[1]!brca_metabric_clinical_data__2[Patient ID], [1]!brca_metabric_clinical_data__2[Tumor Size])</f>
        <v>40</v>
      </c>
      <c r="O1382" t="str">
        <f>_xlfn.XLOOKUP(A1382,[1]!brca_metabric_clinical_data__2[Sample ID],[1]!brca_metabric_clinical_data__2[Tumor Stage])</f>
        <v>2</v>
      </c>
    </row>
    <row r="1383" spans="1:15" x14ac:dyDescent="0.45">
      <c r="A1383" t="s">
        <v>1418</v>
      </c>
      <c r="B1383">
        <v>77.150000000000006</v>
      </c>
      <c r="C1383" t="s">
        <v>16</v>
      </c>
      <c r="D1383" t="s">
        <v>17</v>
      </c>
      <c r="E1383" t="s">
        <v>18</v>
      </c>
      <c r="F1383" t="s">
        <v>43</v>
      </c>
      <c r="G1383" t="s">
        <v>20</v>
      </c>
      <c r="H1383" t="s">
        <v>21</v>
      </c>
      <c r="I1383" t="s">
        <v>20</v>
      </c>
      <c r="J1383" t="s">
        <v>38</v>
      </c>
      <c r="K1383" t="s">
        <v>23</v>
      </c>
      <c r="L1383">
        <v>100.133333333333</v>
      </c>
      <c r="M1383" t="s">
        <v>30</v>
      </c>
      <c r="N1383" t="str">
        <f>_xlfn.XLOOKUP(A1383,[1]!brca_metabric_clinical_data__2[Patient ID], [1]!brca_metabric_clinical_data__2[Tumor Size])</f>
        <v>15</v>
      </c>
      <c r="O1383" t="str">
        <f>_xlfn.XLOOKUP(A1383,[1]!brca_metabric_clinical_data__2[Sample ID],[1]!brca_metabric_clinical_data__2[Tumor Stage])</f>
        <v>2</v>
      </c>
    </row>
    <row r="1384" spans="1:15" x14ac:dyDescent="0.45">
      <c r="A1384" t="s">
        <v>1419</v>
      </c>
      <c r="B1384">
        <v>66.180000000000007</v>
      </c>
      <c r="C1384" t="s">
        <v>16</v>
      </c>
      <c r="D1384" t="s">
        <v>17</v>
      </c>
      <c r="E1384" t="s">
        <v>18</v>
      </c>
      <c r="F1384" t="s">
        <v>19</v>
      </c>
      <c r="G1384" t="s">
        <v>20</v>
      </c>
      <c r="H1384" t="s">
        <v>21</v>
      </c>
      <c r="I1384" t="s">
        <v>21</v>
      </c>
      <c r="J1384" t="s">
        <v>27</v>
      </c>
      <c r="K1384">
        <v>8</v>
      </c>
      <c r="L1384">
        <v>39.299999999999997</v>
      </c>
      <c r="M1384" t="s">
        <v>30</v>
      </c>
      <c r="N1384" t="str">
        <f>_xlfn.XLOOKUP(A1384,[1]!brca_metabric_clinical_data__2[Patient ID], [1]!brca_metabric_clinical_data__2[Tumor Size])</f>
        <v>25</v>
      </c>
      <c r="O1384" t="str">
        <f>_xlfn.XLOOKUP(A1384,[1]!brca_metabric_clinical_data__2[Sample ID],[1]!brca_metabric_clinical_data__2[Tumor Stage])</f>
        <v>2</v>
      </c>
    </row>
    <row r="1385" spans="1:15" x14ac:dyDescent="0.45">
      <c r="A1385" t="s">
        <v>1420</v>
      </c>
      <c r="B1385">
        <v>62.55</v>
      </c>
      <c r="C1385" t="s">
        <v>16</v>
      </c>
      <c r="D1385" t="s">
        <v>17</v>
      </c>
      <c r="E1385" t="s">
        <v>18</v>
      </c>
      <c r="F1385" t="s">
        <v>19</v>
      </c>
      <c r="G1385" t="s">
        <v>20</v>
      </c>
      <c r="H1385" t="s">
        <v>21</v>
      </c>
      <c r="I1385" t="s">
        <v>21</v>
      </c>
      <c r="J1385" t="s">
        <v>29</v>
      </c>
      <c r="K1385">
        <v>8</v>
      </c>
      <c r="L1385">
        <v>119.3</v>
      </c>
      <c r="M1385" t="s">
        <v>30</v>
      </c>
      <c r="N1385" t="str">
        <f>_xlfn.XLOOKUP(A1385,[1]!brca_metabric_clinical_data__2[Patient ID], [1]!brca_metabric_clinical_data__2[Tumor Size])</f>
        <v>22</v>
      </c>
      <c r="O1385" t="str">
        <f>_xlfn.XLOOKUP(A1385,[1]!brca_metabric_clinical_data__2[Sample ID],[1]!brca_metabric_clinical_data__2[Tumor Stage])</f>
        <v>2</v>
      </c>
    </row>
    <row r="1386" spans="1:15" x14ac:dyDescent="0.45">
      <c r="A1386" t="s">
        <v>1421</v>
      </c>
      <c r="B1386">
        <v>67.13</v>
      </c>
      <c r="C1386" t="s">
        <v>16</v>
      </c>
      <c r="D1386" t="s">
        <v>17</v>
      </c>
      <c r="E1386" t="s">
        <v>18</v>
      </c>
      <c r="F1386" t="s">
        <v>19</v>
      </c>
      <c r="G1386" t="s">
        <v>20</v>
      </c>
      <c r="H1386" t="s">
        <v>21</v>
      </c>
      <c r="I1386" t="s">
        <v>21</v>
      </c>
      <c r="J1386" t="s">
        <v>29</v>
      </c>
      <c r="K1386" t="s">
        <v>23</v>
      </c>
      <c r="L1386">
        <v>2.5333333333333301</v>
      </c>
      <c r="M1386" t="s">
        <v>24</v>
      </c>
      <c r="N1386" t="str">
        <f>_xlfn.XLOOKUP(A1386,[1]!brca_metabric_clinical_data__2[Patient ID], [1]!brca_metabric_clinical_data__2[Tumor Size])</f>
        <v>25</v>
      </c>
      <c r="O1386" t="str">
        <f>_xlfn.XLOOKUP(A1386,[1]!brca_metabric_clinical_data__2[Sample ID],[1]!brca_metabric_clinical_data__2[Tumor Stage])</f>
        <v>2</v>
      </c>
    </row>
    <row r="1387" spans="1:15" x14ac:dyDescent="0.45">
      <c r="A1387" t="s">
        <v>1422</v>
      </c>
      <c r="B1387">
        <v>35.14</v>
      </c>
      <c r="C1387" t="s">
        <v>16</v>
      </c>
      <c r="D1387" t="s">
        <v>26</v>
      </c>
      <c r="E1387" t="s">
        <v>37</v>
      </c>
      <c r="F1387" t="s">
        <v>19</v>
      </c>
      <c r="G1387" t="s">
        <v>21</v>
      </c>
      <c r="H1387" t="s">
        <v>21</v>
      </c>
      <c r="I1387" t="s">
        <v>21</v>
      </c>
      <c r="J1387" t="s">
        <v>29</v>
      </c>
      <c r="K1387">
        <v>8</v>
      </c>
      <c r="L1387">
        <v>102</v>
      </c>
      <c r="M1387" t="s">
        <v>30</v>
      </c>
      <c r="N1387" t="str">
        <f>_xlfn.XLOOKUP(A1387,[1]!brca_metabric_clinical_data__2[Patient ID], [1]!brca_metabric_clinical_data__2[Tumor Size])</f>
        <v>45</v>
      </c>
      <c r="O1387" t="str">
        <f>_xlfn.XLOOKUP(A1387,[1]!brca_metabric_clinical_data__2[Sample ID],[1]!brca_metabric_clinical_data__2[Tumor Stage])</f>
        <v>2</v>
      </c>
    </row>
    <row r="1388" spans="1:15" x14ac:dyDescent="0.45">
      <c r="A1388" t="s">
        <v>1423</v>
      </c>
      <c r="B1388">
        <v>57.99</v>
      </c>
      <c r="C1388" t="s">
        <v>16</v>
      </c>
      <c r="D1388" t="s">
        <v>17</v>
      </c>
      <c r="E1388" t="s">
        <v>37</v>
      </c>
      <c r="F1388" t="s">
        <v>19</v>
      </c>
      <c r="G1388" t="s">
        <v>21</v>
      </c>
      <c r="H1388" t="s">
        <v>20</v>
      </c>
      <c r="I1388" t="s">
        <v>21</v>
      </c>
      <c r="J1388" t="s">
        <v>58</v>
      </c>
      <c r="K1388">
        <v>10</v>
      </c>
      <c r="L1388">
        <v>12.266666666666699</v>
      </c>
      <c r="M1388" t="s">
        <v>30</v>
      </c>
      <c r="N1388" t="str">
        <f>_xlfn.XLOOKUP(A1388,[1]!brca_metabric_clinical_data__2[Patient ID], [1]!brca_metabric_clinical_data__2[Tumor Size])</f>
        <v>45</v>
      </c>
      <c r="O1388" t="str">
        <f>_xlfn.XLOOKUP(A1388,[1]!brca_metabric_clinical_data__2[Sample ID],[1]!brca_metabric_clinical_data__2[Tumor Stage])</f>
        <v>3</v>
      </c>
    </row>
    <row r="1389" spans="1:15" x14ac:dyDescent="0.45">
      <c r="A1389" t="s">
        <v>1424</v>
      </c>
      <c r="B1389">
        <v>44</v>
      </c>
      <c r="C1389" t="s">
        <v>16</v>
      </c>
      <c r="D1389" t="s">
        <v>26</v>
      </c>
      <c r="E1389" t="s">
        <v>37</v>
      </c>
      <c r="F1389" t="s">
        <v>43</v>
      </c>
      <c r="G1389" t="s">
        <v>21</v>
      </c>
      <c r="H1389" t="s">
        <v>21</v>
      </c>
      <c r="I1389" t="s">
        <v>21</v>
      </c>
      <c r="J1389" t="s">
        <v>45</v>
      </c>
      <c r="K1389">
        <v>5</v>
      </c>
      <c r="L1389">
        <v>201.833333333333</v>
      </c>
      <c r="M1389" t="s">
        <v>30</v>
      </c>
      <c r="N1389" t="str">
        <f>_xlfn.XLOOKUP(A1389,[1]!brca_metabric_clinical_data__2[Patient ID], [1]!brca_metabric_clinical_data__2[Tumor Size])</f>
        <v>50</v>
      </c>
      <c r="O1389" t="str">
        <f>_xlfn.XLOOKUP(A1389,[1]!brca_metabric_clinical_data__2[Sample ID],[1]!brca_metabric_clinical_data__2[Tumor Stage])</f>
        <v>2</v>
      </c>
    </row>
    <row r="1390" spans="1:15" x14ac:dyDescent="0.45">
      <c r="A1390" t="s">
        <v>1425</v>
      </c>
      <c r="B1390">
        <v>69.27</v>
      </c>
      <c r="C1390" t="s">
        <v>16</v>
      </c>
      <c r="D1390" t="s">
        <v>17</v>
      </c>
      <c r="E1390" t="s">
        <v>18</v>
      </c>
      <c r="F1390" t="s">
        <v>19</v>
      </c>
      <c r="G1390" t="s">
        <v>20</v>
      </c>
      <c r="H1390" t="s">
        <v>21</v>
      </c>
      <c r="I1390" t="s">
        <v>21</v>
      </c>
      <c r="J1390" t="s">
        <v>27</v>
      </c>
      <c r="K1390">
        <v>7</v>
      </c>
      <c r="L1390">
        <v>116.23333333333299</v>
      </c>
      <c r="M1390" t="s">
        <v>30</v>
      </c>
      <c r="N1390" t="str">
        <f>_xlfn.XLOOKUP(A1390,[1]!brca_metabric_clinical_data__2[Patient ID], [1]!brca_metabric_clinical_data__2[Tumor Size])</f>
        <v>30</v>
      </c>
      <c r="O1390" t="str">
        <f>_xlfn.XLOOKUP(A1390,[1]!brca_metabric_clinical_data__2[Sample ID],[1]!brca_metabric_clinical_data__2[Tumor Stage])</f>
        <v>2</v>
      </c>
    </row>
    <row r="1391" spans="1:15" x14ac:dyDescent="0.45">
      <c r="A1391" t="s">
        <v>1426</v>
      </c>
      <c r="B1391">
        <v>83.9</v>
      </c>
      <c r="C1391" t="s">
        <v>16</v>
      </c>
      <c r="D1391" t="s">
        <v>17</v>
      </c>
      <c r="E1391" t="s">
        <v>18</v>
      </c>
      <c r="F1391" t="s">
        <v>19</v>
      </c>
      <c r="G1391" t="s">
        <v>20</v>
      </c>
      <c r="H1391" t="s">
        <v>21</v>
      </c>
      <c r="I1391" t="s">
        <v>20</v>
      </c>
      <c r="J1391" t="s">
        <v>27</v>
      </c>
      <c r="K1391">
        <v>8</v>
      </c>
      <c r="L1391">
        <v>113.666666666667</v>
      </c>
      <c r="M1391" t="s">
        <v>30</v>
      </c>
      <c r="N1391" t="str">
        <f>_xlfn.XLOOKUP(A1391,[1]!brca_metabric_clinical_data__2[Patient ID], [1]!brca_metabric_clinical_data__2[Tumor Size])</f>
        <v>75</v>
      </c>
      <c r="O1391" t="str">
        <f>_xlfn.XLOOKUP(A1391,[1]!brca_metabric_clinical_data__2[Sample ID],[1]!brca_metabric_clinical_data__2[Tumor Stage])</f>
        <v>NA</v>
      </c>
    </row>
    <row r="1392" spans="1:15" x14ac:dyDescent="0.45">
      <c r="A1392" t="s">
        <v>1427</v>
      </c>
      <c r="B1392">
        <v>61.05</v>
      </c>
      <c r="C1392" t="s">
        <v>16</v>
      </c>
      <c r="D1392" t="s">
        <v>17</v>
      </c>
      <c r="E1392" t="s">
        <v>18</v>
      </c>
      <c r="F1392" t="s">
        <v>43</v>
      </c>
      <c r="G1392" t="s">
        <v>20</v>
      </c>
      <c r="H1392" t="s">
        <v>21</v>
      </c>
      <c r="I1392" t="s">
        <v>20</v>
      </c>
      <c r="J1392" t="s">
        <v>27</v>
      </c>
      <c r="K1392">
        <v>1</v>
      </c>
      <c r="L1392">
        <v>71.1666666666667</v>
      </c>
      <c r="M1392" t="s">
        <v>30</v>
      </c>
      <c r="N1392" t="str">
        <f>_xlfn.XLOOKUP(A1392,[1]!brca_metabric_clinical_data__2[Patient ID], [1]!brca_metabric_clinical_data__2[Tumor Size])</f>
        <v>13</v>
      </c>
      <c r="O1392" t="str">
        <f>_xlfn.XLOOKUP(A1392,[1]!brca_metabric_clinical_data__2[Sample ID],[1]!brca_metabric_clinical_data__2[Tumor Stage])</f>
        <v>NA</v>
      </c>
    </row>
    <row r="1393" spans="1:15" x14ac:dyDescent="0.45">
      <c r="A1393" t="s">
        <v>1428</v>
      </c>
      <c r="B1393">
        <v>83.32</v>
      </c>
      <c r="C1393" t="s">
        <v>16</v>
      </c>
      <c r="D1393" t="s">
        <v>17</v>
      </c>
      <c r="E1393" t="s">
        <v>18</v>
      </c>
      <c r="F1393" t="s">
        <v>43</v>
      </c>
      <c r="G1393" t="s">
        <v>20</v>
      </c>
      <c r="H1393" t="s">
        <v>21</v>
      </c>
      <c r="I1393" t="s">
        <v>21</v>
      </c>
      <c r="J1393" t="s">
        <v>27</v>
      </c>
      <c r="K1393" t="s">
        <v>23</v>
      </c>
      <c r="L1393">
        <v>148.80000000000001</v>
      </c>
      <c r="M1393" t="s">
        <v>30</v>
      </c>
      <c r="N1393" t="str">
        <f>_xlfn.XLOOKUP(A1393,[1]!brca_metabric_clinical_data__2[Patient ID], [1]!brca_metabric_clinical_data__2[Tumor Size])</f>
        <v>20</v>
      </c>
      <c r="O1393" t="str">
        <f>_xlfn.XLOOKUP(A1393,[1]!brca_metabric_clinical_data__2[Sample ID],[1]!brca_metabric_clinical_data__2[Tumor Stage])</f>
        <v>1</v>
      </c>
    </row>
    <row r="1394" spans="1:15" x14ac:dyDescent="0.45">
      <c r="A1394" t="s">
        <v>1429</v>
      </c>
      <c r="B1394">
        <v>65.86</v>
      </c>
      <c r="C1394" t="s">
        <v>16</v>
      </c>
      <c r="D1394" t="s">
        <v>17</v>
      </c>
      <c r="E1394" t="s">
        <v>18</v>
      </c>
      <c r="F1394" t="s">
        <v>43</v>
      </c>
      <c r="G1394" t="s">
        <v>20</v>
      </c>
      <c r="H1394" t="s">
        <v>21</v>
      </c>
      <c r="I1394" t="s">
        <v>21</v>
      </c>
      <c r="J1394" t="s">
        <v>29</v>
      </c>
      <c r="K1394">
        <v>7</v>
      </c>
      <c r="L1394">
        <v>192.2</v>
      </c>
      <c r="M1394" t="s">
        <v>24</v>
      </c>
      <c r="N1394" t="str">
        <f>_xlfn.XLOOKUP(A1394,[1]!brca_metabric_clinical_data__2[Patient ID], [1]!brca_metabric_clinical_data__2[Tumor Size])</f>
        <v>20</v>
      </c>
      <c r="O1394" t="str">
        <f>_xlfn.XLOOKUP(A1394,[1]!brca_metabric_clinical_data__2[Sample ID],[1]!brca_metabric_clinical_data__2[Tumor Stage])</f>
        <v>1</v>
      </c>
    </row>
    <row r="1395" spans="1:15" x14ac:dyDescent="0.45">
      <c r="A1395" t="s">
        <v>1430</v>
      </c>
      <c r="B1395">
        <v>45.33</v>
      </c>
      <c r="C1395" t="s">
        <v>16</v>
      </c>
      <c r="D1395" t="s">
        <v>26</v>
      </c>
      <c r="E1395" t="s">
        <v>37</v>
      </c>
      <c r="F1395" t="s">
        <v>19</v>
      </c>
      <c r="G1395" t="s">
        <v>21</v>
      </c>
      <c r="H1395" t="s">
        <v>20</v>
      </c>
      <c r="I1395" t="s">
        <v>21</v>
      </c>
      <c r="J1395" t="s">
        <v>58</v>
      </c>
      <c r="K1395">
        <v>10</v>
      </c>
      <c r="L1395">
        <v>45.633333333333297</v>
      </c>
      <c r="M1395" t="s">
        <v>30</v>
      </c>
      <c r="N1395" t="str">
        <f>_xlfn.XLOOKUP(A1395,[1]!brca_metabric_clinical_data__2[Patient ID], [1]!brca_metabric_clinical_data__2[Tumor Size])</f>
        <v>13</v>
      </c>
      <c r="O1395" t="str">
        <f>_xlfn.XLOOKUP(A1395,[1]!brca_metabric_clinical_data__2[Sample ID],[1]!brca_metabric_clinical_data__2[Tumor Stage])</f>
        <v>2</v>
      </c>
    </row>
    <row r="1396" spans="1:15" x14ac:dyDescent="0.45">
      <c r="A1396" t="s">
        <v>1431</v>
      </c>
      <c r="B1396">
        <v>69.8</v>
      </c>
      <c r="C1396" t="s">
        <v>16</v>
      </c>
      <c r="D1396" t="s">
        <v>17</v>
      </c>
      <c r="E1396" t="s">
        <v>18</v>
      </c>
      <c r="F1396" t="s">
        <v>19</v>
      </c>
      <c r="G1396" t="s">
        <v>20</v>
      </c>
      <c r="H1396" t="s">
        <v>20</v>
      </c>
      <c r="I1396" t="s">
        <v>21</v>
      </c>
      <c r="J1396" t="s">
        <v>27</v>
      </c>
      <c r="K1396">
        <v>7</v>
      </c>
      <c r="L1396">
        <v>146.933333333333</v>
      </c>
      <c r="M1396" t="s">
        <v>30</v>
      </c>
      <c r="N1396" t="str">
        <f>_xlfn.XLOOKUP(A1396,[1]!brca_metabric_clinical_data__2[Patient ID], [1]!brca_metabric_clinical_data__2[Tumor Size])</f>
        <v>15</v>
      </c>
      <c r="O1396" t="str">
        <f>_xlfn.XLOOKUP(A1396,[1]!brca_metabric_clinical_data__2[Sample ID],[1]!brca_metabric_clinical_data__2[Tumor Stage])</f>
        <v>1</v>
      </c>
    </row>
    <row r="1397" spans="1:15" x14ac:dyDescent="0.45">
      <c r="A1397" t="s">
        <v>1432</v>
      </c>
      <c r="B1397">
        <v>64.760000000000005</v>
      </c>
      <c r="C1397" t="s">
        <v>16</v>
      </c>
      <c r="D1397" t="s">
        <v>17</v>
      </c>
      <c r="E1397" t="s">
        <v>18</v>
      </c>
      <c r="F1397" t="s">
        <v>19</v>
      </c>
      <c r="G1397" t="s">
        <v>20</v>
      </c>
      <c r="H1397" t="s">
        <v>21</v>
      </c>
      <c r="I1397" t="s">
        <v>21</v>
      </c>
      <c r="J1397" t="s">
        <v>27</v>
      </c>
      <c r="K1397">
        <v>7</v>
      </c>
      <c r="L1397">
        <v>124.76666666666701</v>
      </c>
      <c r="M1397" t="s">
        <v>30</v>
      </c>
      <c r="N1397" t="str">
        <f>_xlfn.XLOOKUP(A1397,[1]!brca_metabric_clinical_data__2[Patient ID], [1]!brca_metabric_clinical_data__2[Tumor Size])</f>
        <v>31</v>
      </c>
      <c r="O1397" t="str">
        <f>_xlfn.XLOOKUP(A1397,[1]!brca_metabric_clinical_data__2[Sample ID],[1]!brca_metabric_clinical_data__2[Tumor Stage])</f>
        <v>2</v>
      </c>
    </row>
    <row r="1398" spans="1:15" x14ac:dyDescent="0.45">
      <c r="A1398" t="s">
        <v>1433</v>
      </c>
      <c r="B1398">
        <v>37.270000000000003</v>
      </c>
      <c r="C1398" t="s">
        <v>16</v>
      </c>
      <c r="D1398" t="s">
        <v>26</v>
      </c>
      <c r="E1398" t="s">
        <v>37</v>
      </c>
      <c r="F1398" t="s">
        <v>19</v>
      </c>
      <c r="G1398" t="s">
        <v>21</v>
      </c>
      <c r="H1398" t="s">
        <v>21</v>
      </c>
      <c r="I1398" t="s">
        <v>21</v>
      </c>
      <c r="J1398" t="s">
        <v>58</v>
      </c>
      <c r="K1398">
        <v>10</v>
      </c>
      <c r="L1398">
        <v>30.933333333333302</v>
      </c>
      <c r="M1398" t="s">
        <v>30</v>
      </c>
      <c r="N1398" t="str">
        <f>_xlfn.XLOOKUP(A1398,[1]!brca_metabric_clinical_data__2[Patient ID], [1]!brca_metabric_clinical_data__2[Tumor Size])</f>
        <v>13</v>
      </c>
      <c r="O1398" t="str">
        <f>_xlfn.XLOOKUP(A1398,[1]!brca_metabric_clinical_data__2[Sample ID],[1]!brca_metabric_clinical_data__2[Tumor Stage])</f>
        <v>3</v>
      </c>
    </row>
    <row r="1399" spans="1:15" x14ac:dyDescent="0.45">
      <c r="A1399" t="s">
        <v>1434</v>
      </c>
      <c r="B1399">
        <v>57.34</v>
      </c>
      <c r="C1399" t="s">
        <v>16</v>
      </c>
      <c r="D1399" t="s">
        <v>17</v>
      </c>
      <c r="E1399" t="s">
        <v>37</v>
      </c>
      <c r="F1399" t="s">
        <v>19</v>
      </c>
      <c r="G1399" t="s">
        <v>20</v>
      </c>
      <c r="H1399" t="s">
        <v>21</v>
      </c>
      <c r="I1399" t="s">
        <v>20</v>
      </c>
      <c r="J1399" t="s">
        <v>22</v>
      </c>
      <c r="K1399" t="s">
        <v>39</v>
      </c>
      <c r="L1399">
        <v>237.26666666666699</v>
      </c>
      <c r="M1399" t="s">
        <v>24</v>
      </c>
      <c r="N1399" t="str">
        <f>_xlfn.XLOOKUP(A1399,[1]!brca_metabric_clinical_data__2[Patient ID], [1]!brca_metabric_clinical_data__2[Tumor Size])</f>
        <v>14</v>
      </c>
      <c r="O1399" t="str">
        <f>_xlfn.XLOOKUP(A1399,[1]!brca_metabric_clinical_data__2[Sample ID],[1]!brca_metabric_clinical_data__2[Tumor Stage])</f>
        <v>1</v>
      </c>
    </row>
    <row r="1400" spans="1:15" x14ac:dyDescent="0.45">
      <c r="A1400" t="s">
        <v>1435</v>
      </c>
      <c r="B1400">
        <v>82.72</v>
      </c>
      <c r="C1400" t="s">
        <v>16</v>
      </c>
      <c r="D1400" t="s">
        <v>17</v>
      </c>
      <c r="E1400" t="s">
        <v>18</v>
      </c>
      <c r="F1400" t="s">
        <v>19</v>
      </c>
      <c r="G1400" t="s">
        <v>20</v>
      </c>
      <c r="H1400" t="s">
        <v>20</v>
      </c>
      <c r="I1400" t="s">
        <v>20</v>
      </c>
      <c r="J1400" t="s">
        <v>29</v>
      </c>
      <c r="K1400">
        <v>7</v>
      </c>
      <c r="L1400">
        <v>154</v>
      </c>
      <c r="M1400" t="s">
        <v>30</v>
      </c>
      <c r="N1400" t="str">
        <f>_xlfn.XLOOKUP(A1400,[1]!brca_metabric_clinical_data__2[Patient ID], [1]!brca_metabric_clinical_data__2[Tumor Size])</f>
        <v>22</v>
      </c>
      <c r="O1400" t="str">
        <f>_xlfn.XLOOKUP(A1400,[1]!brca_metabric_clinical_data__2[Sample ID],[1]!brca_metabric_clinical_data__2[Tumor Stage])</f>
        <v>2</v>
      </c>
    </row>
    <row r="1401" spans="1:15" x14ac:dyDescent="0.45">
      <c r="A1401" t="s">
        <v>1436</v>
      </c>
      <c r="B1401">
        <v>72.180000000000007</v>
      </c>
      <c r="C1401" t="s">
        <v>16</v>
      </c>
      <c r="D1401" t="s">
        <v>17</v>
      </c>
      <c r="E1401" t="s">
        <v>18</v>
      </c>
      <c r="F1401" t="s">
        <v>43</v>
      </c>
      <c r="G1401" t="s">
        <v>20</v>
      </c>
      <c r="H1401" t="s">
        <v>21</v>
      </c>
      <c r="I1401" t="s">
        <v>21</v>
      </c>
      <c r="J1401" t="s">
        <v>45</v>
      </c>
      <c r="K1401">
        <v>1</v>
      </c>
      <c r="L1401">
        <v>193.6</v>
      </c>
      <c r="M1401" t="s">
        <v>24</v>
      </c>
      <c r="N1401" t="str">
        <f>_xlfn.XLOOKUP(A1401,[1]!brca_metabric_clinical_data__2[Patient ID], [1]!brca_metabric_clinical_data__2[Tumor Size])</f>
        <v>28</v>
      </c>
      <c r="O1401" t="str">
        <f>_xlfn.XLOOKUP(A1401,[1]!brca_metabric_clinical_data__2[Sample ID],[1]!brca_metabric_clinical_data__2[Tumor Stage])</f>
        <v>3</v>
      </c>
    </row>
    <row r="1402" spans="1:15" x14ac:dyDescent="0.45">
      <c r="A1402" t="s">
        <v>1437</v>
      </c>
      <c r="B1402">
        <v>71.510000000000005</v>
      </c>
      <c r="C1402" t="s">
        <v>16</v>
      </c>
      <c r="D1402" t="s">
        <v>17</v>
      </c>
      <c r="E1402" t="s">
        <v>18</v>
      </c>
      <c r="F1402" t="s">
        <v>19</v>
      </c>
      <c r="G1402" t="s">
        <v>20</v>
      </c>
      <c r="H1402" t="s">
        <v>20</v>
      </c>
      <c r="I1402" t="s">
        <v>21</v>
      </c>
      <c r="J1402" t="s">
        <v>27</v>
      </c>
      <c r="K1402">
        <v>3</v>
      </c>
      <c r="L1402">
        <v>165.166666666667</v>
      </c>
      <c r="M1402" t="s">
        <v>24</v>
      </c>
      <c r="N1402" t="str">
        <f>_xlfn.XLOOKUP(A1402,[1]!brca_metabric_clinical_data__2[Patient ID], [1]!brca_metabric_clinical_data__2[Tumor Size])</f>
        <v>14</v>
      </c>
      <c r="O1402" t="str">
        <f>_xlfn.XLOOKUP(A1402,[1]!brca_metabric_clinical_data__2[Sample ID],[1]!brca_metabric_clinical_data__2[Tumor Stage])</f>
        <v>1</v>
      </c>
    </row>
    <row r="1403" spans="1:15" x14ac:dyDescent="0.45">
      <c r="A1403" t="s">
        <v>1438</v>
      </c>
      <c r="B1403">
        <v>61.84</v>
      </c>
      <c r="C1403" t="s">
        <v>16</v>
      </c>
      <c r="D1403" t="s">
        <v>17</v>
      </c>
      <c r="E1403" t="s">
        <v>18</v>
      </c>
      <c r="F1403" t="s">
        <v>19</v>
      </c>
      <c r="G1403" t="s">
        <v>20</v>
      </c>
      <c r="H1403" t="s">
        <v>21</v>
      </c>
      <c r="I1403" t="s">
        <v>21</v>
      </c>
      <c r="J1403" t="s">
        <v>29</v>
      </c>
      <c r="K1403">
        <v>9</v>
      </c>
      <c r="L1403">
        <v>165.666666666667</v>
      </c>
      <c r="M1403" t="s">
        <v>24</v>
      </c>
      <c r="N1403" t="str">
        <f>_xlfn.XLOOKUP(A1403,[1]!brca_metabric_clinical_data__2[Patient ID], [1]!brca_metabric_clinical_data__2[Tumor Size])</f>
        <v>14</v>
      </c>
      <c r="O1403" t="str">
        <f>_xlfn.XLOOKUP(A1403,[1]!brca_metabric_clinical_data__2[Sample ID],[1]!brca_metabric_clinical_data__2[Tumor Stage])</f>
        <v>1</v>
      </c>
    </row>
    <row r="1404" spans="1:15" x14ac:dyDescent="0.45">
      <c r="A1404" t="s">
        <v>1439</v>
      </c>
      <c r="B1404">
        <v>61.16</v>
      </c>
      <c r="C1404" t="s">
        <v>16</v>
      </c>
      <c r="D1404" t="s">
        <v>17</v>
      </c>
      <c r="E1404" t="s">
        <v>18</v>
      </c>
      <c r="F1404" t="s">
        <v>19</v>
      </c>
      <c r="G1404" t="s">
        <v>20</v>
      </c>
      <c r="H1404" t="s">
        <v>21</v>
      </c>
      <c r="I1404" t="s">
        <v>20</v>
      </c>
      <c r="J1404" t="s">
        <v>27</v>
      </c>
      <c r="K1404">
        <v>3</v>
      </c>
      <c r="L1404">
        <v>172.86666666666699</v>
      </c>
      <c r="M1404" t="s">
        <v>30</v>
      </c>
      <c r="N1404" t="str">
        <f>_xlfn.XLOOKUP(A1404,[1]!brca_metabric_clinical_data__2[Patient ID], [1]!brca_metabric_clinical_data__2[Tumor Size])</f>
        <v>50</v>
      </c>
      <c r="O1404" t="str">
        <f>_xlfn.XLOOKUP(A1404,[1]!brca_metabric_clinical_data__2[Sample ID],[1]!brca_metabric_clinical_data__2[Tumor Stage])</f>
        <v>NA</v>
      </c>
    </row>
    <row r="1405" spans="1:15" x14ac:dyDescent="0.45">
      <c r="A1405" t="s">
        <v>1440</v>
      </c>
      <c r="B1405">
        <v>71.010000000000005</v>
      </c>
      <c r="C1405" t="s">
        <v>16</v>
      </c>
      <c r="D1405" t="s">
        <v>17</v>
      </c>
      <c r="E1405" t="s">
        <v>18</v>
      </c>
      <c r="F1405" t="s">
        <v>19</v>
      </c>
      <c r="G1405" t="s">
        <v>20</v>
      </c>
      <c r="H1405" t="s">
        <v>21</v>
      </c>
      <c r="I1405" t="s">
        <v>21</v>
      </c>
      <c r="J1405" t="s">
        <v>27</v>
      </c>
      <c r="K1405" t="s">
        <v>23</v>
      </c>
      <c r="L1405">
        <v>213</v>
      </c>
      <c r="M1405" t="s">
        <v>24</v>
      </c>
      <c r="N1405" t="str">
        <f>_xlfn.XLOOKUP(A1405,[1]!brca_metabric_clinical_data__2[Patient ID], [1]!brca_metabric_clinical_data__2[Tumor Size])</f>
        <v>20</v>
      </c>
      <c r="O1405" t="str">
        <f>_xlfn.XLOOKUP(A1405,[1]!brca_metabric_clinical_data__2[Sample ID],[1]!brca_metabric_clinical_data__2[Tumor Stage])</f>
        <v>2</v>
      </c>
    </row>
    <row r="1406" spans="1:15" x14ac:dyDescent="0.45">
      <c r="A1406" t="s">
        <v>1441</v>
      </c>
      <c r="B1406">
        <v>73.099999999999994</v>
      </c>
      <c r="C1406" t="s">
        <v>16</v>
      </c>
      <c r="D1406" t="s">
        <v>17</v>
      </c>
      <c r="E1406" t="s">
        <v>18</v>
      </c>
      <c r="F1406" t="s">
        <v>19</v>
      </c>
      <c r="G1406" t="s">
        <v>20</v>
      </c>
      <c r="H1406" t="s">
        <v>21</v>
      </c>
      <c r="I1406" t="s">
        <v>20</v>
      </c>
      <c r="J1406" t="s">
        <v>27</v>
      </c>
      <c r="K1406">
        <v>3</v>
      </c>
      <c r="L1406">
        <v>106.8</v>
      </c>
      <c r="M1406" t="s">
        <v>30</v>
      </c>
      <c r="N1406" t="str">
        <f>_xlfn.XLOOKUP(A1406,[1]!brca_metabric_clinical_data__2[Patient ID], [1]!brca_metabric_clinical_data__2[Tumor Size])</f>
        <v>22</v>
      </c>
      <c r="O1406" t="str">
        <f>_xlfn.XLOOKUP(A1406,[1]!brca_metabric_clinical_data__2[Sample ID],[1]!brca_metabric_clinical_data__2[Tumor Stage])</f>
        <v>2</v>
      </c>
    </row>
    <row r="1407" spans="1:15" x14ac:dyDescent="0.45">
      <c r="A1407" t="s">
        <v>1442</v>
      </c>
      <c r="B1407">
        <v>75.42</v>
      </c>
      <c r="C1407" t="s">
        <v>16</v>
      </c>
      <c r="D1407" t="s">
        <v>17</v>
      </c>
      <c r="E1407" t="s">
        <v>18</v>
      </c>
      <c r="F1407" t="s">
        <v>19</v>
      </c>
      <c r="G1407" t="s">
        <v>20</v>
      </c>
      <c r="H1407" t="s">
        <v>21</v>
      </c>
      <c r="I1407" t="s">
        <v>20</v>
      </c>
      <c r="J1407" t="s">
        <v>27</v>
      </c>
      <c r="K1407">
        <v>7</v>
      </c>
      <c r="L1407">
        <v>70.1666666666667</v>
      </c>
      <c r="M1407" t="s">
        <v>24</v>
      </c>
      <c r="N1407" t="str">
        <f>_xlfn.XLOOKUP(A1407,[1]!brca_metabric_clinical_data__2[Patient ID], [1]!brca_metabric_clinical_data__2[Tumor Size])</f>
        <v>12</v>
      </c>
      <c r="O1407" t="str">
        <f>_xlfn.XLOOKUP(A1407,[1]!brca_metabric_clinical_data__2[Sample ID],[1]!brca_metabric_clinical_data__2[Tumor Stage])</f>
        <v>1</v>
      </c>
    </row>
    <row r="1408" spans="1:15" x14ac:dyDescent="0.45">
      <c r="A1408" t="s">
        <v>1443</v>
      </c>
      <c r="B1408">
        <v>81.760000000000005</v>
      </c>
      <c r="C1408" t="s">
        <v>16</v>
      </c>
      <c r="D1408" t="s">
        <v>17</v>
      </c>
      <c r="E1408" t="s">
        <v>18</v>
      </c>
      <c r="F1408" t="s">
        <v>43</v>
      </c>
      <c r="G1408" t="s">
        <v>20</v>
      </c>
      <c r="H1408" t="s">
        <v>20</v>
      </c>
      <c r="I1408" t="s">
        <v>20</v>
      </c>
      <c r="J1408" t="s">
        <v>27</v>
      </c>
      <c r="K1408">
        <v>7</v>
      </c>
      <c r="L1408">
        <v>107.76666666666701</v>
      </c>
      <c r="M1408" t="s">
        <v>30</v>
      </c>
      <c r="N1408" t="str">
        <f>_xlfn.XLOOKUP(A1408,[1]!brca_metabric_clinical_data__2[Patient ID], [1]!brca_metabric_clinical_data__2[Tumor Size])</f>
        <v>16</v>
      </c>
      <c r="O1408" t="str">
        <f>_xlfn.XLOOKUP(A1408,[1]!brca_metabric_clinical_data__2[Sample ID],[1]!brca_metabric_clinical_data__2[Tumor Stage])</f>
        <v>1</v>
      </c>
    </row>
    <row r="1409" spans="1:15" x14ac:dyDescent="0.45">
      <c r="A1409" t="s">
        <v>1444</v>
      </c>
      <c r="B1409">
        <v>85.94</v>
      </c>
      <c r="C1409" t="s">
        <v>16</v>
      </c>
      <c r="D1409" t="s">
        <v>17</v>
      </c>
      <c r="E1409" t="s">
        <v>18</v>
      </c>
      <c r="F1409" t="s">
        <v>19</v>
      </c>
      <c r="G1409" t="s">
        <v>20</v>
      </c>
      <c r="H1409" t="s">
        <v>21</v>
      </c>
      <c r="I1409" t="s">
        <v>20</v>
      </c>
      <c r="J1409" t="s">
        <v>27</v>
      </c>
      <c r="K1409">
        <v>8</v>
      </c>
      <c r="L1409">
        <v>95.733333333333306</v>
      </c>
      <c r="M1409" t="s">
        <v>30</v>
      </c>
      <c r="N1409" t="str">
        <f>_xlfn.XLOOKUP(A1409,[1]!brca_metabric_clinical_data__2[Patient ID], [1]!brca_metabric_clinical_data__2[Tumor Size])</f>
        <v>25</v>
      </c>
      <c r="O1409" t="str">
        <f>_xlfn.XLOOKUP(A1409,[1]!brca_metabric_clinical_data__2[Sample ID],[1]!brca_metabric_clinical_data__2[Tumor Stage])</f>
        <v>2</v>
      </c>
    </row>
    <row r="1410" spans="1:15" x14ac:dyDescent="0.45">
      <c r="A1410" t="s">
        <v>1445</v>
      </c>
      <c r="B1410">
        <v>81.569999999999993</v>
      </c>
      <c r="C1410" t="s">
        <v>16</v>
      </c>
      <c r="D1410" t="s">
        <v>17</v>
      </c>
      <c r="E1410" t="s">
        <v>18</v>
      </c>
      <c r="F1410" t="s">
        <v>19</v>
      </c>
      <c r="G1410" t="s">
        <v>20</v>
      </c>
      <c r="H1410" t="s">
        <v>21</v>
      </c>
      <c r="I1410" t="s">
        <v>20</v>
      </c>
      <c r="J1410" t="s">
        <v>27</v>
      </c>
      <c r="K1410">
        <v>8</v>
      </c>
      <c r="L1410">
        <v>74.733333333333306</v>
      </c>
      <c r="M1410" t="s">
        <v>30</v>
      </c>
      <c r="N1410" t="str">
        <f>_xlfn.XLOOKUP(A1410,[1]!brca_metabric_clinical_data__2[Patient ID], [1]!brca_metabric_clinical_data__2[Tumor Size])</f>
        <v>35</v>
      </c>
      <c r="O1410" t="str">
        <f>_xlfn.XLOOKUP(A1410,[1]!brca_metabric_clinical_data__2[Sample ID],[1]!brca_metabric_clinical_data__2[Tumor Stage])</f>
        <v>2</v>
      </c>
    </row>
    <row r="1411" spans="1:15" x14ac:dyDescent="0.45">
      <c r="A1411" t="s">
        <v>1446</v>
      </c>
      <c r="B1411">
        <v>64.430000000000007</v>
      </c>
      <c r="C1411" t="s">
        <v>16</v>
      </c>
      <c r="D1411" t="s">
        <v>17</v>
      </c>
      <c r="E1411" t="s">
        <v>18</v>
      </c>
      <c r="F1411" t="s">
        <v>19</v>
      </c>
      <c r="G1411" t="s">
        <v>20</v>
      </c>
      <c r="H1411" t="s">
        <v>21</v>
      </c>
      <c r="I1411" t="s">
        <v>21</v>
      </c>
      <c r="J1411" t="s">
        <v>22</v>
      </c>
      <c r="K1411">
        <v>3</v>
      </c>
      <c r="L1411">
        <v>117.6</v>
      </c>
      <c r="M1411" t="s">
        <v>24</v>
      </c>
      <c r="N1411" t="str">
        <f>_xlfn.XLOOKUP(A1411,[1]!brca_metabric_clinical_data__2[Patient ID], [1]!brca_metabric_clinical_data__2[Tumor Size])</f>
        <v>25</v>
      </c>
      <c r="O1411" t="str">
        <f>_xlfn.XLOOKUP(A1411,[1]!brca_metabric_clinical_data__2[Sample ID],[1]!brca_metabric_clinical_data__2[Tumor Stage])</f>
        <v>2</v>
      </c>
    </row>
    <row r="1412" spans="1:15" x14ac:dyDescent="0.45">
      <c r="A1412" t="s">
        <v>1447</v>
      </c>
      <c r="B1412">
        <v>80.48</v>
      </c>
      <c r="C1412" t="s">
        <v>16</v>
      </c>
      <c r="D1412" t="s">
        <v>17</v>
      </c>
      <c r="E1412" t="s">
        <v>18</v>
      </c>
      <c r="F1412" t="s">
        <v>19</v>
      </c>
      <c r="G1412" t="s">
        <v>20</v>
      </c>
      <c r="H1412" t="s">
        <v>21</v>
      </c>
      <c r="I1412" t="s">
        <v>21</v>
      </c>
      <c r="J1412" t="s">
        <v>29</v>
      </c>
      <c r="K1412">
        <v>9</v>
      </c>
      <c r="L1412">
        <v>97.433333333333294</v>
      </c>
      <c r="M1412" t="s">
        <v>30</v>
      </c>
      <c r="N1412" t="str">
        <f>_xlfn.XLOOKUP(A1412,[1]!brca_metabric_clinical_data__2[Patient ID], [1]!brca_metabric_clinical_data__2[Tumor Size])</f>
        <v>30</v>
      </c>
      <c r="O1412" t="str">
        <f>_xlfn.XLOOKUP(A1412,[1]!brca_metabric_clinical_data__2[Sample ID],[1]!brca_metabric_clinical_data__2[Tumor Stage])</f>
        <v>2</v>
      </c>
    </row>
    <row r="1413" spans="1:15" x14ac:dyDescent="0.45">
      <c r="A1413" t="s">
        <v>1448</v>
      </c>
      <c r="B1413">
        <v>36.03</v>
      </c>
      <c r="C1413" t="s">
        <v>16</v>
      </c>
      <c r="D1413" t="s">
        <v>26</v>
      </c>
      <c r="E1413" t="s">
        <v>18</v>
      </c>
      <c r="F1413" t="s">
        <v>43</v>
      </c>
      <c r="G1413" t="s">
        <v>20</v>
      </c>
      <c r="H1413" t="s">
        <v>20</v>
      </c>
      <c r="I1413" t="s">
        <v>21</v>
      </c>
      <c r="J1413" t="s">
        <v>27</v>
      </c>
      <c r="K1413">
        <v>8</v>
      </c>
      <c r="L1413">
        <v>205.6</v>
      </c>
      <c r="M1413" t="s">
        <v>24</v>
      </c>
      <c r="N1413" t="str">
        <f>_xlfn.XLOOKUP(A1413,[1]!brca_metabric_clinical_data__2[Patient ID], [1]!brca_metabric_clinical_data__2[Tumor Size])</f>
        <v>1</v>
      </c>
      <c r="O1413" t="str">
        <f>_xlfn.XLOOKUP(A1413,[1]!brca_metabric_clinical_data__2[Sample ID],[1]!brca_metabric_clinical_data__2[Tumor Stage])</f>
        <v>1</v>
      </c>
    </row>
    <row r="1414" spans="1:15" x14ac:dyDescent="0.45">
      <c r="A1414" t="s">
        <v>1449</v>
      </c>
      <c r="B1414">
        <v>65.48</v>
      </c>
      <c r="C1414" t="s">
        <v>16</v>
      </c>
      <c r="D1414" t="s">
        <v>17</v>
      </c>
      <c r="E1414" t="s">
        <v>18</v>
      </c>
      <c r="F1414" t="s">
        <v>43</v>
      </c>
      <c r="G1414" t="s">
        <v>20</v>
      </c>
      <c r="H1414" t="s">
        <v>20</v>
      </c>
      <c r="I1414" t="s">
        <v>21</v>
      </c>
      <c r="J1414" t="s">
        <v>22</v>
      </c>
      <c r="K1414" t="s">
        <v>23</v>
      </c>
      <c r="L1414">
        <v>101.4</v>
      </c>
      <c r="M1414" t="s">
        <v>24</v>
      </c>
      <c r="N1414" t="str">
        <f>_xlfn.XLOOKUP(A1414,[1]!brca_metabric_clinical_data__2[Patient ID], [1]!brca_metabric_clinical_data__2[Tumor Size])</f>
        <v>16</v>
      </c>
      <c r="O1414" t="str">
        <f>_xlfn.XLOOKUP(A1414,[1]!brca_metabric_clinical_data__2[Sample ID],[1]!brca_metabric_clinical_data__2[Tumor Stage])</f>
        <v>1</v>
      </c>
    </row>
    <row r="1415" spans="1:15" x14ac:dyDescent="0.45">
      <c r="A1415" t="s">
        <v>1450</v>
      </c>
      <c r="B1415">
        <v>51.62</v>
      </c>
      <c r="C1415" t="s">
        <v>16</v>
      </c>
      <c r="D1415" t="s">
        <v>17</v>
      </c>
      <c r="E1415" t="s">
        <v>37</v>
      </c>
      <c r="F1415" t="s">
        <v>43</v>
      </c>
      <c r="G1415" t="s">
        <v>21</v>
      </c>
      <c r="H1415" t="s">
        <v>21</v>
      </c>
      <c r="I1415" t="s">
        <v>21</v>
      </c>
      <c r="J1415" t="s">
        <v>45</v>
      </c>
      <c r="K1415">
        <v>5</v>
      </c>
      <c r="L1415">
        <v>198.13333333333301</v>
      </c>
      <c r="M1415" t="s">
        <v>24</v>
      </c>
      <c r="N1415" t="str">
        <f>_xlfn.XLOOKUP(A1415,[1]!brca_metabric_clinical_data__2[Patient ID], [1]!brca_metabric_clinical_data__2[Tumor Size])</f>
        <v>22</v>
      </c>
      <c r="O1415" t="str">
        <f>_xlfn.XLOOKUP(A1415,[1]!brca_metabric_clinical_data__2[Sample ID],[1]!brca_metabric_clinical_data__2[Tumor Stage])</f>
        <v>2</v>
      </c>
    </row>
    <row r="1416" spans="1:15" x14ac:dyDescent="0.45">
      <c r="A1416" t="s">
        <v>1451</v>
      </c>
      <c r="B1416">
        <v>66.45</v>
      </c>
      <c r="C1416" t="s">
        <v>16</v>
      </c>
      <c r="D1416" t="s">
        <v>17</v>
      </c>
      <c r="E1416" t="s">
        <v>18</v>
      </c>
      <c r="F1416" t="s">
        <v>19</v>
      </c>
      <c r="G1416" t="s">
        <v>20</v>
      </c>
      <c r="H1416" t="s">
        <v>21</v>
      </c>
      <c r="I1416" t="s">
        <v>21</v>
      </c>
      <c r="J1416" t="s">
        <v>27</v>
      </c>
      <c r="K1416">
        <v>8</v>
      </c>
      <c r="L1416">
        <v>202.76666666666699</v>
      </c>
      <c r="M1416" t="s">
        <v>24</v>
      </c>
      <c r="N1416" t="str">
        <f>_xlfn.XLOOKUP(A1416,[1]!brca_metabric_clinical_data__2[Patient ID], [1]!brca_metabric_clinical_data__2[Tumor Size])</f>
        <v>30</v>
      </c>
      <c r="O1416" t="str">
        <f>_xlfn.XLOOKUP(A1416,[1]!brca_metabric_clinical_data__2[Sample ID],[1]!brca_metabric_clinical_data__2[Tumor Stage])</f>
        <v>2</v>
      </c>
    </row>
    <row r="1417" spans="1:15" x14ac:dyDescent="0.45">
      <c r="A1417" t="s">
        <v>1452</v>
      </c>
      <c r="B1417">
        <v>43.61</v>
      </c>
      <c r="C1417" t="s">
        <v>16</v>
      </c>
      <c r="D1417" t="s">
        <v>26</v>
      </c>
      <c r="E1417" t="s">
        <v>37</v>
      </c>
      <c r="F1417" t="s">
        <v>43</v>
      </c>
      <c r="G1417" t="s">
        <v>21</v>
      </c>
      <c r="H1417" t="s">
        <v>20</v>
      </c>
      <c r="I1417" t="s">
        <v>20</v>
      </c>
      <c r="J1417" t="s">
        <v>45</v>
      </c>
      <c r="K1417">
        <v>5</v>
      </c>
      <c r="L1417">
        <v>26</v>
      </c>
      <c r="M1417" t="s">
        <v>30</v>
      </c>
      <c r="N1417" t="str">
        <f>_xlfn.XLOOKUP(A1417,[1]!brca_metabric_clinical_data__2[Patient ID], [1]!brca_metabric_clinical_data__2[Tumor Size])</f>
        <v>18</v>
      </c>
      <c r="O1417" t="str">
        <f>_xlfn.XLOOKUP(A1417,[1]!brca_metabric_clinical_data__2[Sample ID],[1]!brca_metabric_clinical_data__2[Tumor Stage])</f>
        <v>2</v>
      </c>
    </row>
    <row r="1418" spans="1:15" x14ac:dyDescent="0.45">
      <c r="A1418" t="s">
        <v>1453</v>
      </c>
      <c r="B1418">
        <v>51.87</v>
      </c>
      <c r="C1418" t="s">
        <v>16</v>
      </c>
      <c r="D1418" t="s">
        <v>17</v>
      </c>
      <c r="E1418" t="s">
        <v>18</v>
      </c>
      <c r="F1418" t="s">
        <v>19</v>
      </c>
      <c r="G1418" t="s">
        <v>20</v>
      </c>
      <c r="H1418" t="s">
        <v>20</v>
      </c>
      <c r="I1418" t="s">
        <v>21</v>
      </c>
      <c r="J1418" t="s">
        <v>27</v>
      </c>
      <c r="K1418">
        <v>3</v>
      </c>
      <c r="L1418">
        <v>220.23333333333301</v>
      </c>
      <c r="M1418" t="s">
        <v>24</v>
      </c>
      <c r="N1418" t="str">
        <f>_xlfn.XLOOKUP(A1418,[1]!brca_metabric_clinical_data__2[Patient ID], [1]!brca_metabric_clinical_data__2[Tumor Size])</f>
        <v>14</v>
      </c>
      <c r="O1418" t="str">
        <f>_xlfn.XLOOKUP(A1418,[1]!brca_metabric_clinical_data__2[Sample ID],[1]!brca_metabric_clinical_data__2[Tumor Stage])</f>
        <v>1</v>
      </c>
    </row>
    <row r="1419" spans="1:15" x14ac:dyDescent="0.45">
      <c r="A1419" t="s">
        <v>1454</v>
      </c>
      <c r="B1419">
        <v>71.38</v>
      </c>
      <c r="C1419" t="s">
        <v>16</v>
      </c>
      <c r="D1419" t="s">
        <v>17</v>
      </c>
      <c r="E1419" t="s">
        <v>18</v>
      </c>
      <c r="F1419" t="s">
        <v>43</v>
      </c>
      <c r="G1419" t="s">
        <v>20</v>
      </c>
      <c r="H1419" t="s">
        <v>21</v>
      </c>
      <c r="I1419" t="s">
        <v>21</v>
      </c>
      <c r="J1419" t="s">
        <v>27</v>
      </c>
      <c r="K1419">
        <v>7</v>
      </c>
      <c r="L1419">
        <v>157.833333333333</v>
      </c>
      <c r="M1419" t="s">
        <v>30</v>
      </c>
      <c r="N1419" t="str">
        <f>_xlfn.XLOOKUP(A1419,[1]!brca_metabric_clinical_data__2[Patient ID], [1]!brca_metabric_clinical_data__2[Tumor Size])</f>
        <v>15</v>
      </c>
      <c r="O1419" t="str">
        <f>_xlfn.XLOOKUP(A1419,[1]!brca_metabric_clinical_data__2[Sample ID],[1]!brca_metabric_clinical_data__2[Tumor Stage])</f>
        <v>1</v>
      </c>
    </row>
    <row r="1420" spans="1:15" x14ac:dyDescent="0.45">
      <c r="A1420" t="s">
        <v>1455</v>
      </c>
      <c r="B1420">
        <v>61.14</v>
      </c>
      <c r="C1420" t="s">
        <v>16</v>
      </c>
      <c r="D1420" t="s">
        <v>17</v>
      </c>
      <c r="E1420" t="s">
        <v>18</v>
      </c>
      <c r="F1420" t="s">
        <v>43</v>
      </c>
      <c r="G1420" t="s">
        <v>20</v>
      </c>
      <c r="H1420" t="s">
        <v>21</v>
      </c>
      <c r="I1420" t="s">
        <v>21</v>
      </c>
      <c r="J1420" t="s">
        <v>29</v>
      </c>
      <c r="K1420">
        <v>9</v>
      </c>
      <c r="L1420">
        <v>140.6</v>
      </c>
      <c r="M1420" t="s">
        <v>30</v>
      </c>
      <c r="N1420" t="str">
        <f>_xlfn.XLOOKUP(A1420,[1]!brca_metabric_clinical_data__2[Patient ID], [1]!brca_metabric_clinical_data__2[Tumor Size])</f>
        <v>25</v>
      </c>
      <c r="O1420" t="str">
        <f>_xlfn.XLOOKUP(A1420,[1]!brca_metabric_clinical_data__2[Sample ID],[1]!brca_metabric_clinical_data__2[Tumor Stage])</f>
        <v>2</v>
      </c>
    </row>
    <row r="1421" spans="1:15" x14ac:dyDescent="0.45">
      <c r="A1421" t="s">
        <v>1456</v>
      </c>
      <c r="B1421">
        <v>45.8</v>
      </c>
      <c r="C1421" t="s">
        <v>16</v>
      </c>
      <c r="D1421" t="s">
        <v>26</v>
      </c>
      <c r="E1421" t="s">
        <v>37</v>
      </c>
      <c r="F1421" t="s">
        <v>43</v>
      </c>
      <c r="G1421" t="s">
        <v>21</v>
      </c>
      <c r="H1421" t="s">
        <v>20</v>
      </c>
      <c r="I1421" t="s">
        <v>21</v>
      </c>
      <c r="J1421" t="s">
        <v>45</v>
      </c>
      <c r="K1421">
        <v>5</v>
      </c>
      <c r="L1421">
        <v>107.066666666667</v>
      </c>
      <c r="M1421" t="s">
        <v>24</v>
      </c>
      <c r="N1421" t="str">
        <f>_xlfn.XLOOKUP(A1421,[1]!brca_metabric_clinical_data__2[Patient ID], [1]!brca_metabric_clinical_data__2[Tumor Size])</f>
        <v>60</v>
      </c>
      <c r="O1421" t="str">
        <f>_xlfn.XLOOKUP(A1421,[1]!brca_metabric_clinical_data__2[Sample ID],[1]!brca_metabric_clinical_data__2[Tumor Stage])</f>
        <v>3</v>
      </c>
    </row>
    <row r="1422" spans="1:15" x14ac:dyDescent="0.45">
      <c r="A1422" t="s">
        <v>1457</v>
      </c>
      <c r="B1422">
        <v>64.150000000000006</v>
      </c>
      <c r="C1422" t="s">
        <v>16</v>
      </c>
      <c r="D1422" t="s">
        <v>17</v>
      </c>
      <c r="E1422" t="s">
        <v>18</v>
      </c>
      <c r="F1422" t="s">
        <v>43</v>
      </c>
      <c r="G1422" t="s">
        <v>20</v>
      </c>
      <c r="H1422" t="s">
        <v>21</v>
      </c>
      <c r="I1422" t="s">
        <v>20</v>
      </c>
      <c r="J1422" t="s">
        <v>29</v>
      </c>
      <c r="K1422">
        <v>5</v>
      </c>
      <c r="L1422">
        <v>207.166666666667</v>
      </c>
      <c r="M1422" t="s">
        <v>24</v>
      </c>
      <c r="N1422" t="str">
        <f>_xlfn.XLOOKUP(A1422,[1]!brca_metabric_clinical_data__2[Patient ID], [1]!brca_metabric_clinical_data__2[Tumor Size])</f>
        <v>25</v>
      </c>
      <c r="O1422" t="str">
        <f>_xlfn.XLOOKUP(A1422,[1]!brca_metabric_clinical_data__2[Sample ID],[1]!brca_metabric_clinical_data__2[Tumor Stage])</f>
        <v>2</v>
      </c>
    </row>
    <row r="1423" spans="1:15" x14ac:dyDescent="0.45">
      <c r="A1423" t="s">
        <v>1458</v>
      </c>
      <c r="B1423">
        <v>71.489999999999995</v>
      </c>
      <c r="C1423" t="s">
        <v>16</v>
      </c>
      <c r="D1423" t="s">
        <v>17</v>
      </c>
      <c r="E1423" t="s">
        <v>18</v>
      </c>
      <c r="F1423" t="s">
        <v>43</v>
      </c>
      <c r="G1423" t="s">
        <v>20</v>
      </c>
      <c r="H1423" t="s">
        <v>20</v>
      </c>
      <c r="I1423" t="s">
        <v>21</v>
      </c>
      <c r="J1423" t="s">
        <v>58</v>
      </c>
      <c r="K1423">
        <v>5</v>
      </c>
      <c r="L1423">
        <v>193.9</v>
      </c>
      <c r="M1423" t="s">
        <v>24</v>
      </c>
      <c r="N1423" t="str">
        <f>_xlfn.XLOOKUP(A1423,[1]!brca_metabric_clinical_data__2[Patient ID], [1]!brca_metabric_clinical_data__2[Tumor Size])</f>
        <v>20</v>
      </c>
      <c r="O1423" t="str">
        <f>_xlfn.XLOOKUP(A1423,[1]!brca_metabric_clinical_data__2[Sample ID],[1]!brca_metabric_clinical_data__2[Tumor Stage])</f>
        <v>1</v>
      </c>
    </row>
    <row r="1424" spans="1:15" x14ac:dyDescent="0.45">
      <c r="A1424" t="s">
        <v>1459</v>
      </c>
      <c r="B1424">
        <v>68</v>
      </c>
      <c r="C1424" t="s">
        <v>16</v>
      </c>
      <c r="D1424" t="s">
        <v>17</v>
      </c>
      <c r="E1424" t="s">
        <v>37</v>
      </c>
      <c r="F1424" t="s">
        <v>19</v>
      </c>
      <c r="G1424" t="s">
        <v>20</v>
      </c>
      <c r="H1424" t="s">
        <v>20</v>
      </c>
      <c r="I1424" t="s">
        <v>21</v>
      </c>
      <c r="J1424" t="s">
        <v>58</v>
      </c>
      <c r="K1424">
        <v>10</v>
      </c>
      <c r="L1424">
        <v>194.566666666667</v>
      </c>
      <c r="M1424" t="s">
        <v>24</v>
      </c>
      <c r="N1424" t="str">
        <f>_xlfn.XLOOKUP(A1424,[1]!brca_metabric_clinical_data__2[Patient ID], [1]!brca_metabric_clinical_data__2[Tumor Size])</f>
        <v>20</v>
      </c>
      <c r="O1424" t="str">
        <f>_xlfn.XLOOKUP(A1424,[1]!brca_metabric_clinical_data__2[Sample ID],[1]!brca_metabric_clinical_data__2[Tumor Stage])</f>
        <v>1</v>
      </c>
    </row>
    <row r="1425" spans="1:15" x14ac:dyDescent="0.45">
      <c r="A1425" t="s">
        <v>1460</v>
      </c>
      <c r="B1425">
        <v>47.14</v>
      </c>
      <c r="C1425" t="s">
        <v>16</v>
      </c>
      <c r="D1425" t="s">
        <v>26</v>
      </c>
      <c r="E1425" t="s">
        <v>18</v>
      </c>
      <c r="F1425" t="s">
        <v>19</v>
      </c>
      <c r="G1425" t="s">
        <v>20</v>
      </c>
      <c r="H1425" t="s">
        <v>20</v>
      </c>
      <c r="I1425" t="s">
        <v>20</v>
      </c>
      <c r="J1425" t="s">
        <v>27</v>
      </c>
      <c r="K1425">
        <v>6</v>
      </c>
      <c r="L1425">
        <v>46.066666666666698</v>
      </c>
      <c r="M1425" t="s">
        <v>30</v>
      </c>
      <c r="N1425" t="str">
        <f>_xlfn.XLOOKUP(A1425,[1]!brca_metabric_clinical_data__2[Patient ID], [1]!brca_metabric_clinical_data__2[Tumor Size])</f>
        <v>32</v>
      </c>
      <c r="O1425" t="str">
        <f>_xlfn.XLOOKUP(A1425,[1]!brca_metabric_clinical_data__2[Sample ID],[1]!brca_metabric_clinical_data__2[Tumor Stage])</f>
        <v>2</v>
      </c>
    </row>
    <row r="1426" spans="1:15" x14ac:dyDescent="0.45">
      <c r="A1426" t="s">
        <v>1461</v>
      </c>
      <c r="B1426">
        <v>66.42</v>
      </c>
      <c r="C1426" t="s">
        <v>16</v>
      </c>
      <c r="D1426" t="s">
        <v>17</v>
      </c>
      <c r="E1426" t="s">
        <v>18</v>
      </c>
      <c r="F1426" t="s">
        <v>19</v>
      </c>
      <c r="G1426" t="s">
        <v>20</v>
      </c>
      <c r="H1426" t="s">
        <v>20</v>
      </c>
      <c r="I1426" t="s">
        <v>20</v>
      </c>
      <c r="J1426" t="s">
        <v>27</v>
      </c>
      <c r="K1426">
        <v>2</v>
      </c>
      <c r="L1426">
        <v>83.533333333333303</v>
      </c>
      <c r="M1426" t="s">
        <v>30</v>
      </c>
      <c r="N1426" t="str">
        <f>_xlfn.XLOOKUP(A1426,[1]!brca_metabric_clinical_data__2[Patient ID], [1]!brca_metabric_clinical_data__2[Tumor Size])</f>
        <v>13</v>
      </c>
      <c r="O1426" t="str">
        <f>_xlfn.XLOOKUP(A1426,[1]!brca_metabric_clinical_data__2[Sample ID],[1]!brca_metabric_clinical_data__2[Tumor Stage])</f>
        <v>1</v>
      </c>
    </row>
    <row r="1427" spans="1:15" x14ac:dyDescent="0.45">
      <c r="A1427" t="s">
        <v>1462</v>
      </c>
      <c r="B1427">
        <v>67.59</v>
      </c>
      <c r="C1427" t="s">
        <v>16</v>
      </c>
      <c r="D1427" t="s">
        <v>17</v>
      </c>
      <c r="E1427" t="s">
        <v>18</v>
      </c>
      <c r="F1427" t="s">
        <v>19</v>
      </c>
      <c r="G1427" t="s">
        <v>20</v>
      </c>
      <c r="H1427" t="s">
        <v>21</v>
      </c>
      <c r="I1427" t="s">
        <v>20</v>
      </c>
      <c r="J1427" t="s">
        <v>27</v>
      </c>
      <c r="K1427">
        <v>7</v>
      </c>
      <c r="L1427">
        <v>49.466666666666697</v>
      </c>
      <c r="M1427" t="s">
        <v>30</v>
      </c>
      <c r="N1427" t="str">
        <f>_xlfn.XLOOKUP(A1427,[1]!brca_metabric_clinical_data__2[Patient ID], [1]!brca_metabric_clinical_data__2[Tumor Size])</f>
        <v>40</v>
      </c>
      <c r="O1427" t="str">
        <f>_xlfn.XLOOKUP(A1427,[1]!brca_metabric_clinical_data__2[Sample ID],[1]!brca_metabric_clinical_data__2[Tumor Stage])</f>
        <v>2</v>
      </c>
    </row>
    <row r="1428" spans="1:15" x14ac:dyDescent="0.45">
      <c r="A1428" t="s">
        <v>1463</v>
      </c>
      <c r="B1428">
        <v>53.69</v>
      </c>
      <c r="C1428" t="s">
        <v>16</v>
      </c>
      <c r="D1428" t="s">
        <v>17</v>
      </c>
      <c r="E1428" t="s">
        <v>37</v>
      </c>
      <c r="F1428" t="s">
        <v>43</v>
      </c>
      <c r="G1428" t="s">
        <v>21</v>
      </c>
      <c r="H1428" t="s">
        <v>21</v>
      </c>
      <c r="I1428" t="s">
        <v>21</v>
      </c>
      <c r="J1428" t="s">
        <v>58</v>
      </c>
      <c r="K1428">
        <v>10</v>
      </c>
      <c r="L1428">
        <v>34.633333333333297</v>
      </c>
      <c r="M1428" t="s">
        <v>30</v>
      </c>
      <c r="N1428" t="str">
        <f>_xlfn.XLOOKUP(A1428,[1]!brca_metabric_clinical_data__2[Patient ID], [1]!brca_metabric_clinical_data__2[Tumor Size])</f>
        <v>25</v>
      </c>
      <c r="O1428" t="str">
        <f>_xlfn.XLOOKUP(A1428,[1]!brca_metabric_clinical_data__2[Sample ID],[1]!brca_metabric_clinical_data__2[Tumor Stage])</f>
        <v>2</v>
      </c>
    </row>
    <row r="1429" spans="1:15" x14ac:dyDescent="0.45">
      <c r="A1429" t="s">
        <v>1464</v>
      </c>
      <c r="B1429">
        <v>83.68</v>
      </c>
      <c r="C1429" t="s">
        <v>16</v>
      </c>
      <c r="D1429" t="s">
        <v>17</v>
      </c>
      <c r="E1429" t="s">
        <v>37</v>
      </c>
      <c r="F1429" t="s">
        <v>19</v>
      </c>
      <c r="G1429" t="s">
        <v>20</v>
      </c>
      <c r="H1429" t="s">
        <v>21</v>
      </c>
      <c r="I1429" t="s">
        <v>21</v>
      </c>
      <c r="J1429" t="s">
        <v>58</v>
      </c>
      <c r="K1429">
        <v>9</v>
      </c>
      <c r="L1429">
        <v>155.73333333333301</v>
      </c>
      <c r="M1429" t="s">
        <v>30</v>
      </c>
      <c r="N1429" t="str">
        <f>_xlfn.XLOOKUP(A1429,[1]!brca_metabric_clinical_data__2[Patient ID], [1]!brca_metabric_clinical_data__2[Tumor Size])</f>
        <v>25</v>
      </c>
      <c r="O1429" t="str">
        <f>_xlfn.XLOOKUP(A1429,[1]!brca_metabric_clinical_data__2[Sample ID],[1]!brca_metabric_clinical_data__2[Tumor Stage])</f>
        <v>2</v>
      </c>
    </row>
    <row r="1430" spans="1:15" x14ac:dyDescent="0.45">
      <c r="A1430" t="s">
        <v>1465</v>
      </c>
      <c r="B1430">
        <v>55.36</v>
      </c>
      <c r="C1430" t="s">
        <v>16</v>
      </c>
      <c r="D1430" t="s">
        <v>17</v>
      </c>
      <c r="E1430" t="s">
        <v>18</v>
      </c>
      <c r="F1430" t="s">
        <v>19</v>
      </c>
      <c r="G1430" t="s">
        <v>20</v>
      </c>
      <c r="H1430" t="s">
        <v>21</v>
      </c>
      <c r="I1430" t="s">
        <v>21</v>
      </c>
      <c r="J1430" t="s">
        <v>27</v>
      </c>
      <c r="K1430" t="s">
        <v>23</v>
      </c>
      <c r="L1430">
        <v>150.46666666666701</v>
      </c>
      <c r="M1430" t="s">
        <v>24</v>
      </c>
      <c r="N1430" t="str">
        <f>_xlfn.XLOOKUP(A1430,[1]!brca_metabric_clinical_data__2[Patient ID], [1]!brca_metabric_clinical_data__2[Tumor Size])</f>
        <v>15</v>
      </c>
      <c r="O1430" t="str">
        <f>_xlfn.XLOOKUP(A1430,[1]!brca_metabric_clinical_data__2[Sample ID],[1]!brca_metabric_clinical_data__2[Tumor Stage])</f>
        <v>1</v>
      </c>
    </row>
    <row r="1431" spans="1:15" x14ac:dyDescent="0.45">
      <c r="A1431" t="s">
        <v>1466</v>
      </c>
      <c r="B1431">
        <v>86.04</v>
      </c>
      <c r="C1431" t="s">
        <v>16</v>
      </c>
      <c r="D1431" t="s">
        <v>17</v>
      </c>
      <c r="E1431" t="s">
        <v>18</v>
      </c>
      <c r="F1431" t="s">
        <v>19</v>
      </c>
      <c r="G1431" t="s">
        <v>20</v>
      </c>
      <c r="H1431" t="s">
        <v>20</v>
      </c>
      <c r="I1431" t="s">
        <v>20</v>
      </c>
      <c r="J1431" t="s">
        <v>27</v>
      </c>
      <c r="K1431" t="s">
        <v>23</v>
      </c>
      <c r="L1431">
        <v>30.7</v>
      </c>
      <c r="M1431" t="s">
        <v>30</v>
      </c>
      <c r="N1431" t="str">
        <f>_xlfn.XLOOKUP(A1431,[1]!brca_metabric_clinical_data__2[Patient ID], [1]!brca_metabric_clinical_data__2[Tumor Size])</f>
        <v>20</v>
      </c>
      <c r="O1431" t="str">
        <f>_xlfn.XLOOKUP(A1431,[1]!brca_metabric_clinical_data__2[Sample ID],[1]!brca_metabric_clinical_data__2[Tumor Stage])</f>
        <v>1</v>
      </c>
    </row>
    <row r="1432" spans="1:15" x14ac:dyDescent="0.45">
      <c r="A1432" t="s">
        <v>1467</v>
      </c>
      <c r="B1432">
        <v>49.91</v>
      </c>
      <c r="C1432" t="s">
        <v>16</v>
      </c>
      <c r="D1432" t="s">
        <v>26</v>
      </c>
      <c r="E1432" t="s">
        <v>18</v>
      </c>
      <c r="F1432" t="s">
        <v>19</v>
      </c>
      <c r="G1432" t="s">
        <v>20</v>
      </c>
      <c r="H1432" t="s">
        <v>20</v>
      </c>
      <c r="I1432" t="s">
        <v>21</v>
      </c>
      <c r="J1432" t="s">
        <v>22</v>
      </c>
      <c r="K1432" t="s">
        <v>23</v>
      </c>
      <c r="L1432">
        <v>15.866666666666699</v>
      </c>
      <c r="M1432" t="s">
        <v>30</v>
      </c>
      <c r="N1432" t="str">
        <f>_xlfn.XLOOKUP(A1432,[1]!brca_metabric_clinical_data__2[Patient ID], [1]!brca_metabric_clinical_data__2[Tumor Size])</f>
        <v>15</v>
      </c>
      <c r="O1432" t="str">
        <f>_xlfn.XLOOKUP(A1432,[1]!brca_metabric_clinical_data__2[Sample ID],[1]!brca_metabric_clinical_data__2[Tumor Stage])</f>
        <v>1</v>
      </c>
    </row>
    <row r="1433" spans="1:15" x14ac:dyDescent="0.45">
      <c r="A1433" t="s">
        <v>1468</v>
      </c>
      <c r="B1433">
        <v>61</v>
      </c>
      <c r="C1433" t="s">
        <v>16</v>
      </c>
      <c r="D1433" t="s">
        <v>17</v>
      </c>
      <c r="E1433" t="s">
        <v>18</v>
      </c>
      <c r="F1433" t="s">
        <v>19</v>
      </c>
      <c r="G1433" t="s">
        <v>20</v>
      </c>
      <c r="H1433" t="s">
        <v>21</v>
      </c>
      <c r="I1433" t="s">
        <v>21</v>
      </c>
      <c r="J1433" t="s">
        <v>27</v>
      </c>
      <c r="K1433">
        <v>7</v>
      </c>
      <c r="L1433">
        <v>98.5</v>
      </c>
      <c r="M1433" t="s">
        <v>30</v>
      </c>
      <c r="N1433" t="str">
        <f>_xlfn.XLOOKUP(A1433,[1]!brca_metabric_clinical_data__2[Patient ID], [1]!brca_metabric_clinical_data__2[Tumor Size])</f>
        <v>22</v>
      </c>
      <c r="O1433" t="str">
        <f>_xlfn.XLOOKUP(A1433,[1]!brca_metabric_clinical_data__2[Sample ID],[1]!brca_metabric_clinical_data__2[Tumor Stage])</f>
        <v>2</v>
      </c>
    </row>
    <row r="1434" spans="1:15" x14ac:dyDescent="0.45">
      <c r="A1434" t="s">
        <v>1469</v>
      </c>
      <c r="B1434">
        <v>69.37</v>
      </c>
      <c r="C1434" t="s">
        <v>16</v>
      </c>
      <c r="D1434" t="s">
        <v>17</v>
      </c>
      <c r="E1434" t="s">
        <v>18</v>
      </c>
      <c r="F1434" t="s">
        <v>43</v>
      </c>
      <c r="G1434" t="s">
        <v>20</v>
      </c>
      <c r="H1434" t="s">
        <v>21</v>
      </c>
      <c r="I1434" t="s">
        <v>20</v>
      </c>
      <c r="J1434" t="s">
        <v>27</v>
      </c>
      <c r="K1434">
        <v>7</v>
      </c>
      <c r="L1434">
        <v>176.36666666666699</v>
      </c>
      <c r="M1434" t="s">
        <v>30</v>
      </c>
      <c r="N1434" t="str">
        <f>_xlfn.XLOOKUP(A1434,[1]!brca_metabric_clinical_data__2[Patient ID], [1]!brca_metabric_clinical_data__2[Tumor Size])</f>
        <v>30</v>
      </c>
      <c r="O1434" t="str">
        <f>_xlfn.XLOOKUP(A1434,[1]!brca_metabric_clinical_data__2[Sample ID],[1]!brca_metabric_clinical_data__2[Tumor Stage])</f>
        <v>2</v>
      </c>
    </row>
    <row r="1435" spans="1:15" x14ac:dyDescent="0.45">
      <c r="A1435" t="s">
        <v>1470</v>
      </c>
      <c r="B1435">
        <v>71.069999999999993</v>
      </c>
      <c r="C1435" t="s">
        <v>16</v>
      </c>
      <c r="D1435" t="s">
        <v>17</v>
      </c>
      <c r="E1435" t="s">
        <v>18</v>
      </c>
      <c r="F1435" t="s">
        <v>19</v>
      </c>
      <c r="G1435" t="s">
        <v>20</v>
      </c>
      <c r="H1435" t="s">
        <v>21</v>
      </c>
      <c r="I1435" t="s">
        <v>20</v>
      </c>
      <c r="J1435" t="s">
        <v>29</v>
      </c>
      <c r="K1435">
        <v>9</v>
      </c>
      <c r="L1435">
        <v>45.1666666666667</v>
      </c>
      <c r="M1435" t="s">
        <v>30</v>
      </c>
      <c r="N1435" t="str">
        <f>_xlfn.XLOOKUP(A1435,[1]!brca_metabric_clinical_data__2[Patient ID], [1]!brca_metabric_clinical_data__2[Tumor Size])</f>
        <v>55</v>
      </c>
      <c r="O1435" t="str">
        <f>_xlfn.XLOOKUP(A1435,[1]!brca_metabric_clinical_data__2[Sample ID],[1]!brca_metabric_clinical_data__2[Tumor Stage])</f>
        <v>3</v>
      </c>
    </row>
    <row r="1436" spans="1:15" x14ac:dyDescent="0.45">
      <c r="A1436" t="s">
        <v>1471</v>
      </c>
      <c r="B1436">
        <v>77.09</v>
      </c>
      <c r="C1436" t="s">
        <v>16</v>
      </c>
      <c r="D1436" t="s">
        <v>17</v>
      </c>
      <c r="E1436" t="s">
        <v>18</v>
      </c>
      <c r="F1436" t="s">
        <v>19</v>
      </c>
      <c r="G1436" t="s">
        <v>20</v>
      </c>
      <c r="H1436" t="s">
        <v>21</v>
      </c>
      <c r="I1436" t="s">
        <v>20</v>
      </c>
      <c r="J1436" t="s">
        <v>29</v>
      </c>
      <c r="K1436">
        <v>9</v>
      </c>
      <c r="L1436">
        <v>104</v>
      </c>
      <c r="M1436" t="s">
        <v>30</v>
      </c>
      <c r="N1436" t="str">
        <f>_xlfn.XLOOKUP(A1436,[1]!brca_metabric_clinical_data__2[Patient ID], [1]!brca_metabric_clinical_data__2[Tumor Size])</f>
        <v>25</v>
      </c>
      <c r="O1436" t="str">
        <f>_xlfn.XLOOKUP(A1436,[1]!brca_metabric_clinical_data__2[Sample ID],[1]!brca_metabric_clinical_data__2[Tumor Stage])</f>
        <v>2</v>
      </c>
    </row>
    <row r="1437" spans="1:15" x14ac:dyDescent="0.45">
      <c r="A1437" t="s">
        <v>1472</v>
      </c>
      <c r="B1437">
        <v>49.05</v>
      </c>
      <c r="C1437" t="s">
        <v>16</v>
      </c>
      <c r="D1437" t="s">
        <v>26</v>
      </c>
      <c r="E1437" t="s">
        <v>37</v>
      </c>
      <c r="F1437" t="s">
        <v>19</v>
      </c>
      <c r="G1437" t="s">
        <v>21</v>
      </c>
      <c r="H1437" t="s">
        <v>20</v>
      </c>
      <c r="I1437" t="s">
        <v>21</v>
      </c>
      <c r="J1437" t="s">
        <v>22</v>
      </c>
      <c r="K1437">
        <v>10</v>
      </c>
      <c r="L1437">
        <v>196.63333333333301</v>
      </c>
      <c r="M1437" t="s">
        <v>24</v>
      </c>
      <c r="N1437" t="str">
        <f>_xlfn.XLOOKUP(A1437,[1]!brca_metabric_clinical_data__2[Patient ID], [1]!brca_metabric_clinical_data__2[Tumor Size])</f>
        <v>18</v>
      </c>
      <c r="O1437" t="str">
        <f>_xlfn.XLOOKUP(A1437,[1]!brca_metabric_clinical_data__2[Sample ID],[1]!brca_metabric_clinical_data__2[Tumor Stage])</f>
        <v>2</v>
      </c>
    </row>
    <row r="1438" spans="1:15" x14ac:dyDescent="0.45">
      <c r="A1438" t="s">
        <v>1473</v>
      </c>
      <c r="B1438">
        <v>90.08</v>
      </c>
      <c r="C1438" t="s">
        <v>16</v>
      </c>
      <c r="D1438" t="s">
        <v>17</v>
      </c>
      <c r="E1438" t="s">
        <v>37</v>
      </c>
      <c r="F1438" t="s">
        <v>43</v>
      </c>
      <c r="G1438" t="s">
        <v>20</v>
      </c>
      <c r="H1438" t="s">
        <v>21</v>
      </c>
      <c r="I1438" t="s">
        <v>20</v>
      </c>
      <c r="J1438" t="s">
        <v>45</v>
      </c>
      <c r="K1438" t="s">
        <v>39</v>
      </c>
      <c r="L1438">
        <v>9.6999999999999993</v>
      </c>
      <c r="M1438" t="s">
        <v>30</v>
      </c>
      <c r="N1438" t="str">
        <f>_xlfn.XLOOKUP(A1438,[1]!brca_metabric_clinical_data__2[Patient ID], [1]!brca_metabric_clinical_data__2[Tumor Size])</f>
        <v>35</v>
      </c>
      <c r="O1438" t="str">
        <f>_xlfn.XLOOKUP(A1438,[1]!brca_metabric_clinical_data__2[Sample ID],[1]!brca_metabric_clinical_data__2[Tumor Stage])</f>
        <v>3</v>
      </c>
    </row>
    <row r="1439" spans="1:15" x14ac:dyDescent="0.45">
      <c r="A1439" t="s">
        <v>1474</v>
      </c>
      <c r="B1439">
        <v>44.93</v>
      </c>
      <c r="C1439" t="s">
        <v>16</v>
      </c>
      <c r="D1439" t="s">
        <v>26</v>
      </c>
      <c r="E1439" t="s">
        <v>37</v>
      </c>
      <c r="F1439" t="s">
        <v>19</v>
      </c>
      <c r="G1439" t="s">
        <v>21</v>
      </c>
      <c r="H1439" t="s">
        <v>20</v>
      </c>
      <c r="I1439" t="s">
        <v>21</v>
      </c>
      <c r="J1439" t="s">
        <v>58</v>
      </c>
      <c r="K1439">
        <v>10</v>
      </c>
      <c r="L1439">
        <v>205.8</v>
      </c>
      <c r="M1439" t="s">
        <v>24</v>
      </c>
      <c r="N1439" t="str">
        <f>_xlfn.XLOOKUP(A1439,[1]!brca_metabric_clinical_data__2[Patient ID], [1]!brca_metabric_clinical_data__2[Tumor Size])</f>
        <v>35</v>
      </c>
      <c r="O1439" t="str">
        <f>_xlfn.XLOOKUP(A1439,[1]!brca_metabric_clinical_data__2[Sample ID],[1]!brca_metabric_clinical_data__2[Tumor Stage])</f>
        <v>2</v>
      </c>
    </row>
    <row r="1440" spans="1:15" x14ac:dyDescent="0.45">
      <c r="A1440" t="s">
        <v>1475</v>
      </c>
      <c r="B1440">
        <v>49.58</v>
      </c>
      <c r="C1440" t="s">
        <v>16</v>
      </c>
      <c r="D1440" t="s">
        <v>26</v>
      </c>
      <c r="E1440" t="s">
        <v>18</v>
      </c>
      <c r="F1440" t="s">
        <v>19</v>
      </c>
      <c r="G1440" t="s">
        <v>20</v>
      </c>
      <c r="H1440" t="s">
        <v>20</v>
      </c>
      <c r="I1440" t="s">
        <v>21</v>
      </c>
      <c r="J1440" t="s">
        <v>27</v>
      </c>
      <c r="K1440">
        <v>7</v>
      </c>
      <c r="L1440">
        <v>240.433333333333</v>
      </c>
      <c r="M1440" t="s">
        <v>24</v>
      </c>
      <c r="N1440" t="str">
        <f>_xlfn.XLOOKUP(A1440,[1]!brca_metabric_clinical_data__2[Patient ID], [1]!brca_metabric_clinical_data__2[Tumor Size])</f>
        <v>15</v>
      </c>
      <c r="O1440" t="str">
        <f>_xlfn.XLOOKUP(A1440,[1]!brca_metabric_clinical_data__2[Sample ID],[1]!brca_metabric_clinical_data__2[Tumor Stage])</f>
        <v>NA</v>
      </c>
    </row>
    <row r="1441" spans="1:15" x14ac:dyDescent="0.45">
      <c r="A1441" t="s">
        <v>1476</v>
      </c>
      <c r="B1441">
        <v>51.25</v>
      </c>
      <c r="C1441" t="s">
        <v>16</v>
      </c>
      <c r="D1441" t="s">
        <v>17</v>
      </c>
      <c r="E1441" t="s">
        <v>37</v>
      </c>
      <c r="F1441" t="s">
        <v>19</v>
      </c>
      <c r="G1441" t="s">
        <v>21</v>
      </c>
      <c r="H1441" t="s">
        <v>21</v>
      </c>
      <c r="I1441" t="s">
        <v>21</v>
      </c>
      <c r="J1441" t="s">
        <v>45</v>
      </c>
      <c r="K1441" t="s">
        <v>39</v>
      </c>
      <c r="L1441">
        <v>162.833333333333</v>
      </c>
      <c r="M1441" t="s">
        <v>30</v>
      </c>
      <c r="N1441" t="str">
        <f>_xlfn.XLOOKUP(A1441,[1]!brca_metabric_clinical_data__2[Patient ID], [1]!brca_metabric_clinical_data__2[Tumor Size])</f>
        <v>25</v>
      </c>
      <c r="O1441" t="str">
        <f>_xlfn.XLOOKUP(A1441,[1]!brca_metabric_clinical_data__2[Sample ID],[1]!brca_metabric_clinical_data__2[Tumor Stage])</f>
        <v>2</v>
      </c>
    </row>
    <row r="1442" spans="1:15" x14ac:dyDescent="0.45">
      <c r="A1442" t="s">
        <v>1477</v>
      </c>
      <c r="B1442">
        <v>68.099999999999994</v>
      </c>
      <c r="C1442" t="s">
        <v>16</v>
      </c>
      <c r="D1442" t="s">
        <v>17</v>
      </c>
      <c r="E1442" t="s">
        <v>18</v>
      </c>
      <c r="F1442" t="s">
        <v>19</v>
      </c>
      <c r="G1442" t="s">
        <v>20</v>
      </c>
      <c r="H1442" t="s">
        <v>21</v>
      </c>
      <c r="I1442" t="s">
        <v>21</v>
      </c>
      <c r="J1442" t="s">
        <v>29</v>
      </c>
      <c r="K1442">
        <v>6</v>
      </c>
      <c r="L1442">
        <v>148.86666666666699</v>
      </c>
      <c r="M1442" t="s">
        <v>30</v>
      </c>
      <c r="N1442" t="str">
        <f>_xlfn.XLOOKUP(A1442,[1]!brca_metabric_clinical_data__2[Patient ID], [1]!brca_metabric_clinical_data__2[Tumor Size])</f>
        <v>12</v>
      </c>
      <c r="O1442" t="str">
        <f>_xlfn.XLOOKUP(A1442,[1]!brca_metabric_clinical_data__2[Sample ID],[1]!brca_metabric_clinical_data__2[Tumor Stage])</f>
        <v>3</v>
      </c>
    </row>
    <row r="1443" spans="1:15" x14ac:dyDescent="0.45">
      <c r="A1443" t="s">
        <v>1478</v>
      </c>
      <c r="B1443">
        <v>38.92</v>
      </c>
      <c r="C1443" t="s">
        <v>16</v>
      </c>
      <c r="D1443" t="s">
        <v>26</v>
      </c>
      <c r="E1443" t="s">
        <v>37</v>
      </c>
      <c r="F1443" t="s">
        <v>19</v>
      </c>
      <c r="G1443" t="s">
        <v>20</v>
      </c>
      <c r="H1443" t="s">
        <v>20</v>
      </c>
      <c r="I1443" t="s">
        <v>21</v>
      </c>
      <c r="J1443" t="s">
        <v>22</v>
      </c>
      <c r="K1443">
        <v>10</v>
      </c>
      <c r="L1443">
        <v>190.2</v>
      </c>
      <c r="M1443" t="s">
        <v>24</v>
      </c>
      <c r="N1443" t="str">
        <f>_xlfn.XLOOKUP(A1443,[1]!brca_metabric_clinical_data__2[Patient ID], [1]!brca_metabric_clinical_data__2[Tumor Size])</f>
        <v>12</v>
      </c>
      <c r="O1443" t="str">
        <f>_xlfn.XLOOKUP(A1443,[1]!brca_metabric_clinical_data__2[Sample ID],[1]!brca_metabric_clinical_data__2[Tumor Stage])</f>
        <v>1</v>
      </c>
    </row>
    <row r="1444" spans="1:15" x14ac:dyDescent="0.45">
      <c r="A1444" t="s">
        <v>1479</v>
      </c>
      <c r="B1444">
        <v>43.44</v>
      </c>
      <c r="C1444" t="s">
        <v>16</v>
      </c>
      <c r="D1444" t="s">
        <v>26</v>
      </c>
      <c r="E1444" t="s">
        <v>18</v>
      </c>
      <c r="F1444" t="s">
        <v>19</v>
      </c>
      <c r="G1444" t="s">
        <v>20</v>
      </c>
      <c r="H1444" t="s">
        <v>20</v>
      </c>
      <c r="I1444" t="s">
        <v>21</v>
      </c>
      <c r="J1444" t="s">
        <v>27</v>
      </c>
      <c r="K1444">
        <v>8</v>
      </c>
      <c r="L1444">
        <v>189.9</v>
      </c>
      <c r="M1444" t="s">
        <v>24</v>
      </c>
      <c r="N1444" t="str">
        <f>_xlfn.XLOOKUP(A1444,[1]!brca_metabric_clinical_data__2[Patient ID], [1]!brca_metabric_clinical_data__2[Tumor Size])</f>
        <v>15</v>
      </c>
      <c r="O1444" t="str">
        <f>_xlfn.XLOOKUP(A1444,[1]!brca_metabric_clinical_data__2[Sample ID],[1]!brca_metabric_clinical_data__2[Tumor Stage])</f>
        <v>1</v>
      </c>
    </row>
    <row r="1445" spans="1:15" x14ac:dyDescent="0.45">
      <c r="A1445" t="s">
        <v>1480</v>
      </c>
      <c r="B1445">
        <v>66.2</v>
      </c>
      <c r="C1445" t="s">
        <v>16</v>
      </c>
      <c r="D1445" t="s">
        <v>17</v>
      </c>
      <c r="E1445" t="s">
        <v>18</v>
      </c>
      <c r="F1445" t="s">
        <v>19</v>
      </c>
      <c r="G1445" t="s">
        <v>20</v>
      </c>
      <c r="H1445" t="s">
        <v>21</v>
      </c>
      <c r="I1445" t="s">
        <v>21</v>
      </c>
      <c r="J1445" t="s">
        <v>27</v>
      </c>
      <c r="K1445">
        <v>2</v>
      </c>
      <c r="L1445">
        <v>16.1666666666667</v>
      </c>
      <c r="M1445" t="s">
        <v>30</v>
      </c>
      <c r="N1445" t="str">
        <f>_xlfn.XLOOKUP(A1445,[1]!brca_metabric_clinical_data__2[Patient ID], [1]!brca_metabric_clinical_data__2[Tumor Size])</f>
        <v>18</v>
      </c>
      <c r="O1445" t="str">
        <f>_xlfn.XLOOKUP(A1445,[1]!brca_metabric_clinical_data__2[Sample ID],[1]!brca_metabric_clinical_data__2[Tumor Stage])</f>
        <v>2</v>
      </c>
    </row>
    <row r="1446" spans="1:15" x14ac:dyDescent="0.45">
      <c r="A1446" t="s">
        <v>1481</v>
      </c>
      <c r="B1446">
        <v>36.99</v>
      </c>
      <c r="C1446" t="s">
        <v>16</v>
      </c>
      <c r="D1446" t="s">
        <v>26</v>
      </c>
      <c r="E1446" t="s">
        <v>37</v>
      </c>
      <c r="F1446" t="s">
        <v>19</v>
      </c>
      <c r="G1446" t="s">
        <v>21</v>
      </c>
      <c r="H1446" t="s">
        <v>20</v>
      </c>
      <c r="I1446" t="s">
        <v>21</v>
      </c>
      <c r="J1446" t="s">
        <v>38</v>
      </c>
      <c r="K1446" t="s">
        <v>39</v>
      </c>
      <c r="L1446">
        <v>57.3</v>
      </c>
      <c r="M1446" t="s">
        <v>30</v>
      </c>
      <c r="N1446" t="str">
        <f>_xlfn.XLOOKUP(A1446,[1]!brca_metabric_clinical_data__2[Patient ID], [1]!brca_metabric_clinical_data__2[Tumor Size])</f>
        <v>30</v>
      </c>
      <c r="O1446" t="str">
        <f>_xlfn.XLOOKUP(A1446,[1]!brca_metabric_clinical_data__2[Sample ID],[1]!brca_metabric_clinical_data__2[Tumor Stage])</f>
        <v>2</v>
      </c>
    </row>
    <row r="1447" spans="1:15" x14ac:dyDescent="0.45">
      <c r="A1447" t="s">
        <v>1482</v>
      </c>
      <c r="B1447">
        <v>55.57</v>
      </c>
      <c r="C1447" t="s">
        <v>16</v>
      </c>
      <c r="D1447" t="s">
        <v>17</v>
      </c>
      <c r="E1447" t="s">
        <v>18</v>
      </c>
      <c r="F1447" t="s">
        <v>19</v>
      </c>
      <c r="G1447" t="s">
        <v>20</v>
      </c>
      <c r="H1447" t="s">
        <v>21</v>
      </c>
      <c r="I1447" t="s">
        <v>21</v>
      </c>
      <c r="J1447" t="s">
        <v>29</v>
      </c>
      <c r="K1447">
        <v>10</v>
      </c>
      <c r="L1447">
        <v>50.6666666666667</v>
      </c>
      <c r="M1447" t="s">
        <v>30</v>
      </c>
      <c r="N1447" t="str">
        <f>_xlfn.XLOOKUP(A1447,[1]!brca_metabric_clinical_data__2[Patient ID], [1]!brca_metabric_clinical_data__2[Tumor Size])</f>
        <v>30</v>
      </c>
      <c r="O1447" t="str">
        <f>_xlfn.XLOOKUP(A1447,[1]!brca_metabric_clinical_data__2[Sample ID],[1]!brca_metabric_clinical_data__2[Tumor Stage])</f>
        <v>2</v>
      </c>
    </row>
    <row r="1448" spans="1:15" x14ac:dyDescent="0.45">
      <c r="A1448" t="s">
        <v>1483</v>
      </c>
      <c r="B1448">
        <v>73.239999999999995</v>
      </c>
      <c r="C1448" t="s">
        <v>16</v>
      </c>
      <c r="D1448" t="s">
        <v>17</v>
      </c>
      <c r="E1448" t="s">
        <v>18</v>
      </c>
      <c r="F1448" t="s">
        <v>19</v>
      </c>
      <c r="G1448" t="s">
        <v>20</v>
      </c>
      <c r="H1448" t="s">
        <v>21</v>
      </c>
      <c r="I1448" t="s">
        <v>20</v>
      </c>
      <c r="J1448" t="s">
        <v>27</v>
      </c>
      <c r="K1448" t="s">
        <v>23</v>
      </c>
      <c r="L1448">
        <v>61.8</v>
      </c>
      <c r="M1448" t="s">
        <v>30</v>
      </c>
      <c r="N1448" t="str">
        <f>_xlfn.XLOOKUP(A1448,[1]!brca_metabric_clinical_data__2[Patient ID], [1]!brca_metabric_clinical_data__2[Tumor Size])</f>
        <v>10</v>
      </c>
      <c r="O1448" t="str">
        <f>_xlfn.XLOOKUP(A1448,[1]!brca_metabric_clinical_data__2[Sample ID],[1]!brca_metabric_clinical_data__2[Tumor Stage])</f>
        <v>2</v>
      </c>
    </row>
    <row r="1449" spans="1:15" x14ac:dyDescent="0.45">
      <c r="A1449" t="s">
        <v>1484</v>
      </c>
      <c r="B1449">
        <v>52.57</v>
      </c>
      <c r="C1449" t="s">
        <v>16</v>
      </c>
      <c r="D1449" t="s">
        <v>17</v>
      </c>
      <c r="E1449" t="s">
        <v>18</v>
      </c>
      <c r="F1449" t="s">
        <v>19</v>
      </c>
      <c r="G1449" t="s">
        <v>20</v>
      </c>
      <c r="H1449" t="s">
        <v>21</v>
      </c>
      <c r="I1449" t="s">
        <v>20</v>
      </c>
      <c r="J1449" t="s">
        <v>27</v>
      </c>
      <c r="K1449">
        <v>3</v>
      </c>
      <c r="L1449">
        <v>164.566666666667</v>
      </c>
      <c r="M1449" t="s">
        <v>30</v>
      </c>
      <c r="N1449" t="str">
        <f>_xlfn.XLOOKUP(A1449,[1]!brca_metabric_clinical_data__2[Patient ID], [1]!brca_metabric_clinical_data__2[Tumor Size])</f>
        <v>16</v>
      </c>
      <c r="O1449" t="str">
        <f>_xlfn.XLOOKUP(A1449,[1]!brca_metabric_clinical_data__2[Sample ID],[1]!brca_metabric_clinical_data__2[Tumor Stage])</f>
        <v>1</v>
      </c>
    </row>
    <row r="1450" spans="1:15" x14ac:dyDescent="0.45">
      <c r="A1450" t="s">
        <v>1485</v>
      </c>
      <c r="B1450">
        <v>54.96</v>
      </c>
      <c r="C1450" t="s">
        <v>16</v>
      </c>
      <c r="D1450" t="s">
        <v>17</v>
      </c>
      <c r="E1450" t="s">
        <v>37</v>
      </c>
      <c r="F1450" t="s">
        <v>43</v>
      </c>
      <c r="G1450" t="s">
        <v>21</v>
      </c>
      <c r="H1450" t="s">
        <v>20</v>
      </c>
      <c r="I1450" t="s">
        <v>20</v>
      </c>
      <c r="J1450" t="s">
        <v>58</v>
      </c>
      <c r="K1450">
        <v>5</v>
      </c>
      <c r="L1450">
        <v>183.433333333333</v>
      </c>
      <c r="M1450" t="s">
        <v>24</v>
      </c>
      <c r="N1450" t="str">
        <f>_xlfn.XLOOKUP(A1450,[1]!brca_metabric_clinical_data__2[Patient ID], [1]!brca_metabric_clinical_data__2[Tumor Size])</f>
        <v>25</v>
      </c>
      <c r="O1450" t="str">
        <f>_xlfn.XLOOKUP(A1450,[1]!brca_metabric_clinical_data__2[Sample ID],[1]!brca_metabric_clinical_data__2[Tumor Stage])</f>
        <v>2</v>
      </c>
    </row>
    <row r="1451" spans="1:15" x14ac:dyDescent="0.45">
      <c r="A1451" t="s">
        <v>1486</v>
      </c>
      <c r="B1451">
        <v>64.069999999999993</v>
      </c>
      <c r="C1451" t="s">
        <v>16</v>
      </c>
      <c r="D1451" t="s">
        <v>17</v>
      </c>
      <c r="E1451" t="s">
        <v>18</v>
      </c>
      <c r="F1451" t="s">
        <v>43</v>
      </c>
      <c r="G1451" t="s">
        <v>20</v>
      </c>
      <c r="H1451" t="s">
        <v>21</v>
      </c>
      <c r="I1451" t="s">
        <v>21</v>
      </c>
      <c r="J1451" t="s">
        <v>29</v>
      </c>
      <c r="K1451">
        <v>5</v>
      </c>
      <c r="L1451">
        <v>90.8</v>
      </c>
      <c r="M1451" t="s">
        <v>30</v>
      </c>
      <c r="N1451" t="str">
        <f>_xlfn.XLOOKUP(A1451,[1]!brca_metabric_clinical_data__2[Patient ID], [1]!brca_metabric_clinical_data__2[Tumor Size])</f>
        <v>20</v>
      </c>
      <c r="O1451" t="str">
        <f>_xlfn.XLOOKUP(A1451,[1]!brca_metabric_clinical_data__2[Sample ID],[1]!brca_metabric_clinical_data__2[Tumor Stage])</f>
        <v>2</v>
      </c>
    </row>
    <row r="1452" spans="1:15" x14ac:dyDescent="0.45">
      <c r="A1452" t="s">
        <v>1487</v>
      </c>
      <c r="B1452">
        <v>55.59</v>
      </c>
      <c r="C1452" t="s">
        <v>16</v>
      </c>
      <c r="D1452" t="s">
        <v>17</v>
      </c>
      <c r="E1452" t="s">
        <v>18</v>
      </c>
      <c r="F1452" t="s">
        <v>19</v>
      </c>
      <c r="G1452" t="s">
        <v>20</v>
      </c>
      <c r="H1452" t="s">
        <v>20</v>
      </c>
      <c r="I1452" t="s">
        <v>21</v>
      </c>
      <c r="J1452" t="s">
        <v>58</v>
      </c>
      <c r="K1452">
        <v>9</v>
      </c>
      <c r="L1452">
        <v>218.63333333333301</v>
      </c>
      <c r="M1452" t="s">
        <v>24</v>
      </c>
      <c r="N1452" t="str">
        <f>_xlfn.XLOOKUP(A1452,[1]!brca_metabric_clinical_data__2[Patient ID], [1]!brca_metabric_clinical_data__2[Tumor Size])</f>
        <v>5</v>
      </c>
      <c r="O1452" t="str">
        <f>_xlfn.XLOOKUP(A1452,[1]!brca_metabric_clinical_data__2[Sample ID],[1]!brca_metabric_clinical_data__2[Tumor Stage])</f>
        <v>1</v>
      </c>
    </row>
    <row r="1453" spans="1:15" x14ac:dyDescent="0.45">
      <c r="A1453" t="s">
        <v>1488</v>
      </c>
      <c r="B1453">
        <v>71.91</v>
      </c>
      <c r="C1453" t="s">
        <v>16</v>
      </c>
      <c r="D1453" t="s">
        <v>17</v>
      </c>
      <c r="E1453" t="s">
        <v>18</v>
      </c>
      <c r="F1453" t="s">
        <v>19</v>
      </c>
      <c r="G1453" t="s">
        <v>20</v>
      </c>
      <c r="H1453" t="s">
        <v>21</v>
      </c>
      <c r="I1453" t="s">
        <v>21</v>
      </c>
      <c r="J1453" t="s">
        <v>29</v>
      </c>
      <c r="K1453">
        <v>9</v>
      </c>
      <c r="L1453">
        <v>58.133333333333297</v>
      </c>
      <c r="M1453" t="s">
        <v>30</v>
      </c>
      <c r="N1453" t="str">
        <f>_xlfn.XLOOKUP(A1453,[1]!brca_metabric_clinical_data__2[Patient ID], [1]!brca_metabric_clinical_data__2[Tumor Size])</f>
        <v>48</v>
      </c>
      <c r="O1453" t="str">
        <f>_xlfn.XLOOKUP(A1453,[1]!brca_metabric_clinical_data__2[Sample ID],[1]!brca_metabric_clinical_data__2[Tumor Stage])</f>
        <v>2</v>
      </c>
    </row>
    <row r="1454" spans="1:15" x14ac:dyDescent="0.45">
      <c r="A1454" t="s">
        <v>1489</v>
      </c>
      <c r="B1454">
        <v>65.58</v>
      </c>
      <c r="C1454" t="s">
        <v>16</v>
      </c>
      <c r="D1454" t="s">
        <v>17</v>
      </c>
      <c r="E1454" t="s">
        <v>18</v>
      </c>
      <c r="F1454" t="s">
        <v>19</v>
      </c>
      <c r="G1454" t="s">
        <v>20</v>
      </c>
      <c r="H1454" t="s">
        <v>21</v>
      </c>
      <c r="I1454" t="s">
        <v>21</v>
      </c>
      <c r="J1454" t="s">
        <v>27</v>
      </c>
      <c r="K1454" t="s">
        <v>23</v>
      </c>
      <c r="L1454">
        <v>116.533333333333</v>
      </c>
      <c r="M1454" t="s">
        <v>30</v>
      </c>
      <c r="N1454" t="str">
        <f>_xlfn.XLOOKUP(A1454,[1]!brca_metabric_clinical_data__2[Patient ID], [1]!brca_metabric_clinical_data__2[Tumor Size])</f>
        <v>18</v>
      </c>
      <c r="O1454" t="str">
        <f>_xlfn.XLOOKUP(A1454,[1]!brca_metabric_clinical_data__2[Sample ID],[1]!brca_metabric_clinical_data__2[Tumor Stage])</f>
        <v>2</v>
      </c>
    </row>
    <row r="1455" spans="1:15" x14ac:dyDescent="0.45">
      <c r="A1455" t="s">
        <v>1490</v>
      </c>
      <c r="B1455">
        <v>69.83</v>
      </c>
      <c r="C1455" t="s">
        <v>16</v>
      </c>
      <c r="D1455" t="s">
        <v>17</v>
      </c>
      <c r="E1455" t="s">
        <v>37</v>
      </c>
      <c r="F1455" t="s">
        <v>35</v>
      </c>
      <c r="G1455" t="s">
        <v>20</v>
      </c>
      <c r="H1455" t="s">
        <v>21</v>
      </c>
      <c r="I1455" t="s">
        <v>21</v>
      </c>
      <c r="J1455" t="s">
        <v>58</v>
      </c>
      <c r="K1455">
        <v>10</v>
      </c>
      <c r="L1455">
        <v>18.8</v>
      </c>
      <c r="M1455" t="s">
        <v>30</v>
      </c>
      <c r="N1455" t="str">
        <f>_xlfn.XLOOKUP(A1455,[1]!brca_metabric_clinical_data__2[Patient ID], [1]!brca_metabric_clinical_data__2[Tumor Size])</f>
        <v>25</v>
      </c>
      <c r="O1455" t="str">
        <f>_xlfn.XLOOKUP(A1455,[1]!brca_metabric_clinical_data__2[Sample ID],[1]!brca_metabric_clinical_data__2[Tumor Stage])</f>
        <v>2</v>
      </c>
    </row>
    <row r="1456" spans="1:15" x14ac:dyDescent="0.45">
      <c r="A1456" t="s">
        <v>1491</v>
      </c>
      <c r="B1456">
        <v>36.01</v>
      </c>
      <c r="C1456" t="s">
        <v>16</v>
      </c>
      <c r="D1456" t="s">
        <v>26</v>
      </c>
      <c r="E1456" t="s">
        <v>18</v>
      </c>
      <c r="F1456" t="s">
        <v>19</v>
      </c>
      <c r="G1456" t="s">
        <v>20</v>
      </c>
      <c r="H1456" t="s">
        <v>20</v>
      </c>
      <c r="I1456" t="s">
        <v>20</v>
      </c>
      <c r="J1456" t="s">
        <v>38</v>
      </c>
      <c r="K1456">
        <v>7</v>
      </c>
      <c r="L1456">
        <v>186.1</v>
      </c>
      <c r="M1456" t="s">
        <v>24</v>
      </c>
      <c r="N1456" t="str">
        <f>_xlfn.XLOOKUP(A1456,[1]!brca_metabric_clinical_data__2[Patient ID], [1]!brca_metabric_clinical_data__2[Tumor Size])</f>
        <v>10</v>
      </c>
      <c r="O1456" t="str">
        <f>_xlfn.XLOOKUP(A1456,[1]!brca_metabric_clinical_data__2[Sample ID],[1]!brca_metabric_clinical_data__2[Tumor Stage])</f>
        <v>1</v>
      </c>
    </row>
    <row r="1457" spans="1:15" x14ac:dyDescent="0.45">
      <c r="A1457" t="s">
        <v>1492</v>
      </c>
      <c r="B1457">
        <v>48.1</v>
      </c>
      <c r="C1457" t="s">
        <v>16</v>
      </c>
      <c r="D1457" t="s">
        <v>26</v>
      </c>
      <c r="E1457" t="s">
        <v>37</v>
      </c>
      <c r="F1457" t="s">
        <v>43</v>
      </c>
      <c r="G1457" t="s">
        <v>21</v>
      </c>
      <c r="H1457" t="s">
        <v>20</v>
      </c>
      <c r="I1457" t="s">
        <v>21</v>
      </c>
      <c r="J1457" t="s">
        <v>58</v>
      </c>
      <c r="K1457">
        <v>10</v>
      </c>
      <c r="L1457">
        <v>99.366666666666703</v>
      </c>
      <c r="M1457" t="s">
        <v>24</v>
      </c>
      <c r="N1457" t="str">
        <f>_xlfn.XLOOKUP(A1457,[1]!brca_metabric_clinical_data__2[Patient ID], [1]!brca_metabric_clinical_data__2[Tumor Size])</f>
        <v>25</v>
      </c>
      <c r="O1457" t="str">
        <f>_xlfn.XLOOKUP(A1457,[1]!brca_metabric_clinical_data__2[Sample ID],[1]!brca_metabric_clinical_data__2[Tumor Stage])</f>
        <v>2</v>
      </c>
    </row>
    <row r="1458" spans="1:15" x14ac:dyDescent="0.45">
      <c r="A1458" t="s">
        <v>1493</v>
      </c>
      <c r="B1458">
        <v>48.07</v>
      </c>
      <c r="C1458" t="s">
        <v>16</v>
      </c>
      <c r="D1458" t="s">
        <v>26</v>
      </c>
      <c r="E1458" t="s">
        <v>18</v>
      </c>
      <c r="F1458" t="s">
        <v>19</v>
      </c>
      <c r="G1458" t="s">
        <v>20</v>
      </c>
      <c r="H1458" t="s">
        <v>20</v>
      </c>
      <c r="I1458" t="s">
        <v>20</v>
      </c>
      <c r="J1458" t="s">
        <v>58</v>
      </c>
      <c r="K1458">
        <v>9</v>
      </c>
      <c r="L1458">
        <v>42.066666666666698</v>
      </c>
      <c r="M1458" t="s">
        <v>30</v>
      </c>
      <c r="N1458" t="str">
        <f>_xlfn.XLOOKUP(A1458,[1]!brca_metabric_clinical_data__2[Patient ID], [1]!brca_metabric_clinical_data__2[Tumor Size])</f>
        <v>NA</v>
      </c>
      <c r="O1458" t="str">
        <f>_xlfn.XLOOKUP(A1458,[1]!brca_metabric_clinical_data__2[Sample ID],[1]!brca_metabric_clinical_data__2[Tumor Stage])</f>
        <v>NA</v>
      </c>
    </row>
    <row r="1459" spans="1:15" x14ac:dyDescent="0.45">
      <c r="A1459" t="s">
        <v>1494</v>
      </c>
      <c r="B1459">
        <v>67.540000000000006</v>
      </c>
      <c r="C1459" t="s">
        <v>16</v>
      </c>
      <c r="D1459" t="s">
        <v>17</v>
      </c>
      <c r="E1459" t="s">
        <v>18</v>
      </c>
      <c r="F1459" t="s">
        <v>19</v>
      </c>
      <c r="G1459" t="s">
        <v>20</v>
      </c>
      <c r="H1459" t="s">
        <v>20</v>
      </c>
      <c r="I1459" t="s">
        <v>20</v>
      </c>
      <c r="J1459" t="s">
        <v>27</v>
      </c>
      <c r="K1459">
        <v>3</v>
      </c>
      <c r="L1459">
        <v>185.76666666666699</v>
      </c>
      <c r="M1459" t="s">
        <v>24</v>
      </c>
      <c r="N1459" t="str">
        <f>_xlfn.XLOOKUP(A1459,[1]!brca_metabric_clinical_data__2[Patient ID], [1]!brca_metabric_clinical_data__2[Tumor Size])</f>
        <v>13</v>
      </c>
      <c r="O1459" t="str">
        <f>_xlfn.XLOOKUP(A1459,[1]!brca_metabric_clinical_data__2[Sample ID],[1]!brca_metabric_clinical_data__2[Tumor Stage])</f>
        <v>1</v>
      </c>
    </row>
    <row r="1460" spans="1:15" x14ac:dyDescent="0.45">
      <c r="A1460" t="s">
        <v>1495</v>
      </c>
      <c r="B1460">
        <v>74.78</v>
      </c>
      <c r="C1460" t="s">
        <v>16</v>
      </c>
      <c r="D1460" t="s">
        <v>17</v>
      </c>
      <c r="E1460" t="s">
        <v>18</v>
      </c>
      <c r="F1460" t="s">
        <v>19</v>
      </c>
      <c r="G1460" t="s">
        <v>20</v>
      </c>
      <c r="H1460" t="s">
        <v>21</v>
      </c>
      <c r="I1460" t="s">
        <v>21</v>
      </c>
      <c r="J1460" t="s">
        <v>27</v>
      </c>
      <c r="K1460">
        <v>8</v>
      </c>
      <c r="L1460">
        <v>19.566666666666698</v>
      </c>
      <c r="M1460" t="s">
        <v>30</v>
      </c>
      <c r="N1460" t="str">
        <f>_xlfn.XLOOKUP(A1460,[1]!brca_metabric_clinical_data__2[Patient ID], [1]!brca_metabric_clinical_data__2[Tumor Size])</f>
        <v>25</v>
      </c>
      <c r="O1460" t="str">
        <f>_xlfn.XLOOKUP(A1460,[1]!brca_metabric_clinical_data__2[Sample ID],[1]!brca_metabric_clinical_data__2[Tumor Stage])</f>
        <v>NA</v>
      </c>
    </row>
    <row r="1461" spans="1:15" x14ac:dyDescent="0.45">
      <c r="A1461" t="s">
        <v>1496</v>
      </c>
      <c r="B1461">
        <v>72.61</v>
      </c>
      <c r="C1461" t="s">
        <v>16</v>
      </c>
      <c r="D1461" t="s">
        <v>17</v>
      </c>
      <c r="E1461" t="s">
        <v>18</v>
      </c>
      <c r="F1461" t="s">
        <v>19</v>
      </c>
      <c r="G1461" t="s">
        <v>20</v>
      </c>
      <c r="H1461" t="s">
        <v>21</v>
      </c>
      <c r="I1461" t="s">
        <v>21</v>
      </c>
      <c r="J1461" t="s">
        <v>27</v>
      </c>
      <c r="K1461">
        <v>3</v>
      </c>
      <c r="L1461">
        <v>125.9</v>
      </c>
      <c r="M1461" t="s">
        <v>30</v>
      </c>
      <c r="N1461" t="str">
        <f>_xlfn.XLOOKUP(A1461,[1]!brca_metabric_clinical_data__2[Patient ID], [1]!brca_metabric_clinical_data__2[Tumor Size])</f>
        <v>35</v>
      </c>
      <c r="O1461" t="str">
        <f>_xlfn.XLOOKUP(A1461,[1]!brca_metabric_clinical_data__2[Sample ID],[1]!brca_metabric_clinical_data__2[Tumor Stage])</f>
        <v>2</v>
      </c>
    </row>
    <row r="1462" spans="1:15" x14ac:dyDescent="0.45">
      <c r="A1462" t="s">
        <v>1497</v>
      </c>
      <c r="B1462">
        <v>46.26</v>
      </c>
      <c r="C1462" t="s">
        <v>16</v>
      </c>
      <c r="D1462" t="s">
        <v>26</v>
      </c>
      <c r="E1462" t="s">
        <v>37</v>
      </c>
      <c r="F1462" t="s">
        <v>43</v>
      </c>
      <c r="G1462" t="s">
        <v>21</v>
      </c>
      <c r="H1462" t="s">
        <v>20</v>
      </c>
      <c r="I1462" t="s">
        <v>20</v>
      </c>
      <c r="J1462" t="s">
        <v>22</v>
      </c>
      <c r="K1462">
        <v>5</v>
      </c>
      <c r="L1462">
        <v>226.7</v>
      </c>
      <c r="M1462" t="s">
        <v>24</v>
      </c>
      <c r="N1462" t="str">
        <f>_xlfn.XLOOKUP(A1462,[1]!brca_metabric_clinical_data__2[Patient ID], [1]!brca_metabric_clinical_data__2[Tumor Size])</f>
        <v>35</v>
      </c>
      <c r="O1462" t="str">
        <f>_xlfn.XLOOKUP(A1462,[1]!brca_metabric_clinical_data__2[Sample ID],[1]!brca_metabric_clinical_data__2[Tumor Stage])</f>
        <v>2</v>
      </c>
    </row>
    <row r="1463" spans="1:15" x14ac:dyDescent="0.45">
      <c r="A1463" t="s">
        <v>1498</v>
      </c>
      <c r="B1463">
        <v>73.55</v>
      </c>
      <c r="C1463" t="s">
        <v>16</v>
      </c>
      <c r="D1463" t="s">
        <v>17</v>
      </c>
      <c r="E1463" t="s">
        <v>18</v>
      </c>
      <c r="F1463" t="s">
        <v>19</v>
      </c>
      <c r="G1463" t="s">
        <v>20</v>
      </c>
      <c r="H1463" t="s">
        <v>21</v>
      </c>
      <c r="I1463" t="s">
        <v>20</v>
      </c>
      <c r="J1463" t="s">
        <v>29</v>
      </c>
      <c r="K1463">
        <v>2</v>
      </c>
      <c r="L1463">
        <v>2.5333333333333301</v>
      </c>
      <c r="M1463" t="s">
        <v>30</v>
      </c>
      <c r="N1463" t="str">
        <f>_xlfn.XLOOKUP(A1463,[1]!brca_metabric_clinical_data__2[Patient ID], [1]!brca_metabric_clinical_data__2[Tumor Size])</f>
        <v>23</v>
      </c>
      <c r="O1463" t="str">
        <f>_xlfn.XLOOKUP(A1463,[1]!brca_metabric_clinical_data__2[Sample ID],[1]!brca_metabric_clinical_data__2[Tumor Stage])</f>
        <v>2</v>
      </c>
    </row>
    <row r="1464" spans="1:15" x14ac:dyDescent="0.45">
      <c r="A1464" t="s">
        <v>1499</v>
      </c>
      <c r="B1464">
        <v>59.02</v>
      </c>
      <c r="C1464" t="s">
        <v>16</v>
      </c>
      <c r="D1464" t="s">
        <v>17</v>
      </c>
      <c r="E1464" t="s">
        <v>18</v>
      </c>
      <c r="F1464" t="s">
        <v>19</v>
      </c>
      <c r="G1464" t="s">
        <v>20</v>
      </c>
      <c r="H1464" t="s">
        <v>21</v>
      </c>
      <c r="I1464" t="s">
        <v>20</v>
      </c>
      <c r="J1464" t="s">
        <v>29</v>
      </c>
      <c r="K1464">
        <v>3</v>
      </c>
      <c r="L1464">
        <v>110.466666666667</v>
      </c>
      <c r="M1464" t="s">
        <v>24</v>
      </c>
      <c r="N1464" t="str">
        <f>_xlfn.XLOOKUP(A1464,[1]!brca_metabric_clinical_data__2[Patient ID], [1]!brca_metabric_clinical_data__2[Tumor Size])</f>
        <v>35</v>
      </c>
      <c r="O1464" t="str">
        <f>_xlfn.XLOOKUP(A1464,[1]!brca_metabric_clinical_data__2[Sample ID],[1]!brca_metabric_clinical_data__2[Tumor Stage])</f>
        <v>2</v>
      </c>
    </row>
    <row r="1465" spans="1:15" x14ac:dyDescent="0.45">
      <c r="A1465" t="s">
        <v>1500</v>
      </c>
      <c r="B1465">
        <v>72.23</v>
      </c>
      <c r="C1465" t="s">
        <v>16</v>
      </c>
      <c r="D1465" t="s">
        <v>17</v>
      </c>
      <c r="E1465" t="s">
        <v>18</v>
      </c>
      <c r="F1465" t="s">
        <v>19</v>
      </c>
      <c r="G1465" t="s">
        <v>20</v>
      </c>
      <c r="H1465" t="s">
        <v>21</v>
      </c>
      <c r="I1465" t="s">
        <v>21</v>
      </c>
      <c r="J1465" t="s">
        <v>27</v>
      </c>
      <c r="K1465">
        <v>3</v>
      </c>
      <c r="L1465">
        <v>34.299999999999997</v>
      </c>
      <c r="M1465" t="s">
        <v>30</v>
      </c>
      <c r="N1465" t="str">
        <f>_xlfn.XLOOKUP(A1465,[1]!brca_metabric_clinical_data__2[Patient ID], [1]!brca_metabric_clinical_data__2[Tumor Size])</f>
        <v>20</v>
      </c>
      <c r="O1465" t="str">
        <f>_xlfn.XLOOKUP(A1465,[1]!brca_metabric_clinical_data__2[Sample ID],[1]!brca_metabric_clinical_data__2[Tumor Stage])</f>
        <v>3</v>
      </c>
    </row>
    <row r="1466" spans="1:15" x14ac:dyDescent="0.45">
      <c r="A1466" t="s">
        <v>1501</v>
      </c>
      <c r="B1466">
        <v>57.62</v>
      </c>
      <c r="C1466" t="s">
        <v>16</v>
      </c>
      <c r="D1466" t="s">
        <v>17</v>
      </c>
      <c r="E1466" t="s">
        <v>18</v>
      </c>
      <c r="F1466" t="s">
        <v>817</v>
      </c>
      <c r="G1466" t="s">
        <v>20</v>
      </c>
      <c r="H1466" t="s">
        <v>21</v>
      </c>
      <c r="I1466" t="s">
        <v>21</v>
      </c>
      <c r="J1466" t="s">
        <v>29</v>
      </c>
      <c r="K1466">
        <v>6</v>
      </c>
      <c r="L1466">
        <v>46.366666666666703</v>
      </c>
      <c r="M1466" t="s">
        <v>30</v>
      </c>
      <c r="N1466" t="str">
        <f>_xlfn.XLOOKUP(A1466,[1]!brca_metabric_clinical_data__2[Patient ID], [1]!brca_metabric_clinical_data__2[Tumor Size])</f>
        <v>30</v>
      </c>
      <c r="O1466" t="str">
        <f>_xlfn.XLOOKUP(A1466,[1]!brca_metabric_clinical_data__2[Sample ID],[1]!brca_metabric_clinical_data__2[Tumor Stage])</f>
        <v>2</v>
      </c>
    </row>
    <row r="1467" spans="1:15" x14ac:dyDescent="0.45">
      <c r="A1467" t="s">
        <v>1502</v>
      </c>
      <c r="B1467">
        <v>40.75</v>
      </c>
      <c r="C1467" t="s">
        <v>16</v>
      </c>
      <c r="D1467" t="s">
        <v>26</v>
      </c>
      <c r="E1467" t="s">
        <v>37</v>
      </c>
      <c r="F1467" t="s">
        <v>35</v>
      </c>
      <c r="G1467" t="s">
        <v>21</v>
      </c>
      <c r="H1467" t="s">
        <v>20</v>
      </c>
      <c r="I1467" t="s">
        <v>21</v>
      </c>
      <c r="J1467" t="s">
        <v>58</v>
      </c>
      <c r="K1467">
        <v>10</v>
      </c>
      <c r="L1467">
        <v>17.6666666666667</v>
      </c>
      <c r="M1467" t="s">
        <v>30</v>
      </c>
      <c r="N1467" t="str">
        <f>_xlfn.XLOOKUP(A1467,[1]!brca_metabric_clinical_data__2[Patient ID], [1]!brca_metabric_clinical_data__2[Tumor Size])</f>
        <v>16</v>
      </c>
      <c r="O1467" t="str">
        <f>_xlfn.XLOOKUP(A1467,[1]!brca_metabric_clinical_data__2[Sample ID],[1]!brca_metabric_clinical_data__2[Tumor Stage])</f>
        <v>2</v>
      </c>
    </row>
    <row r="1468" spans="1:15" x14ac:dyDescent="0.45">
      <c r="A1468" t="s">
        <v>1503</v>
      </c>
      <c r="B1468">
        <v>44.5</v>
      </c>
      <c r="C1468" t="s">
        <v>16</v>
      </c>
      <c r="D1468" t="s">
        <v>26</v>
      </c>
      <c r="E1468" t="s">
        <v>37</v>
      </c>
      <c r="F1468" t="s">
        <v>43</v>
      </c>
      <c r="G1468" t="s">
        <v>21</v>
      </c>
      <c r="H1468" t="s">
        <v>20</v>
      </c>
      <c r="I1468" t="s">
        <v>21</v>
      </c>
      <c r="J1468" t="s">
        <v>45</v>
      </c>
      <c r="K1468">
        <v>5</v>
      </c>
      <c r="L1468">
        <v>42.433333333333302</v>
      </c>
      <c r="M1468" t="s">
        <v>30</v>
      </c>
      <c r="N1468" t="str">
        <f>_xlfn.XLOOKUP(A1468,[1]!brca_metabric_clinical_data__2[Patient ID], [1]!brca_metabric_clinical_data__2[Tumor Size])</f>
        <v>25</v>
      </c>
      <c r="O1468" t="str">
        <f>_xlfn.XLOOKUP(A1468,[1]!brca_metabric_clinical_data__2[Sample ID],[1]!brca_metabric_clinical_data__2[Tumor Stage])</f>
        <v>2</v>
      </c>
    </row>
    <row r="1469" spans="1:15" x14ac:dyDescent="0.45">
      <c r="A1469" t="s">
        <v>1504</v>
      </c>
      <c r="B1469">
        <v>47.3</v>
      </c>
      <c r="C1469" t="s">
        <v>16</v>
      </c>
      <c r="D1469" t="s">
        <v>26</v>
      </c>
      <c r="E1469" t="s">
        <v>18</v>
      </c>
      <c r="F1469" t="s">
        <v>19</v>
      </c>
      <c r="G1469" t="s">
        <v>20</v>
      </c>
      <c r="H1469" t="s">
        <v>21</v>
      </c>
      <c r="I1469" t="s">
        <v>21</v>
      </c>
      <c r="J1469" t="s">
        <v>27</v>
      </c>
      <c r="K1469">
        <v>7</v>
      </c>
      <c r="L1469">
        <v>238.5</v>
      </c>
      <c r="M1469" t="s">
        <v>24</v>
      </c>
      <c r="N1469" t="str">
        <f>_xlfn.XLOOKUP(A1469,[1]!brca_metabric_clinical_data__2[Patient ID], [1]!brca_metabric_clinical_data__2[Tumor Size])</f>
        <v>20</v>
      </c>
      <c r="O1469" t="str">
        <f>_xlfn.XLOOKUP(A1469,[1]!brca_metabric_clinical_data__2[Sample ID],[1]!brca_metabric_clinical_data__2[Tumor Stage])</f>
        <v>1</v>
      </c>
    </row>
    <row r="1470" spans="1:15" x14ac:dyDescent="0.45">
      <c r="A1470" t="s">
        <v>1505</v>
      </c>
      <c r="B1470">
        <v>80.08</v>
      </c>
      <c r="C1470" t="s">
        <v>16</v>
      </c>
      <c r="D1470" t="s">
        <v>17</v>
      </c>
      <c r="E1470" t="s">
        <v>18</v>
      </c>
      <c r="F1470" t="s">
        <v>19</v>
      </c>
      <c r="G1470" t="s">
        <v>20</v>
      </c>
      <c r="H1470" t="s">
        <v>21</v>
      </c>
      <c r="I1470" t="s">
        <v>21</v>
      </c>
      <c r="J1470" t="s">
        <v>29</v>
      </c>
      <c r="K1470">
        <v>9</v>
      </c>
      <c r="L1470">
        <v>31.8</v>
      </c>
      <c r="M1470" t="s">
        <v>30</v>
      </c>
      <c r="N1470" t="str">
        <f>_xlfn.XLOOKUP(A1470,[1]!brca_metabric_clinical_data__2[Patient ID], [1]!brca_metabric_clinical_data__2[Tumor Size])</f>
        <v>30</v>
      </c>
      <c r="O1470" t="str">
        <f>_xlfn.XLOOKUP(A1470,[1]!brca_metabric_clinical_data__2[Sample ID],[1]!brca_metabric_clinical_data__2[Tumor Stage])</f>
        <v>2</v>
      </c>
    </row>
    <row r="1471" spans="1:15" x14ac:dyDescent="0.45">
      <c r="A1471" t="s">
        <v>1506</v>
      </c>
      <c r="B1471">
        <v>75.650000000000006</v>
      </c>
      <c r="C1471" t="s">
        <v>16</v>
      </c>
      <c r="D1471" t="s">
        <v>17</v>
      </c>
      <c r="E1471" t="s">
        <v>18</v>
      </c>
      <c r="F1471" t="s">
        <v>35</v>
      </c>
      <c r="G1471" t="s">
        <v>20</v>
      </c>
      <c r="H1471" t="s">
        <v>21</v>
      </c>
      <c r="I1471" t="s">
        <v>21</v>
      </c>
      <c r="J1471" t="s">
        <v>29</v>
      </c>
      <c r="K1471">
        <v>9</v>
      </c>
      <c r="L1471">
        <v>123.3</v>
      </c>
      <c r="M1471" t="s">
        <v>30</v>
      </c>
      <c r="N1471" t="str">
        <f>_xlfn.XLOOKUP(A1471,[1]!brca_metabric_clinical_data__2[Patient ID], [1]!brca_metabric_clinical_data__2[Tumor Size])</f>
        <v>25</v>
      </c>
      <c r="O1471" t="str">
        <f>_xlfn.XLOOKUP(A1471,[1]!brca_metabric_clinical_data__2[Sample ID],[1]!brca_metabric_clinical_data__2[Tumor Stage])</f>
        <v>2</v>
      </c>
    </row>
    <row r="1472" spans="1:15" x14ac:dyDescent="0.45">
      <c r="A1472" t="s">
        <v>1507</v>
      </c>
      <c r="B1472">
        <v>53.6</v>
      </c>
      <c r="C1472" t="s">
        <v>16</v>
      </c>
      <c r="D1472" t="s">
        <v>17</v>
      </c>
      <c r="E1472" t="s">
        <v>18</v>
      </c>
      <c r="F1472" t="s">
        <v>19</v>
      </c>
      <c r="G1472" t="s">
        <v>20</v>
      </c>
      <c r="H1472" t="s">
        <v>20</v>
      </c>
      <c r="I1472" t="s">
        <v>20</v>
      </c>
      <c r="J1472" t="s">
        <v>27</v>
      </c>
      <c r="K1472">
        <v>3</v>
      </c>
      <c r="L1472">
        <v>216.96666666666701</v>
      </c>
      <c r="M1472" t="s">
        <v>24</v>
      </c>
      <c r="N1472" t="str">
        <f>_xlfn.XLOOKUP(A1472,[1]!brca_metabric_clinical_data__2[Patient ID], [1]!brca_metabric_clinical_data__2[Tumor Size])</f>
        <v>15</v>
      </c>
      <c r="O1472" t="str">
        <f>_xlfn.XLOOKUP(A1472,[1]!brca_metabric_clinical_data__2[Sample ID],[1]!brca_metabric_clinical_data__2[Tumor Stage])</f>
        <v>1</v>
      </c>
    </row>
    <row r="1473" spans="1:15" x14ac:dyDescent="0.45">
      <c r="A1473" t="s">
        <v>1508</v>
      </c>
      <c r="B1473">
        <v>65.31</v>
      </c>
      <c r="C1473" t="s">
        <v>16</v>
      </c>
      <c r="D1473" t="s">
        <v>17</v>
      </c>
      <c r="E1473" t="s">
        <v>18</v>
      </c>
      <c r="F1473" t="s">
        <v>19</v>
      </c>
      <c r="G1473" t="s">
        <v>20</v>
      </c>
      <c r="H1473" t="s">
        <v>20</v>
      </c>
      <c r="I1473" t="s">
        <v>20</v>
      </c>
      <c r="J1473" t="s">
        <v>27</v>
      </c>
      <c r="K1473">
        <v>8</v>
      </c>
      <c r="L1473">
        <v>51.2</v>
      </c>
      <c r="M1473" t="s">
        <v>30</v>
      </c>
      <c r="N1473" t="str">
        <f>_xlfn.XLOOKUP(A1473,[1]!brca_metabric_clinical_data__2[Patient ID], [1]!brca_metabric_clinical_data__2[Tumor Size])</f>
        <v>40</v>
      </c>
      <c r="O1473" t="str">
        <f>_xlfn.XLOOKUP(A1473,[1]!brca_metabric_clinical_data__2[Sample ID],[1]!brca_metabric_clinical_data__2[Tumor Stage])</f>
        <v>2</v>
      </c>
    </row>
    <row r="1474" spans="1:15" x14ac:dyDescent="0.45">
      <c r="A1474" t="s">
        <v>1509</v>
      </c>
      <c r="B1474">
        <v>72.25</v>
      </c>
      <c r="C1474" t="s">
        <v>16</v>
      </c>
      <c r="D1474" t="s">
        <v>17</v>
      </c>
      <c r="E1474" t="s">
        <v>18</v>
      </c>
      <c r="F1474" t="s">
        <v>19</v>
      </c>
      <c r="G1474" t="s">
        <v>20</v>
      </c>
      <c r="H1474" t="s">
        <v>20</v>
      </c>
      <c r="I1474" t="s">
        <v>20</v>
      </c>
      <c r="J1474" t="s">
        <v>29</v>
      </c>
      <c r="K1474">
        <v>8</v>
      </c>
      <c r="L1474">
        <v>65.8333333333333</v>
      </c>
      <c r="M1474" t="s">
        <v>30</v>
      </c>
      <c r="N1474" t="str">
        <f>_xlfn.XLOOKUP(A1474,[1]!brca_metabric_clinical_data__2[Patient ID], [1]!brca_metabric_clinical_data__2[Tumor Size])</f>
        <v>65</v>
      </c>
      <c r="O1474" t="str">
        <f>_xlfn.XLOOKUP(A1474,[1]!brca_metabric_clinical_data__2[Sample ID],[1]!brca_metabric_clinical_data__2[Tumor Stage])</f>
        <v>2</v>
      </c>
    </row>
    <row r="1475" spans="1:15" x14ac:dyDescent="0.45">
      <c r="A1475" t="s">
        <v>1510</v>
      </c>
      <c r="B1475">
        <v>74.28</v>
      </c>
      <c r="C1475" t="s">
        <v>16</v>
      </c>
      <c r="D1475" t="s">
        <v>17</v>
      </c>
      <c r="E1475" t="s">
        <v>18</v>
      </c>
      <c r="F1475" t="s">
        <v>19</v>
      </c>
      <c r="G1475" t="s">
        <v>20</v>
      </c>
      <c r="H1475" t="s">
        <v>21</v>
      </c>
      <c r="I1475" t="s">
        <v>20</v>
      </c>
      <c r="J1475" t="s">
        <v>27</v>
      </c>
      <c r="K1475">
        <v>3</v>
      </c>
      <c r="L1475">
        <v>23.366666666666699</v>
      </c>
      <c r="M1475" t="s">
        <v>30</v>
      </c>
      <c r="N1475" t="str">
        <f>_xlfn.XLOOKUP(A1475,[1]!brca_metabric_clinical_data__2[Patient ID], [1]!brca_metabric_clinical_data__2[Tumor Size])</f>
        <v>51</v>
      </c>
      <c r="O1475" t="str">
        <f>_xlfn.XLOOKUP(A1475,[1]!brca_metabric_clinical_data__2[Sample ID],[1]!brca_metabric_clinical_data__2[Tumor Stage])</f>
        <v>NA</v>
      </c>
    </row>
    <row r="1476" spans="1:15" x14ac:dyDescent="0.45">
      <c r="A1476" t="s">
        <v>1511</v>
      </c>
      <c r="B1476">
        <v>69.84</v>
      </c>
      <c r="C1476" t="s">
        <v>16</v>
      </c>
      <c r="D1476" t="s">
        <v>17</v>
      </c>
      <c r="E1476" t="s">
        <v>18</v>
      </c>
      <c r="F1476" t="s">
        <v>35</v>
      </c>
      <c r="G1476" t="s">
        <v>20</v>
      </c>
      <c r="H1476" t="s">
        <v>21</v>
      </c>
      <c r="I1476" t="s">
        <v>20</v>
      </c>
      <c r="J1476" t="s">
        <v>29</v>
      </c>
      <c r="K1476">
        <v>2</v>
      </c>
      <c r="L1476">
        <v>57.233333333333299</v>
      </c>
      <c r="M1476" t="s">
        <v>30</v>
      </c>
      <c r="N1476" t="str">
        <f>_xlfn.XLOOKUP(A1476,[1]!brca_metabric_clinical_data__2[Patient ID], [1]!brca_metabric_clinical_data__2[Tumor Size])</f>
        <v>51</v>
      </c>
      <c r="O1476" t="str">
        <f>_xlfn.XLOOKUP(A1476,[1]!brca_metabric_clinical_data__2[Sample ID],[1]!brca_metabric_clinical_data__2[Tumor Stage])</f>
        <v>NA</v>
      </c>
    </row>
    <row r="1477" spans="1:15" x14ac:dyDescent="0.45">
      <c r="A1477" t="s">
        <v>1512</v>
      </c>
      <c r="B1477">
        <v>42.64</v>
      </c>
      <c r="C1477" t="s">
        <v>16</v>
      </c>
      <c r="D1477" t="s">
        <v>26</v>
      </c>
      <c r="E1477" t="s">
        <v>18</v>
      </c>
      <c r="F1477" t="s">
        <v>19</v>
      </c>
      <c r="G1477" t="s">
        <v>20</v>
      </c>
      <c r="H1477" t="s">
        <v>21</v>
      </c>
      <c r="I1477" t="s">
        <v>20</v>
      </c>
      <c r="J1477" t="s">
        <v>27</v>
      </c>
      <c r="K1477" t="s">
        <v>23</v>
      </c>
      <c r="L1477">
        <v>228.8</v>
      </c>
      <c r="M1477" t="s">
        <v>24</v>
      </c>
      <c r="N1477" t="str">
        <f>_xlfn.XLOOKUP(A1477,[1]!brca_metabric_clinical_data__2[Patient ID], [1]!brca_metabric_clinical_data__2[Tumor Size])</f>
        <v>20</v>
      </c>
      <c r="O1477" t="str">
        <f>_xlfn.XLOOKUP(A1477,[1]!brca_metabric_clinical_data__2[Sample ID],[1]!brca_metabric_clinical_data__2[Tumor Stage])</f>
        <v>NA</v>
      </c>
    </row>
    <row r="1478" spans="1:15" x14ac:dyDescent="0.45">
      <c r="A1478" t="s">
        <v>1513</v>
      </c>
      <c r="B1478">
        <v>69.56</v>
      </c>
      <c r="C1478" t="s">
        <v>16</v>
      </c>
      <c r="D1478" t="s">
        <v>17</v>
      </c>
      <c r="E1478" t="s">
        <v>18</v>
      </c>
      <c r="F1478" t="s">
        <v>35</v>
      </c>
      <c r="G1478" t="s">
        <v>20</v>
      </c>
      <c r="H1478" t="s">
        <v>20</v>
      </c>
      <c r="I1478" t="s">
        <v>21</v>
      </c>
      <c r="J1478" t="s">
        <v>29</v>
      </c>
      <c r="K1478">
        <v>1</v>
      </c>
      <c r="L1478">
        <v>237.5</v>
      </c>
      <c r="M1478" t="s">
        <v>24</v>
      </c>
      <c r="N1478" t="str">
        <f>_xlfn.XLOOKUP(A1478,[1]!brca_metabric_clinical_data__2[Patient ID], [1]!brca_metabric_clinical_data__2[Tumor Size])</f>
        <v>20</v>
      </c>
      <c r="O1478" t="str">
        <f>_xlfn.XLOOKUP(A1478,[1]!brca_metabric_clinical_data__2[Sample ID],[1]!brca_metabric_clinical_data__2[Tumor Stage])</f>
        <v>1</v>
      </c>
    </row>
    <row r="1479" spans="1:15" x14ac:dyDescent="0.45">
      <c r="A1479" t="s">
        <v>1514</v>
      </c>
      <c r="B1479">
        <v>64.099999999999994</v>
      </c>
      <c r="C1479" t="s">
        <v>16</v>
      </c>
      <c r="D1479" t="s">
        <v>17</v>
      </c>
      <c r="E1479" t="s">
        <v>18</v>
      </c>
      <c r="F1479" t="s">
        <v>43</v>
      </c>
      <c r="G1479" t="s">
        <v>20</v>
      </c>
      <c r="H1479" t="s">
        <v>20</v>
      </c>
      <c r="I1479" t="s">
        <v>21</v>
      </c>
      <c r="J1479" t="s">
        <v>45</v>
      </c>
      <c r="K1479">
        <v>1</v>
      </c>
      <c r="L1479">
        <v>225.166666666667</v>
      </c>
      <c r="M1479" t="s">
        <v>24</v>
      </c>
      <c r="N1479" t="str">
        <f>_xlfn.XLOOKUP(A1479,[1]!brca_metabric_clinical_data__2[Patient ID], [1]!brca_metabric_clinical_data__2[Tumor Size])</f>
        <v>15</v>
      </c>
      <c r="O1479" t="str">
        <f>_xlfn.XLOOKUP(A1479,[1]!brca_metabric_clinical_data__2[Sample ID],[1]!brca_metabric_clinical_data__2[Tumor Stage])</f>
        <v>1</v>
      </c>
    </row>
    <row r="1480" spans="1:15" x14ac:dyDescent="0.45">
      <c r="A1480" t="s">
        <v>1515</v>
      </c>
      <c r="B1480">
        <v>65.5</v>
      </c>
      <c r="C1480" t="s">
        <v>16</v>
      </c>
      <c r="D1480" t="s">
        <v>17</v>
      </c>
      <c r="E1480" t="s">
        <v>18</v>
      </c>
      <c r="F1480" t="s">
        <v>19</v>
      </c>
      <c r="G1480" t="s">
        <v>20</v>
      </c>
      <c r="H1480" t="s">
        <v>20</v>
      </c>
      <c r="I1480" t="s">
        <v>20</v>
      </c>
      <c r="J1480" t="s">
        <v>27</v>
      </c>
      <c r="K1480" t="s">
        <v>23</v>
      </c>
      <c r="L1480">
        <v>123.73333333333299</v>
      </c>
      <c r="M1480" t="s">
        <v>24</v>
      </c>
      <c r="N1480" t="str">
        <f>_xlfn.XLOOKUP(A1480,[1]!brca_metabric_clinical_data__2[Patient ID], [1]!brca_metabric_clinical_data__2[Tumor Size])</f>
        <v>20</v>
      </c>
      <c r="O1480" t="str">
        <f>_xlfn.XLOOKUP(A1480,[1]!brca_metabric_clinical_data__2[Sample ID],[1]!brca_metabric_clinical_data__2[Tumor Stage])</f>
        <v>1</v>
      </c>
    </row>
    <row r="1481" spans="1:15" x14ac:dyDescent="0.45">
      <c r="A1481" t="s">
        <v>1516</v>
      </c>
      <c r="B1481">
        <v>51.62</v>
      </c>
      <c r="C1481" t="s">
        <v>16</v>
      </c>
      <c r="D1481" t="s">
        <v>17</v>
      </c>
      <c r="E1481" t="s">
        <v>18</v>
      </c>
      <c r="F1481" t="s">
        <v>19</v>
      </c>
      <c r="G1481" t="s">
        <v>20</v>
      </c>
      <c r="H1481" t="s">
        <v>20</v>
      </c>
      <c r="I1481" t="s">
        <v>21</v>
      </c>
      <c r="J1481" t="s">
        <v>29</v>
      </c>
      <c r="K1481">
        <v>7</v>
      </c>
      <c r="L1481">
        <v>189.73333333333301</v>
      </c>
      <c r="M1481" t="s">
        <v>24</v>
      </c>
      <c r="N1481" t="str">
        <f>_xlfn.XLOOKUP(A1481,[1]!brca_metabric_clinical_data__2[Patient ID], [1]!brca_metabric_clinical_data__2[Tumor Size])</f>
        <v>28</v>
      </c>
      <c r="O1481" t="str">
        <f>_xlfn.XLOOKUP(A1481,[1]!brca_metabric_clinical_data__2[Sample ID],[1]!brca_metabric_clinical_data__2[Tumor Stage])</f>
        <v>2</v>
      </c>
    </row>
    <row r="1482" spans="1:15" x14ac:dyDescent="0.45">
      <c r="A1482" t="s">
        <v>1517</v>
      </c>
      <c r="B1482">
        <v>74.260000000000005</v>
      </c>
      <c r="C1482" t="s">
        <v>16</v>
      </c>
      <c r="D1482" t="s">
        <v>17</v>
      </c>
      <c r="E1482" t="s">
        <v>18</v>
      </c>
      <c r="F1482" t="s">
        <v>19</v>
      </c>
      <c r="G1482" t="s">
        <v>20</v>
      </c>
      <c r="H1482" t="s">
        <v>20</v>
      </c>
      <c r="I1482" t="s">
        <v>21</v>
      </c>
      <c r="J1482" t="s">
        <v>29</v>
      </c>
      <c r="K1482">
        <v>3</v>
      </c>
      <c r="L1482">
        <v>164.6</v>
      </c>
      <c r="M1482" t="s">
        <v>30</v>
      </c>
      <c r="N1482" t="str">
        <f>_xlfn.XLOOKUP(A1482,[1]!brca_metabric_clinical_data__2[Patient ID], [1]!brca_metabric_clinical_data__2[Tumor Size])</f>
        <v>15</v>
      </c>
      <c r="O1482" t="str">
        <f>_xlfn.XLOOKUP(A1482,[1]!brca_metabric_clinical_data__2[Sample ID],[1]!brca_metabric_clinical_data__2[Tumor Stage])</f>
        <v>1</v>
      </c>
    </row>
    <row r="1483" spans="1:15" x14ac:dyDescent="0.45">
      <c r="A1483" t="s">
        <v>1518</v>
      </c>
      <c r="B1483">
        <v>75.73</v>
      </c>
      <c r="C1483" t="s">
        <v>16</v>
      </c>
      <c r="D1483" t="s">
        <v>17</v>
      </c>
      <c r="E1483" t="s">
        <v>18</v>
      </c>
      <c r="F1483" t="s">
        <v>19</v>
      </c>
      <c r="G1483" t="s">
        <v>20</v>
      </c>
      <c r="H1483" t="s">
        <v>21</v>
      </c>
      <c r="I1483" t="s">
        <v>20</v>
      </c>
      <c r="J1483" t="s">
        <v>27</v>
      </c>
      <c r="K1483">
        <v>3</v>
      </c>
      <c r="L1483">
        <v>103.1</v>
      </c>
      <c r="M1483" t="s">
        <v>30</v>
      </c>
      <c r="N1483" t="str">
        <f>_xlfn.XLOOKUP(A1483,[1]!brca_metabric_clinical_data__2[Patient ID], [1]!brca_metabric_clinical_data__2[Tumor Size])</f>
        <v>35</v>
      </c>
      <c r="O1483" t="str">
        <f>_xlfn.XLOOKUP(A1483,[1]!brca_metabric_clinical_data__2[Sample ID],[1]!brca_metabric_clinical_data__2[Tumor Stage])</f>
        <v>NA</v>
      </c>
    </row>
    <row r="1484" spans="1:15" x14ac:dyDescent="0.45">
      <c r="A1484" t="s">
        <v>1519</v>
      </c>
      <c r="B1484">
        <v>54.18</v>
      </c>
      <c r="C1484" t="s">
        <v>16</v>
      </c>
      <c r="D1484" t="s">
        <v>17</v>
      </c>
      <c r="E1484" t="s">
        <v>37</v>
      </c>
      <c r="F1484" t="s">
        <v>19</v>
      </c>
      <c r="G1484" t="s">
        <v>20</v>
      </c>
      <c r="H1484" t="s">
        <v>20</v>
      </c>
      <c r="I1484" t="s">
        <v>20</v>
      </c>
      <c r="J1484" t="s">
        <v>45</v>
      </c>
      <c r="K1484">
        <v>10</v>
      </c>
      <c r="L1484">
        <v>158.96666666666701</v>
      </c>
      <c r="M1484" t="s">
        <v>24</v>
      </c>
      <c r="N1484" t="str">
        <f>_xlfn.XLOOKUP(A1484,[1]!brca_metabric_clinical_data__2[Patient ID], [1]!brca_metabric_clinical_data__2[Tumor Size])</f>
        <v>20</v>
      </c>
      <c r="O1484" t="str">
        <f>_xlfn.XLOOKUP(A1484,[1]!brca_metabric_clinical_data__2[Sample ID],[1]!brca_metabric_clinical_data__2[Tumor Stage])</f>
        <v>1</v>
      </c>
    </row>
    <row r="1485" spans="1:15" x14ac:dyDescent="0.45">
      <c r="A1485" t="s">
        <v>1520</v>
      </c>
      <c r="B1485">
        <v>86.55</v>
      </c>
      <c r="C1485" t="s">
        <v>16</v>
      </c>
      <c r="D1485" t="s">
        <v>17</v>
      </c>
      <c r="E1485" t="s">
        <v>18</v>
      </c>
      <c r="F1485" t="s">
        <v>35</v>
      </c>
      <c r="G1485" t="s">
        <v>20</v>
      </c>
      <c r="H1485" t="s">
        <v>21</v>
      </c>
      <c r="I1485" t="s">
        <v>20</v>
      </c>
      <c r="J1485" t="s">
        <v>58</v>
      </c>
      <c r="K1485">
        <v>6</v>
      </c>
      <c r="L1485">
        <v>36.633333333333297</v>
      </c>
      <c r="M1485" t="s">
        <v>30</v>
      </c>
      <c r="N1485" t="str">
        <f>_xlfn.XLOOKUP(A1485,[1]!brca_metabric_clinical_data__2[Patient ID], [1]!brca_metabric_clinical_data__2[Tumor Size])</f>
        <v>29</v>
      </c>
      <c r="O1485" t="str">
        <f>_xlfn.XLOOKUP(A1485,[1]!brca_metabric_clinical_data__2[Sample ID],[1]!brca_metabric_clinical_data__2[Tumor Stage])</f>
        <v>2</v>
      </c>
    </row>
    <row r="1486" spans="1:15" x14ac:dyDescent="0.45">
      <c r="A1486" t="s">
        <v>1521</v>
      </c>
      <c r="B1486">
        <v>63.45</v>
      </c>
      <c r="C1486" t="s">
        <v>16</v>
      </c>
      <c r="D1486" t="s">
        <v>17</v>
      </c>
      <c r="E1486" t="s">
        <v>18</v>
      </c>
      <c r="F1486" t="s">
        <v>19</v>
      </c>
      <c r="G1486" t="s">
        <v>20</v>
      </c>
      <c r="H1486" t="s">
        <v>21</v>
      </c>
      <c r="I1486" t="s">
        <v>21</v>
      </c>
      <c r="J1486" t="s">
        <v>27</v>
      </c>
      <c r="K1486" t="s">
        <v>23</v>
      </c>
      <c r="L1486">
        <v>182.9</v>
      </c>
      <c r="M1486" t="s">
        <v>24</v>
      </c>
      <c r="N1486" t="str">
        <f>_xlfn.XLOOKUP(A1486,[1]!brca_metabric_clinical_data__2[Patient ID], [1]!brca_metabric_clinical_data__2[Tumor Size])</f>
        <v>20</v>
      </c>
      <c r="O1486" t="str">
        <f>_xlfn.XLOOKUP(A1486,[1]!brca_metabric_clinical_data__2[Sample ID],[1]!brca_metabric_clinical_data__2[Tumor Stage])</f>
        <v>2</v>
      </c>
    </row>
    <row r="1487" spans="1:15" x14ac:dyDescent="0.45">
      <c r="A1487" t="s">
        <v>1522</v>
      </c>
      <c r="B1487">
        <v>72.39</v>
      </c>
      <c r="C1487" t="s">
        <v>16</v>
      </c>
      <c r="D1487" t="s">
        <v>17</v>
      </c>
      <c r="E1487" t="s">
        <v>18</v>
      </c>
      <c r="F1487" t="s">
        <v>19</v>
      </c>
      <c r="G1487" t="s">
        <v>20</v>
      </c>
      <c r="H1487" t="s">
        <v>21</v>
      </c>
      <c r="I1487" t="s">
        <v>21</v>
      </c>
      <c r="J1487" t="s">
        <v>29</v>
      </c>
      <c r="K1487" t="s">
        <v>23</v>
      </c>
      <c r="L1487">
        <v>30.866666666666699</v>
      </c>
      <c r="M1487" t="s">
        <v>30</v>
      </c>
      <c r="N1487" t="str">
        <f>_xlfn.XLOOKUP(A1487,[1]!brca_metabric_clinical_data__2[Patient ID], [1]!brca_metabric_clinical_data__2[Tumor Size])</f>
        <v>20</v>
      </c>
      <c r="O1487" t="str">
        <f>_xlfn.XLOOKUP(A1487,[1]!brca_metabric_clinical_data__2[Sample ID],[1]!brca_metabric_clinical_data__2[Tumor Stage])</f>
        <v>2</v>
      </c>
    </row>
    <row r="1488" spans="1:15" x14ac:dyDescent="0.45">
      <c r="A1488" t="s">
        <v>1523</v>
      </c>
      <c r="B1488">
        <v>72.61</v>
      </c>
      <c r="C1488" t="s">
        <v>16</v>
      </c>
      <c r="D1488" t="s">
        <v>17</v>
      </c>
      <c r="E1488" t="s">
        <v>18</v>
      </c>
      <c r="F1488" t="s">
        <v>19</v>
      </c>
      <c r="G1488" t="s">
        <v>20</v>
      </c>
      <c r="H1488" t="s">
        <v>21</v>
      </c>
      <c r="I1488" t="s">
        <v>20</v>
      </c>
      <c r="J1488" t="s">
        <v>27</v>
      </c>
      <c r="K1488">
        <v>8</v>
      </c>
      <c r="L1488">
        <v>169.23333333333301</v>
      </c>
      <c r="M1488" t="s">
        <v>30</v>
      </c>
      <c r="N1488" t="str">
        <f>_xlfn.XLOOKUP(A1488,[1]!brca_metabric_clinical_data__2[Patient ID], [1]!brca_metabric_clinical_data__2[Tumor Size])</f>
        <v>45</v>
      </c>
      <c r="O1488" t="str">
        <f>_xlfn.XLOOKUP(A1488,[1]!brca_metabric_clinical_data__2[Sample ID],[1]!brca_metabric_clinical_data__2[Tumor Stage])</f>
        <v>NA</v>
      </c>
    </row>
    <row r="1489" spans="1:15" x14ac:dyDescent="0.45">
      <c r="A1489" t="s">
        <v>1524</v>
      </c>
      <c r="B1489">
        <v>38.49</v>
      </c>
      <c r="C1489" t="s">
        <v>16</v>
      </c>
      <c r="D1489" t="s">
        <v>26</v>
      </c>
      <c r="E1489" t="s">
        <v>18</v>
      </c>
      <c r="F1489" t="s">
        <v>19</v>
      </c>
      <c r="G1489" t="s">
        <v>20</v>
      </c>
      <c r="H1489" t="s">
        <v>21</v>
      </c>
      <c r="I1489" t="s">
        <v>20</v>
      </c>
      <c r="J1489" t="s">
        <v>27</v>
      </c>
      <c r="K1489">
        <v>7</v>
      </c>
      <c r="L1489">
        <v>16.3</v>
      </c>
      <c r="M1489" t="s">
        <v>30</v>
      </c>
      <c r="N1489" t="str">
        <f>_xlfn.XLOOKUP(A1489,[1]!brca_metabric_clinical_data__2[Patient ID], [1]!brca_metabric_clinical_data__2[Tumor Size])</f>
        <v>25</v>
      </c>
      <c r="O1489" t="str">
        <f>_xlfn.XLOOKUP(A1489,[1]!brca_metabric_clinical_data__2[Sample ID],[1]!brca_metabric_clinical_data__2[Tumor Stage])</f>
        <v>2</v>
      </c>
    </row>
    <row r="1490" spans="1:15" x14ac:dyDescent="0.45">
      <c r="A1490" t="s">
        <v>1525</v>
      </c>
      <c r="B1490">
        <v>69.27</v>
      </c>
      <c r="C1490" t="s">
        <v>16</v>
      </c>
      <c r="D1490" t="s">
        <v>17</v>
      </c>
      <c r="E1490" t="s">
        <v>18</v>
      </c>
      <c r="F1490" t="s">
        <v>19</v>
      </c>
      <c r="G1490" t="s">
        <v>20</v>
      </c>
      <c r="H1490" t="s">
        <v>21</v>
      </c>
      <c r="I1490" t="s">
        <v>21</v>
      </c>
      <c r="J1490" t="s">
        <v>29</v>
      </c>
      <c r="K1490" t="s">
        <v>23</v>
      </c>
      <c r="L1490">
        <v>124.8</v>
      </c>
      <c r="M1490" t="s">
        <v>24</v>
      </c>
      <c r="N1490" t="str">
        <f>_xlfn.XLOOKUP(A1490,[1]!brca_metabric_clinical_data__2[Patient ID], [1]!brca_metabric_clinical_data__2[Tumor Size])</f>
        <v>45</v>
      </c>
      <c r="O1490" t="str">
        <f>_xlfn.XLOOKUP(A1490,[1]!brca_metabric_clinical_data__2[Sample ID],[1]!brca_metabric_clinical_data__2[Tumor Stage])</f>
        <v>2</v>
      </c>
    </row>
    <row r="1491" spans="1:15" x14ac:dyDescent="0.45">
      <c r="A1491" t="s">
        <v>1526</v>
      </c>
      <c r="B1491">
        <v>63.2</v>
      </c>
      <c r="C1491" t="s">
        <v>16</v>
      </c>
      <c r="D1491" t="s">
        <v>17</v>
      </c>
      <c r="E1491" t="s">
        <v>18</v>
      </c>
      <c r="F1491" t="s">
        <v>19</v>
      </c>
      <c r="G1491" t="s">
        <v>20</v>
      </c>
      <c r="H1491" t="s">
        <v>21</v>
      </c>
      <c r="I1491" t="s">
        <v>21</v>
      </c>
      <c r="J1491" t="s">
        <v>29</v>
      </c>
      <c r="K1491">
        <v>7</v>
      </c>
      <c r="L1491">
        <v>2</v>
      </c>
      <c r="M1491" t="s">
        <v>24</v>
      </c>
      <c r="N1491" t="str">
        <f>_xlfn.XLOOKUP(A1491,[1]!brca_metabric_clinical_data__2[Patient ID], [1]!brca_metabric_clinical_data__2[Tumor Size])</f>
        <v>28</v>
      </c>
      <c r="O1491" t="str">
        <f>_xlfn.XLOOKUP(A1491,[1]!brca_metabric_clinical_data__2[Sample ID],[1]!brca_metabric_clinical_data__2[Tumor Stage])</f>
        <v>2</v>
      </c>
    </row>
    <row r="1492" spans="1:15" x14ac:dyDescent="0.45">
      <c r="A1492" t="s">
        <v>1527</v>
      </c>
      <c r="B1492">
        <v>45.42</v>
      </c>
      <c r="C1492" t="s">
        <v>16</v>
      </c>
      <c r="D1492" t="s">
        <v>26</v>
      </c>
      <c r="E1492" t="s">
        <v>37</v>
      </c>
      <c r="F1492" t="s">
        <v>19</v>
      </c>
      <c r="G1492" t="s">
        <v>20</v>
      </c>
      <c r="H1492" t="s">
        <v>20</v>
      </c>
      <c r="I1492" t="s">
        <v>21</v>
      </c>
      <c r="J1492" t="s">
        <v>58</v>
      </c>
      <c r="K1492">
        <v>10</v>
      </c>
      <c r="L1492">
        <v>151.066666666667</v>
      </c>
      <c r="M1492" t="s">
        <v>24</v>
      </c>
      <c r="N1492" t="str">
        <f>_xlfn.XLOOKUP(A1492,[1]!brca_metabric_clinical_data__2[Patient ID], [1]!brca_metabric_clinical_data__2[Tumor Size])</f>
        <v>20</v>
      </c>
      <c r="O1492" t="str">
        <f>_xlfn.XLOOKUP(A1492,[1]!brca_metabric_clinical_data__2[Sample ID],[1]!brca_metabric_clinical_data__2[Tumor Stage])</f>
        <v>1</v>
      </c>
    </row>
    <row r="1493" spans="1:15" x14ac:dyDescent="0.45">
      <c r="A1493" t="s">
        <v>1528</v>
      </c>
      <c r="B1493">
        <v>53.48</v>
      </c>
      <c r="C1493" t="s">
        <v>16</v>
      </c>
      <c r="D1493" t="s">
        <v>17</v>
      </c>
      <c r="E1493" t="s">
        <v>37</v>
      </c>
      <c r="F1493" t="s">
        <v>43</v>
      </c>
      <c r="G1493" t="s">
        <v>21</v>
      </c>
      <c r="H1493" t="s">
        <v>21</v>
      </c>
      <c r="I1493" t="s">
        <v>21</v>
      </c>
      <c r="J1493" t="s">
        <v>22</v>
      </c>
      <c r="K1493" t="s">
        <v>39</v>
      </c>
      <c r="L1493">
        <v>180.566666666667</v>
      </c>
      <c r="M1493" t="s">
        <v>24</v>
      </c>
      <c r="N1493" t="str">
        <f>_xlfn.XLOOKUP(A1493,[1]!brca_metabric_clinical_data__2[Patient ID], [1]!brca_metabric_clinical_data__2[Tumor Size])</f>
        <v>11</v>
      </c>
      <c r="O1493" t="str">
        <f>_xlfn.XLOOKUP(A1493,[1]!brca_metabric_clinical_data__2[Sample ID],[1]!brca_metabric_clinical_data__2[Tumor Stage])</f>
        <v>2</v>
      </c>
    </row>
    <row r="1494" spans="1:15" x14ac:dyDescent="0.45">
      <c r="A1494" t="s">
        <v>1529</v>
      </c>
      <c r="B1494">
        <v>40.21</v>
      </c>
      <c r="C1494" t="s">
        <v>16</v>
      </c>
      <c r="D1494" t="s">
        <v>26</v>
      </c>
      <c r="E1494" t="s">
        <v>37</v>
      </c>
      <c r="F1494" t="s">
        <v>19</v>
      </c>
      <c r="G1494" t="s">
        <v>21</v>
      </c>
      <c r="H1494" t="s">
        <v>20</v>
      </c>
      <c r="I1494" t="s">
        <v>21</v>
      </c>
      <c r="J1494" t="s">
        <v>58</v>
      </c>
      <c r="K1494">
        <v>10</v>
      </c>
      <c r="L1494">
        <v>14.8</v>
      </c>
      <c r="M1494" t="s">
        <v>30</v>
      </c>
      <c r="N1494" t="str">
        <f>_xlfn.XLOOKUP(A1494,[1]!brca_metabric_clinical_data__2[Patient ID], [1]!brca_metabric_clinical_data__2[Tumor Size])</f>
        <v>35</v>
      </c>
      <c r="O1494" t="str">
        <f>_xlfn.XLOOKUP(A1494,[1]!brca_metabric_clinical_data__2[Sample ID],[1]!brca_metabric_clinical_data__2[Tumor Stage])</f>
        <v>2</v>
      </c>
    </row>
    <row r="1495" spans="1:15" x14ac:dyDescent="0.45">
      <c r="A1495" t="s">
        <v>1530</v>
      </c>
      <c r="B1495">
        <v>50.61</v>
      </c>
      <c r="C1495" t="s">
        <v>16</v>
      </c>
      <c r="D1495" t="s">
        <v>17</v>
      </c>
      <c r="E1495" t="s">
        <v>18</v>
      </c>
      <c r="F1495" t="s">
        <v>19</v>
      </c>
      <c r="G1495" t="s">
        <v>20</v>
      </c>
      <c r="H1495" t="s">
        <v>21</v>
      </c>
      <c r="I1495" t="s">
        <v>20</v>
      </c>
      <c r="J1495" t="s">
        <v>58</v>
      </c>
      <c r="K1495">
        <v>7</v>
      </c>
      <c r="L1495">
        <v>185.933333333333</v>
      </c>
      <c r="M1495" t="s">
        <v>24</v>
      </c>
      <c r="N1495" t="str">
        <f>_xlfn.XLOOKUP(A1495,[1]!brca_metabric_clinical_data__2[Patient ID], [1]!brca_metabric_clinical_data__2[Tumor Size])</f>
        <v>25</v>
      </c>
      <c r="O1495" t="str">
        <f>_xlfn.XLOOKUP(A1495,[1]!brca_metabric_clinical_data__2[Sample ID],[1]!brca_metabric_clinical_data__2[Tumor Stage])</f>
        <v>2</v>
      </c>
    </row>
    <row r="1496" spans="1:15" x14ac:dyDescent="0.45">
      <c r="A1496" t="s">
        <v>1531</v>
      </c>
      <c r="B1496">
        <v>66.56</v>
      </c>
      <c r="C1496" t="s">
        <v>16</v>
      </c>
      <c r="D1496" t="s">
        <v>17</v>
      </c>
      <c r="E1496" t="s">
        <v>37</v>
      </c>
      <c r="F1496" t="s">
        <v>19</v>
      </c>
      <c r="G1496" t="s">
        <v>20</v>
      </c>
      <c r="H1496" t="s">
        <v>20</v>
      </c>
      <c r="I1496" t="s">
        <v>21</v>
      </c>
      <c r="J1496" t="s">
        <v>22</v>
      </c>
      <c r="K1496">
        <v>10</v>
      </c>
      <c r="L1496">
        <v>183.96666666666701</v>
      </c>
      <c r="M1496" t="s">
        <v>24</v>
      </c>
      <c r="N1496" t="str">
        <f>_xlfn.XLOOKUP(A1496,[1]!brca_metabric_clinical_data__2[Patient ID], [1]!brca_metabric_clinical_data__2[Tumor Size])</f>
        <v>15</v>
      </c>
      <c r="O1496" t="str">
        <f>_xlfn.XLOOKUP(A1496,[1]!brca_metabric_clinical_data__2[Sample ID],[1]!brca_metabric_clinical_data__2[Tumor Stage])</f>
        <v>1</v>
      </c>
    </row>
    <row r="1497" spans="1:15" x14ac:dyDescent="0.45">
      <c r="A1497" t="s">
        <v>1532</v>
      </c>
      <c r="B1497">
        <v>69.66</v>
      </c>
      <c r="C1497" t="s">
        <v>16</v>
      </c>
      <c r="D1497" t="s">
        <v>17</v>
      </c>
      <c r="E1497" t="s">
        <v>18</v>
      </c>
      <c r="F1497" t="s">
        <v>43</v>
      </c>
      <c r="G1497" t="s">
        <v>20</v>
      </c>
      <c r="H1497" t="s">
        <v>21</v>
      </c>
      <c r="I1497" t="s">
        <v>20</v>
      </c>
      <c r="J1497" t="s">
        <v>27</v>
      </c>
      <c r="K1497">
        <v>7</v>
      </c>
      <c r="L1497">
        <v>79.866666666666703</v>
      </c>
      <c r="M1497" t="s">
        <v>30</v>
      </c>
      <c r="N1497" t="str">
        <f>_xlfn.XLOOKUP(A1497,[1]!brca_metabric_clinical_data__2[Patient ID], [1]!brca_metabric_clinical_data__2[Tumor Size])</f>
        <v>30</v>
      </c>
      <c r="O1497" t="str">
        <f>_xlfn.XLOOKUP(A1497,[1]!brca_metabric_clinical_data__2[Sample ID],[1]!brca_metabric_clinical_data__2[Tumor Stage])</f>
        <v>2</v>
      </c>
    </row>
    <row r="1498" spans="1:15" x14ac:dyDescent="0.45">
      <c r="A1498" t="s">
        <v>1533</v>
      </c>
      <c r="B1498">
        <v>71.64</v>
      </c>
      <c r="C1498" t="s">
        <v>16</v>
      </c>
      <c r="D1498" t="s">
        <v>17</v>
      </c>
      <c r="E1498" t="s">
        <v>18</v>
      </c>
      <c r="F1498" t="s">
        <v>19</v>
      </c>
      <c r="G1498" t="s">
        <v>20</v>
      </c>
      <c r="H1498" t="s">
        <v>21</v>
      </c>
      <c r="I1498" t="s">
        <v>21</v>
      </c>
      <c r="J1498" t="s">
        <v>38</v>
      </c>
      <c r="K1498">
        <v>1</v>
      </c>
      <c r="L1498">
        <v>158.03333333333299</v>
      </c>
      <c r="M1498" t="s">
        <v>24</v>
      </c>
      <c r="N1498" t="str">
        <f>_xlfn.XLOOKUP(A1498,[1]!brca_metabric_clinical_data__2[Patient ID], [1]!brca_metabric_clinical_data__2[Tumor Size])</f>
        <v>20</v>
      </c>
      <c r="O1498" t="str">
        <f>_xlfn.XLOOKUP(A1498,[1]!brca_metabric_clinical_data__2[Sample ID],[1]!brca_metabric_clinical_data__2[Tumor Stage])</f>
        <v>2</v>
      </c>
    </row>
    <row r="1499" spans="1:15" x14ac:dyDescent="0.45">
      <c r="A1499" t="s">
        <v>1534</v>
      </c>
      <c r="B1499">
        <v>80.09</v>
      </c>
      <c r="C1499" t="s">
        <v>16</v>
      </c>
      <c r="D1499" t="s">
        <v>17</v>
      </c>
      <c r="E1499" t="s">
        <v>18</v>
      </c>
      <c r="F1499" t="s">
        <v>19</v>
      </c>
      <c r="G1499" t="s">
        <v>20</v>
      </c>
      <c r="H1499" t="s">
        <v>21</v>
      </c>
      <c r="I1499" t="s">
        <v>21</v>
      </c>
      <c r="J1499" t="s">
        <v>22</v>
      </c>
      <c r="K1499" t="s">
        <v>23</v>
      </c>
      <c r="L1499">
        <v>79.099999999999994</v>
      </c>
      <c r="M1499" t="s">
        <v>30</v>
      </c>
      <c r="N1499" t="str">
        <f>_xlfn.XLOOKUP(A1499,[1]!brca_metabric_clinical_data__2[Patient ID], [1]!brca_metabric_clinical_data__2[Tumor Size])</f>
        <v>25</v>
      </c>
      <c r="O1499" t="str">
        <f>_xlfn.XLOOKUP(A1499,[1]!brca_metabric_clinical_data__2[Sample ID],[1]!brca_metabric_clinical_data__2[Tumor Stage])</f>
        <v>3</v>
      </c>
    </row>
    <row r="1500" spans="1:15" x14ac:dyDescent="0.45">
      <c r="A1500" t="s">
        <v>1535</v>
      </c>
      <c r="B1500">
        <v>49.87</v>
      </c>
      <c r="C1500" t="s">
        <v>16</v>
      </c>
      <c r="D1500" t="s">
        <v>26</v>
      </c>
      <c r="E1500" t="s">
        <v>37</v>
      </c>
      <c r="F1500" t="s">
        <v>43</v>
      </c>
      <c r="G1500" t="s">
        <v>21</v>
      </c>
      <c r="H1500" t="s">
        <v>21</v>
      </c>
      <c r="I1500" t="s">
        <v>21</v>
      </c>
      <c r="J1500" t="s">
        <v>45</v>
      </c>
      <c r="K1500">
        <v>5</v>
      </c>
      <c r="L1500">
        <v>120.133333333333</v>
      </c>
      <c r="M1500" t="s">
        <v>30</v>
      </c>
      <c r="N1500" t="str">
        <f>_xlfn.XLOOKUP(A1500,[1]!brca_metabric_clinical_data__2[Patient ID], [1]!brca_metabric_clinical_data__2[Tumor Size])</f>
        <v>22</v>
      </c>
      <c r="O1500" t="str">
        <f>_xlfn.XLOOKUP(A1500,[1]!brca_metabric_clinical_data__2[Sample ID],[1]!brca_metabric_clinical_data__2[Tumor Stage])</f>
        <v>2</v>
      </c>
    </row>
    <row r="1501" spans="1:15" x14ac:dyDescent="0.45">
      <c r="A1501" t="s">
        <v>1536</v>
      </c>
      <c r="B1501">
        <v>76.53</v>
      </c>
      <c r="C1501" t="s">
        <v>16</v>
      </c>
      <c r="D1501" t="s">
        <v>17</v>
      </c>
      <c r="E1501" t="s">
        <v>18</v>
      </c>
      <c r="F1501" t="s">
        <v>43</v>
      </c>
      <c r="G1501" t="s">
        <v>20</v>
      </c>
      <c r="H1501" t="s">
        <v>21</v>
      </c>
      <c r="I1501" t="s">
        <v>20</v>
      </c>
      <c r="J1501" t="s">
        <v>29</v>
      </c>
      <c r="K1501">
        <v>1</v>
      </c>
      <c r="L1501">
        <v>48.433333333333302</v>
      </c>
      <c r="M1501" t="s">
        <v>30</v>
      </c>
      <c r="N1501" t="str">
        <f>_xlfn.XLOOKUP(A1501,[1]!brca_metabric_clinical_data__2[Patient ID], [1]!brca_metabric_clinical_data__2[Tumor Size])</f>
        <v>20</v>
      </c>
      <c r="O1501" t="str">
        <f>_xlfn.XLOOKUP(A1501,[1]!brca_metabric_clinical_data__2[Sample ID],[1]!brca_metabric_clinical_data__2[Tumor Stage])</f>
        <v>NA</v>
      </c>
    </row>
    <row r="1502" spans="1:15" x14ac:dyDescent="0.45">
      <c r="A1502" t="s">
        <v>1537</v>
      </c>
      <c r="B1502">
        <v>60.13</v>
      </c>
      <c r="C1502" t="s">
        <v>16</v>
      </c>
      <c r="D1502" t="s">
        <v>17</v>
      </c>
      <c r="E1502" t="s">
        <v>18</v>
      </c>
      <c r="F1502" t="s">
        <v>43</v>
      </c>
      <c r="G1502" t="s">
        <v>20</v>
      </c>
      <c r="H1502" t="s">
        <v>21</v>
      </c>
      <c r="I1502" t="s">
        <v>21</v>
      </c>
      <c r="J1502" t="s">
        <v>27</v>
      </c>
      <c r="K1502" t="s">
        <v>23</v>
      </c>
      <c r="L1502">
        <v>200.13333333333301</v>
      </c>
      <c r="M1502" t="s">
        <v>24</v>
      </c>
      <c r="N1502" t="str">
        <f>_xlfn.XLOOKUP(A1502,[1]!brca_metabric_clinical_data__2[Patient ID], [1]!brca_metabric_clinical_data__2[Tumor Size])</f>
        <v>20</v>
      </c>
      <c r="O1502" t="str">
        <f>_xlfn.XLOOKUP(A1502,[1]!brca_metabric_clinical_data__2[Sample ID],[1]!brca_metabric_clinical_data__2[Tumor Stage])</f>
        <v>1</v>
      </c>
    </row>
    <row r="1503" spans="1:15" x14ac:dyDescent="0.45">
      <c r="A1503" t="s">
        <v>1538</v>
      </c>
      <c r="B1503">
        <v>79.11</v>
      </c>
      <c r="C1503" t="s">
        <v>16</v>
      </c>
      <c r="D1503" t="s">
        <v>17</v>
      </c>
      <c r="E1503" t="s">
        <v>18</v>
      </c>
      <c r="F1503" t="s">
        <v>35</v>
      </c>
      <c r="G1503" t="s">
        <v>20</v>
      </c>
      <c r="H1503" t="s">
        <v>21</v>
      </c>
      <c r="I1503" t="s">
        <v>20</v>
      </c>
      <c r="J1503" t="s">
        <v>27</v>
      </c>
      <c r="K1503">
        <v>3</v>
      </c>
      <c r="L1503">
        <v>34.433333333333302</v>
      </c>
      <c r="M1503" t="s">
        <v>30</v>
      </c>
      <c r="N1503" t="str">
        <f>_xlfn.XLOOKUP(A1503,[1]!brca_metabric_clinical_data__2[Patient ID], [1]!brca_metabric_clinical_data__2[Tumor Size])</f>
        <v>40</v>
      </c>
      <c r="O1503" t="str">
        <f>_xlfn.XLOOKUP(A1503,[1]!brca_metabric_clinical_data__2[Sample ID],[1]!brca_metabric_clinical_data__2[Tumor Stage])</f>
        <v>2</v>
      </c>
    </row>
    <row r="1504" spans="1:15" x14ac:dyDescent="0.45">
      <c r="A1504" t="s">
        <v>1539</v>
      </c>
      <c r="B1504">
        <v>40.96</v>
      </c>
      <c r="C1504" t="s">
        <v>16</v>
      </c>
      <c r="D1504" t="s">
        <v>26</v>
      </c>
      <c r="E1504" t="s">
        <v>18</v>
      </c>
      <c r="F1504" t="s">
        <v>19</v>
      </c>
      <c r="G1504" t="s">
        <v>20</v>
      </c>
      <c r="H1504" t="s">
        <v>20</v>
      </c>
      <c r="I1504" t="s">
        <v>20</v>
      </c>
      <c r="J1504" t="s">
        <v>38</v>
      </c>
      <c r="K1504">
        <v>7</v>
      </c>
      <c r="L1504">
        <v>233.26666666666699</v>
      </c>
      <c r="M1504" t="s">
        <v>24</v>
      </c>
      <c r="N1504" t="str">
        <f>_xlfn.XLOOKUP(A1504,[1]!brca_metabric_clinical_data__2[Patient ID], [1]!brca_metabric_clinical_data__2[Tumor Size])</f>
        <v>5</v>
      </c>
      <c r="O1504" t="str">
        <f>_xlfn.XLOOKUP(A1504,[1]!brca_metabric_clinical_data__2[Sample ID],[1]!brca_metabric_clinical_data__2[Tumor Stage])</f>
        <v>1</v>
      </c>
    </row>
    <row r="1505" spans="1:15" x14ac:dyDescent="0.45">
      <c r="A1505" t="s">
        <v>1540</v>
      </c>
      <c r="B1505">
        <v>43.08</v>
      </c>
      <c r="C1505" t="s">
        <v>16</v>
      </c>
      <c r="D1505" t="s">
        <v>26</v>
      </c>
      <c r="E1505" t="s">
        <v>37</v>
      </c>
      <c r="F1505" t="s">
        <v>19</v>
      </c>
      <c r="G1505" t="s">
        <v>21</v>
      </c>
      <c r="H1505" t="s">
        <v>20</v>
      </c>
      <c r="I1505" t="s">
        <v>21</v>
      </c>
      <c r="J1505" t="s">
        <v>58</v>
      </c>
      <c r="K1505">
        <v>10</v>
      </c>
      <c r="L1505">
        <v>98.566666666666706</v>
      </c>
      <c r="M1505" t="s">
        <v>24</v>
      </c>
      <c r="N1505" t="str">
        <f>_xlfn.XLOOKUP(A1505,[1]!brca_metabric_clinical_data__2[Patient ID], [1]!brca_metabric_clinical_data__2[Tumor Size])</f>
        <v>30</v>
      </c>
      <c r="O1505" t="str">
        <f>_xlfn.XLOOKUP(A1505,[1]!brca_metabric_clinical_data__2[Sample ID],[1]!brca_metabric_clinical_data__2[Tumor Stage])</f>
        <v>2</v>
      </c>
    </row>
    <row r="1506" spans="1:15" x14ac:dyDescent="0.45">
      <c r="A1506" t="s">
        <v>1541</v>
      </c>
      <c r="B1506">
        <v>62.43</v>
      </c>
      <c r="C1506" t="s">
        <v>16</v>
      </c>
      <c r="D1506" t="s">
        <v>17</v>
      </c>
      <c r="E1506" t="s">
        <v>37</v>
      </c>
      <c r="F1506" t="s">
        <v>19</v>
      </c>
      <c r="G1506" t="s">
        <v>20</v>
      </c>
      <c r="H1506" t="s">
        <v>20</v>
      </c>
      <c r="I1506" t="s">
        <v>20</v>
      </c>
      <c r="J1506" t="s">
        <v>22</v>
      </c>
      <c r="K1506">
        <v>10</v>
      </c>
      <c r="L1506">
        <v>25.3333333333333</v>
      </c>
      <c r="M1506" t="s">
        <v>24</v>
      </c>
      <c r="N1506" t="str">
        <f>_xlfn.XLOOKUP(A1506,[1]!brca_metabric_clinical_data__2[Patient ID], [1]!brca_metabric_clinical_data__2[Tumor Size])</f>
        <v>50</v>
      </c>
      <c r="O1506" t="str">
        <f>_xlfn.XLOOKUP(A1506,[1]!brca_metabric_clinical_data__2[Sample ID],[1]!brca_metabric_clinical_data__2[Tumor Stage])</f>
        <v>NA</v>
      </c>
    </row>
    <row r="1507" spans="1:15" x14ac:dyDescent="0.45">
      <c r="A1507" t="s">
        <v>1542</v>
      </c>
      <c r="B1507">
        <v>54.83</v>
      </c>
      <c r="C1507" t="s">
        <v>16</v>
      </c>
      <c r="D1507" t="s">
        <v>17</v>
      </c>
      <c r="E1507" t="s">
        <v>37</v>
      </c>
      <c r="F1507" t="s">
        <v>43</v>
      </c>
      <c r="G1507" t="s">
        <v>21</v>
      </c>
      <c r="H1507" t="s">
        <v>20</v>
      </c>
      <c r="I1507" t="s">
        <v>21</v>
      </c>
      <c r="J1507" t="s">
        <v>45</v>
      </c>
      <c r="K1507">
        <v>1</v>
      </c>
      <c r="L1507">
        <v>88.933333333333294</v>
      </c>
      <c r="M1507" t="s">
        <v>30</v>
      </c>
      <c r="N1507" t="str">
        <f>_xlfn.XLOOKUP(A1507,[1]!brca_metabric_clinical_data__2[Patient ID], [1]!brca_metabric_clinical_data__2[Tumor Size])</f>
        <v>20</v>
      </c>
      <c r="O1507" t="str">
        <f>_xlfn.XLOOKUP(A1507,[1]!brca_metabric_clinical_data__2[Sample ID],[1]!brca_metabric_clinical_data__2[Tumor Stage])</f>
        <v>2</v>
      </c>
    </row>
    <row r="1508" spans="1:15" x14ac:dyDescent="0.45">
      <c r="A1508" t="s">
        <v>1543</v>
      </c>
      <c r="B1508">
        <v>84.3</v>
      </c>
      <c r="C1508" t="s">
        <v>16</v>
      </c>
      <c r="D1508" t="s">
        <v>17</v>
      </c>
      <c r="E1508" t="s">
        <v>18</v>
      </c>
      <c r="F1508" t="s">
        <v>19</v>
      </c>
      <c r="G1508" t="s">
        <v>20</v>
      </c>
      <c r="H1508" t="s">
        <v>21</v>
      </c>
      <c r="I1508" t="s">
        <v>20</v>
      </c>
      <c r="J1508" t="s">
        <v>27</v>
      </c>
      <c r="K1508">
        <v>3</v>
      </c>
      <c r="L1508">
        <v>171.3</v>
      </c>
      <c r="M1508" t="s">
        <v>30</v>
      </c>
      <c r="N1508" t="str">
        <f>_xlfn.XLOOKUP(A1508,[1]!brca_metabric_clinical_data__2[Patient ID], [1]!brca_metabric_clinical_data__2[Tumor Size])</f>
        <v>26</v>
      </c>
      <c r="O1508" t="str">
        <f>_xlfn.XLOOKUP(A1508,[1]!brca_metabric_clinical_data__2[Sample ID],[1]!brca_metabric_clinical_data__2[Tumor Stage])</f>
        <v>2</v>
      </c>
    </row>
    <row r="1509" spans="1:15" x14ac:dyDescent="0.45">
      <c r="A1509" t="s">
        <v>1544</v>
      </c>
      <c r="B1509">
        <v>67.239999999999995</v>
      </c>
      <c r="C1509" t="s">
        <v>16</v>
      </c>
      <c r="D1509" t="s">
        <v>17</v>
      </c>
      <c r="E1509" t="s">
        <v>37</v>
      </c>
      <c r="F1509" t="s">
        <v>19</v>
      </c>
      <c r="G1509" t="s">
        <v>20</v>
      </c>
      <c r="H1509" t="s">
        <v>21</v>
      </c>
      <c r="I1509" t="s">
        <v>21</v>
      </c>
      <c r="J1509" t="s">
        <v>58</v>
      </c>
      <c r="K1509">
        <v>10</v>
      </c>
      <c r="L1509">
        <v>182.23333333333301</v>
      </c>
      <c r="M1509" t="s">
        <v>24</v>
      </c>
      <c r="N1509" t="str">
        <f>_xlfn.XLOOKUP(A1509,[1]!brca_metabric_clinical_data__2[Patient ID], [1]!brca_metabric_clinical_data__2[Tumor Size])</f>
        <v>27</v>
      </c>
      <c r="O1509" t="str">
        <f>_xlfn.XLOOKUP(A1509,[1]!brca_metabric_clinical_data__2[Sample ID],[1]!brca_metabric_clinical_data__2[Tumor Stage])</f>
        <v>2</v>
      </c>
    </row>
    <row r="1510" spans="1:15" x14ac:dyDescent="0.45">
      <c r="A1510" t="s">
        <v>1545</v>
      </c>
      <c r="B1510">
        <v>69.77</v>
      </c>
      <c r="C1510" t="s">
        <v>16</v>
      </c>
      <c r="D1510" t="s">
        <v>17</v>
      </c>
      <c r="E1510" t="s">
        <v>18</v>
      </c>
      <c r="F1510" t="s">
        <v>19</v>
      </c>
      <c r="G1510" t="s">
        <v>20</v>
      </c>
      <c r="H1510" t="s">
        <v>21</v>
      </c>
      <c r="I1510" t="s">
        <v>20</v>
      </c>
      <c r="J1510" t="s">
        <v>29</v>
      </c>
      <c r="K1510">
        <v>6</v>
      </c>
      <c r="L1510">
        <v>34.700000000000003</v>
      </c>
      <c r="M1510" t="s">
        <v>30</v>
      </c>
      <c r="N1510" t="str">
        <f>_xlfn.XLOOKUP(A1510,[1]!brca_metabric_clinical_data__2[Patient ID], [1]!brca_metabric_clinical_data__2[Tumor Size])</f>
        <v>40</v>
      </c>
      <c r="O1510" t="str">
        <f>_xlfn.XLOOKUP(A1510,[1]!brca_metabric_clinical_data__2[Sample ID],[1]!brca_metabric_clinical_data__2[Tumor Stage])</f>
        <v>NA</v>
      </c>
    </row>
    <row r="1511" spans="1:15" x14ac:dyDescent="0.45">
      <c r="A1511" t="s">
        <v>1546</v>
      </c>
      <c r="B1511">
        <v>70.52</v>
      </c>
      <c r="C1511" t="s">
        <v>16</v>
      </c>
      <c r="D1511" t="s">
        <v>17</v>
      </c>
      <c r="E1511" t="s">
        <v>18</v>
      </c>
      <c r="F1511" t="s">
        <v>19</v>
      </c>
      <c r="G1511" t="s">
        <v>20</v>
      </c>
      <c r="H1511" t="s">
        <v>21</v>
      </c>
      <c r="I1511" t="s">
        <v>20</v>
      </c>
      <c r="J1511" t="s">
        <v>29</v>
      </c>
      <c r="K1511">
        <v>2</v>
      </c>
      <c r="L1511">
        <v>154.5</v>
      </c>
      <c r="M1511" t="s">
        <v>30</v>
      </c>
      <c r="N1511" t="str">
        <f>_xlfn.XLOOKUP(A1511,[1]!brca_metabric_clinical_data__2[Patient ID], [1]!brca_metabric_clinical_data__2[Tumor Size])</f>
        <v>30</v>
      </c>
      <c r="O1511" t="str">
        <f>_xlfn.XLOOKUP(A1511,[1]!brca_metabric_clinical_data__2[Sample ID],[1]!brca_metabric_clinical_data__2[Tumor Stage])</f>
        <v>2</v>
      </c>
    </row>
    <row r="1512" spans="1:15" x14ac:dyDescent="0.45">
      <c r="A1512" t="s">
        <v>1547</v>
      </c>
      <c r="B1512">
        <v>57.75</v>
      </c>
      <c r="C1512" t="s">
        <v>16</v>
      </c>
      <c r="D1512" t="s">
        <v>17</v>
      </c>
      <c r="E1512" t="s">
        <v>18</v>
      </c>
      <c r="F1512" t="s">
        <v>19</v>
      </c>
      <c r="G1512" t="s">
        <v>20</v>
      </c>
      <c r="H1512" t="s">
        <v>21</v>
      </c>
      <c r="I1512" t="s">
        <v>21</v>
      </c>
      <c r="J1512" t="s">
        <v>27</v>
      </c>
      <c r="K1512">
        <v>2</v>
      </c>
      <c r="L1512">
        <v>229.833333333333</v>
      </c>
      <c r="M1512" t="s">
        <v>24</v>
      </c>
      <c r="N1512" t="str">
        <f>_xlfn.XLOOKUP(A1512,[1]!brca_metabric_clinical_data__2[Patient ID], [1]!brca_metabric_clinical_data__2[Tumor Size])</f>
        <v>26</v>
      </c>
      <c r="O1512" t="str">
        <f>_xlfn.XLOOKUP(A1512,[1]!brca_metabric_clinical_data__2[Sample ID],[1]!brca_metabric_clinical_data__2[Tumor Stage])</f>
        <v>2</v>
      </c>
    </row>
    <row r="1513" spans="1:15" x14ac:dyDescent="0.45">
      <c r="A1513" t="s">
        <v>1548</v>
      </c>
      <c r="B1513">
        <v>53.56</v>
      </c>
      <c r="C1513" t="s">
        <v>16</v>
      </c>
      <c r="D1513" t="s">
        <v>17</v>
      </c>
      <c r="E1513" t="s">
        <v>18</v>
      </c>
      <c r="F1513" t="s">
        <v>19</v>
      </c>
      <c r="G1513" t="s">
        <v>20</v>
      </c>
      <c r="H1513" t="s">
        <v>21</v>
      </c>
      <c r="I1513" t="s">
        <v>21</v>
      </c>
      <c r="J1513" t="s">
        <v>29</v>
      </c>
      <c r="K1513">
        <v>1</v>
      </c>
      <c r="L1513">
        <v>225.4</v>
      </c>
      <c r="M1513" t="s">
        <v>24</v>
      </c>
      <c r="N1513" t="str">
        <f>_xlfn.XLOOKUP(A1513,[1]!brca_metabric_clinical_data__2[Patient ID], [1]!brca_metabric_clinical_data__2[Tumor Size])</f>
        <v>20</v>
      </c>
      <c r="O1513" t="str">
        <f>_xlfn.XLOOKUP(A1513,[1]!brca_metabric_clinical_data__2[Sample ID],[1]!brca_metabric_clinical_data__2[Tumor Stage])</f>
        <v>1</v>
      </c>
    </row>
    <row r="1514" spans="1:15" x14ac:dyDescent="0.45">
      <c r="A1514" t="s">
        <v>1549</v>
      </c>
      <c r="B1514">
        <v>35.130000000000003</v>
      </c>
      <c r="C1514" t="s">
        <v>16</v>
      </c>
      <c r="D1514" t="s">
        <v>26</v>
      </c>
      <c r="E1514" t="s">
        <v>37</v>
      </c>
      <c r="F1514" t="s">
        <v>43</v>
      </c>
      <c r="G1514" t="s">
        <v>21</v>
      </c>
      <c r="H1514" t="s">
        <v>20</v>
      </c>
      <c r="I1514" t="s">
        <v>20</v>
      </c>
      <c r="J1514" t="s">
        <v>58</v>
      </c>
      <c r="K1514">
        <v>5</v>
      </c>
      <c r="L1514">
        <v>25.033333333333299</v>
      </c>
      <c r="M1514" t="s">
        <v>24</v>
      </c>
      <c r="N1514" t="str">
        <f>_xlfn.XLOOKUP(A1514,[1]!brca_metabric_clinical_data__2[Patient ID], [1]!brca_metabric_clinical_data__2[Tumor Size])</f>
        <v>75</v>
      </c>
      <c r="O1514" t="str">
        <f>_xlfn.XLOOKUP(A1514,[1]!brca_metabric_clinical_data__2[Sample ID],[1]!brca_metabric_clinical_data__2[Tumor Stage])</f>
        <v>3</v>
      </c>
    </row>
    <row r="1515" spans="1:15" x14ac:dyDescent="0.45">
      <c r="A1515" t="s">
        <v>1550</v>
      </c>
      <c r="B1515">
        <v>42.12</v>
      </c>
      <c r="C1515" t="s">
        <v>16</v>
      </c>
      <c r="D1515" t="s">
        <v>26</v>
      </c>
      <c r="E1515" t="s">
        <v>37</v>
      </c>
      <c r="F1515" t="s">
        <v>19</v>
      </c>
      <c r="G1515" t="s">
        <v>21</v>
      </c>
      <c r="H1515" t="s">
        <v>20</v>
      </c>
      <c r="I1515" t="s">
        <v>21</v>
      </c>
      <c r="J1515" t="s">
        <v>58</v>
      </c>
      <c r="K1515">
        <v>10</v>
      </c>
      <c r="L1515">
        <v>18.8333333333333</v>
      </c>
      <c r="M1515" t="s">
        <v>30</v>
      </c>
      <c r="N1515" t="str">
        <f>_xlfn.XLOOKUP(A1515,[1]!brca_metabric_clinical_data__2[Patient ID], [1]!brca_metabric_clinical_data__2[Tumor Size])</f>
        <v>48</v>
      </c>
      <c r="O1515" t="str">
        <f>_xlfn.XLOOKUP(A1515,[1]!brca_metabric_clinical_data__2[Sample ID],[1]!brca_metabric_clinical_data__2[Tumor Stage])</f>
        <v>2</v>
      </c>
    </row>
    <row r="1516" spans="1:15" x14ac:dyDescent="0.45">
      <c r="A1516" t="s">
        <v>1551</v>
      </c>
      <c r="B1516">
        <v>44.05</v>
      </c>
      <c r="C1516" t="s">
        <v>16</v>
      </c>
      <c r="D1516" t="s">
        <v>26</v>
      </c>
      <c r="E1516" t="s">
        <v>37</v>
      </c>
      <c r="F1516" t="s">
        <v>35</v>
      </c>
      <c r="G1516" t="s">
        <v>20</v>
      </c>
      <c r="H1516" t="s">
        <v>20</v>
      </c>
      <c r="I1516" t="s">
        <v>21</v>
      </c>
      <c r="J1516" t="s">
        <v>58</v>
      </c>
      <c r="K1516">
        <v>10</v>
      </c>
      <c r="L1516">
        <v>186.6</v>
      </c>
      <c r="M1516" t="s">
        <v>24</v>
      </c>
      <c r="N1516" t="str">
        <f>_xlfn.XLOOKUP(A1516,[1]!brca_metabric_clinical_data__2[Patient ID], [1]!brca_metabric_clinical_data__2[Tumor Size])</f>
        <v>15</v>
      </c>
      <c r="O1516" t="str">
        <f>_xlfn.XLOOKUP(A1516,[1]!brca_metabric_clinical_data__2[Sample ID],[1]!brca_metabric_clinical_data__2[Tumor Stage])</f>
        <v>1</v>
      </c>
    </row>
    <row r="1517" spans="1:15" x14ac:dyDescent="0.45">
      <c r="A1517" t="s">
        <v>1552</v>
      </c>
      <c r="B1517">
        <v>73.930000000000007</v>
      </c>
      <c r="C1517" t="s">
        <v>16</v>
      </c>
      <c r="D1517" t="s">
        <v>17</v>
      </c>
      <c r="E1517" t="s">
        <v>18</v>
      </c>
      <c r="F1517" t="s">
        <v>19</v>
      </c>
      <c r="G1517" t="s">
        <v>20</v>
      </c>
      <c r="H1517" t="s">
        <v>20</v>
      </c>
      <c r="I1517" t="s">
        <v>21</v>
      </c>
      <c r="J1517" t="s">
        <v>29</v>
      </c>
      <c r="K1517">
        <v>2</v>
      </c>
      <c r="L1517">
        <v>102.966666666667</v>
      </c>
      <c r="M1517" t="s">
        <v>30</v>
      </c>
      <c r="N1517" t="str">
        <f>_xlfn.XLOOKUP(A1517,[1]!brca_metabric_clinical_data__2[Patient ID], [1]!brca_metabric_clinical_data__2[Tumor Size])</f>
        <v>15</v>
      </c>
      <c r="O1517" t="str">
        <f>_xlfn.XLOOKUP(A1517,[1]!brca_metabric_clinical_data__2[Sample ID],[1]!brca_metabric_clinical_data__2[Tumor Stage])</f>
        <v>1</v>
      </c>
    </row>
    <row r="1518" spans="1:15" x14ac:dyDescent="0.45">
      <c r="A1518" t="s">
        <v>1553</v>
      </c>
      <c r="B1518">
        <v>76.3</v>
      </c>
      <c r="C1518" t="s">
        <v>16</v>
      </c>
      <c r="D1518" t="s">
        <v>17</v>
      </c>
      <c r="E1518" t="s">
        <v>18</v>
      </c>
      <c r="F1518" t="s">
        <v>43</v>
      </c>
      <c r="G1518" t="s">
        <v>20</v>
      </c>
      <c r="H1518" t="s">
        <v>20</v>
      </c>
      <c r="I1518" t="s">
        <v>20</v>
      </c>
      <c r="J1518" t="s">
        <v>27</v>
      </c>
      <c r="K1518">
        <v>3</v>
      </c>
      <c r="L1518">
        <v>117.666666666667</v>
      </c>
      <c r="M1518" t="s">
        <v>30</v>
      </c>
      <c r="N1518" t="str">
        <f>_xlfn.XLOOKUP(A1518,[1]!brca_metabric_clinical_data__2[Patient ID], [1]!brca_metabric_clinical_data__2[Tumor Size])</f>
        <v>15</v>
      </c>
      <c r="O1518" t="str">
        <f>_xlfn.XLOOKUP(A1518,[1]!brca_metabric_clinical_data__2[Sample ID],[1]!brca_metabric_clinical_data__2[Tumor Stage])</f>
        <v>1</v>
      </c>
    </row>
    <row r="1519" spans="1:15" x14ac:dyDescent="0.45">
      <c r="A1519" t="s">
        <v>1554</v>
      </c>
      <c r="B1519">
        <v>64.27</v>
      </c>
      <c r="C1519" t="s">
        <v>16</v>
      </c>
      <c r="D1519" t="s">
        <v>17</v>
      </c>
      <c r="E1519" t="s">
        <v>37</v>
      </c>
      <c r="F1519" t="s">
        <v>19</v>
      </c>
      <c r="G1519" t="s">
        <v>21</v>
      </c>
      <c r="H1519" t="s">
        <v>21</v>
      </c>
      <c r="I1519" t="s">
        <v>21</v>
      </c>
      <c r="J1519" t="s">
        <v>22</v>
      </c>
      <c r="K1519">
        <v>10</v>
      </c>
      <c r="L1519">
        <v>194.1</v>
      </c>
      <c r="M1519" t="s">
        <v>30</v>
      </c>
      <c r="N1519" t="str">
        <f>_xlfn.XLOOKUP(A1519,[1]!brca_metabric_clinical_data__2[Patient ID], [1]!brca_metabric_clinical_data__2[Tumor Size])</f>
        <v>30</v>
      </c>
      <c r="O1519" t="str">
        <f>_xlfn.XLOOKUP(A1519,[1]!brca_metabric_clinical_data__2[Sample ID],[1]!brca_metabric_clinical_data__2[Tumor Stage])</f>
        <v>2</v>
      </c>
    </row>
    <row r="1520" spans="1:15" x14ac:dyDescent="0.45">
      <c r="A1520" t="s">
        <v>1555</v>
      </c>
      <c r="B1520">
        <v>38.44</v>
      </c>
      <c r="C1520" t="s">
        <v>16</v>
      </c>
      <c r="D1520" t="s">
        <v>26</v>
      </c>
      <c r="E1520" t="s">
        <v>37</v>
      </c>
      <c r="F1520" t="s">
        <v>19</v>
      </c>
      <c r="G1520" t="s">
        <v>21</v>
      </c>
      <c r="H1520" t="s">
        <v>21</v>
      </c>
      <c r="I1520" t="s">
        <v>21</v>
      </c>
      <c r="J1520" t="s">
        <v>58</v>
      </c>
      <c r="K1520">
        <v>10</v>
      </c>
      <c r="L1520">
        <v>234.4</v>
      </c>
      <c r="M1520" t="s">
        <v>24</v>
      </c>
      <c r="N1520" t="str">
        <f>_xlfn.XLOOKUP(A1520,[1]!brca_metabric_clinical_data__2[Patient ID], [1]!brca_metabric_clinical_data__2[Tumor Size])</f>
        <v>32</v>
      </c>
      <c r="O1520" t="str">
        <f>_xlfn.XLOOKUP(A1520,[1]!brca_metabric_clinical_data__2[Sample ID],[1]!brca_metabric_clinical_data__2[Tumor Stage])</f>
        <v>NA</v>
      </c>
    </row>
    <row r="1521" spans="1:15" x14ac:dyDescent="0.45">
      <c r="A1521" t="s">
        <v>1556</v>
      </c>
      <c r="B1521">
        <v>74.95</v>
      </c>
      <c r="C1521" t="s">
        <v>16</v>
      </c>
      <c r="D1521" t="s">
        <v>17</v>
      </c>
      <c r="E1521" t="s">
        <v>18</v>
      </c>
      <c r="F1521" t="s">
        <v>19</v>
      </c>
      <c r="G1521" t="s">
        <v>20</v>
      </c>
      <c r="H1521" t="s">
        <v>21</v>
      </c>
      <c r="I1521" t="s">
        <v>21</v>
      </c>
      <c r="J1521" t="s">
        <v>27</v>
      </c>
      <c r="K1521">
        <v>3</v>
      </c>
      <c r="L1521">
        <v>178.566666666667</v>
      </c>
      <c r="M1521" t="s">
        <v>30</v>
      </c>
      <c r="N1521" t="str">
        <f>_xlfn.XLOOKUP(A1521,[1]!brca_metabric_clinical_data__2[Patient ID], [1]!brca_metabric_clinical_data__2[Tumor Size])</f>
        <v>20</v>
      </c>
      <c r="O1521" t="str">
        <f>_xlfn.XLOOKUP(A1521,[1]!brca_metabric_clinical_data__2[Sample ID],[1]!brca_metabric_clinical_data__2[Tumor Stage])</f>
        <v>1</v>
      </c>
    </row>
    <row r="1522" spans="1:15" x14ac:dyDescent="0.45">
      <c r="A1522" t="s">
        <v>1557</v>
      </c>
      <c r="B1522">
        <v>78.84</v>
      </c>
      <c r="C1522" t="s">
        <v>16</v>
      </c>
      <c r="D1522" t="s">
        <v>17</v>
      </c>
      <c r="E1522" t="s">
        <v>18</v>
      </c>
      <c r="F1522" t="s">
        <v>19</v>
      </c>
      <c r="G1522" t="s">
        <v>20</v>
      </c>
      <c r="H1522" t="s">
        <v>21</v>
      </c>
      <c r="I1522" t="s">
        <v>20</v>
      </c>
      <c r="J1522" t="s">
        <v>27</v>
      </c>
      <c r="K1522">
        <v>7</v>
      </c>
      <c r="L1522">
        <v>153.86666666666699</v>
      </c>
      <c r="M1522" t="s">
        <v>30</v>
      </c>
      <c r="N1522" t="str">
        <f>_xlfn.XLOOKUP(A1522,[1]!brca_metabric_clinical_data__2[Patient ID], [1]!brca_metabric_clinical_data__2[Tumor Size])</f>
        <v>25</v>
      </c>
      <c r="O1522" t="str">
        <f>_xlfn.XLOOKUP(A1522,[1]!brca_metabric_clinical_data__2[Sample ID],[1]!brca_metabric_clinical_data__2[Tumor Stage])</f>
        <v>2</v>
      </c>
    </row>
    <row r="1523" spans="1:15" x14ac:dyDescent="0.45">
      <c r="A1523" t="s">
        <v>1558</v>
      </c>
      <c r="B1523">
        <v>47.88</v>
      </c>
      <c r="C1523" t="s">
        <v>16</v>
      </c>
      <c r="D1523" t="s">
        <v>26</v>
      </c>
      <c r="E1523" t="s">
        <v>37</v>
      </c>
      <c r="F1523" t="s">
        <v>19</v>
      </c>
      <c r="G1523" t="s">
        <v>20</v>
      </c>
      <c r="H1523" t="s">
        <v>20</v>
      </c>
      <c r="I1523" t="s">
        <v>21</v>
      </c>
      <c r="J1523" t="s">
        <v>22</v>
      </c>
      <c r="K1523">
        <v>10</v>
      </c>
      <c r="L1523">
        <v>178.63333333333301</v>
      </c>
      <c r="M1523" t="s">
        <v>24</v>
      </c>
      <c r="N1523" t="str">
        <f>_xlfn.XLOOKUP(A1523,[1]!brca_metabric_clinical_data__2[Patient ID], [1]!brca_metabric_clinical_data__2[Tumor Size])</f>
        <v>15</v>
      </c>
      <c r="O1523" t="str">
        <f>_xlfn.XLOOKUP(A1523,[1]!brca_metabric_clinical_data__2[Sample ID],[1]!brca_metabric_clinical_data__2[Tumor Stage])</f>
        <v>1</v>
      </c>
    </row>
    <row r="1524" spans="1:15" x14ac:dyDescent="0.45">
      <c r="A1524" t="s">
        <v>1559</v>
      </c>
      <c r="B1524">
        <v>52.63</v>
      </c>
      <c r="C1524" t="s">
        <v>16</v>
      </c>
      <c r="D1524" t="s">
        <v>17</v>
      </c>
      <c r="E1524" t="s">
        <v>18</v>
      </c>
      <c r="F1524" t="s">
        <v>19</v>
      </c>
      <c r="G1524" t="s">
        <v>20</v>
      </c>
      <c r="H1524" t="s">
        <v>21</v>
      </c>
      <c r="I1524" t="s">
        <v>21</v>
      </c>
      <c r="J1524" t="s">
        <v>29</v>
      </c>
      <c r="K1524">
        <v>1</v>
      </c>
      <c r="L1524">
        <v>117.666666666667</v>
      </c>
      <c r="M1524" t="s">
        <v>30</v>
      </c>
      <c r="N1524" t="str">
        <f>_xlfn.XLOOKUP(A1524,[1]!brca_metabric_clinical_data__2[Patient ID], [1]!brca_metabric_clinical_data__2[Tumor Size])</f>
        <v>20</v>
      </c>
      <c r="O1524" t="str">
        <f>_xlfn.XLOOKUP(A1524,[1]!brca_metabric_clinical_data__2[Sample ID],[1]!brca_metabric_clinical_data__2[Tumor Stage])</f>
        <v>1</v>
      </c>
    </row>
    <row r="1525" spans="1:15" x14ac:dyDescent="0.45">
      <c r="A1525" t="s">
        <v>1560</v>
      </c>
      <c r="B1525">
        <v>67.790000000000006</v>
      </c>
      <c r="C1525" t="s">
        <v>16</v>
      </c>
      <c r="D1525" t="s">
        <v>17</v>
      </c>
      <c r="E1525" t="s">
        <v>18</v>
      </c>
      <c r="F1525" t="s">
        <v>19</v>
      </c>
      <c r="G1525" t="s">
        <v>20</v>
      </c>
      <c r="H1525" t="s">
        <v>21</v>
      </c>
      <c r="I1525" t="s">
        <v>21</v>
      </c>
      <c r="J1525" t="s">
        <v>29</v>
      </c>
      <c r="K1525">
        <v>1</v>
      </c>
      <c r="L1525">
        <v>194</v>
      </c>
      <c r="M1525" t="s">
        <v>24</v>
      </c>
      <c r="N1525" t="str">
        <f>_xlfn.XLOOKUP(A1525,[1]!brca_metabric_clinical_data__2[Patient ID], [1]!brca_metabric_clinical_data__2[Tumor Size])</f>
        <v>20</v>
      </c>
      <c r="O1525" t="str">
        <f>_xlfn.XLOOKUP(A1525,[1]!brca_metabric_clinical_data__2[Sample ID],[1]!brca_metabric_clinical_data__2[Tumor Stage])</f>
        <v>1</v>
      </c>
    </row>
    <row r="1526" spans="1:15" x14ac:dyDescent="0.45">
      <c r="A1526" t="s">
        <v>1561</v>
      </c>
      <c r="B1526">
        <v>68.64</v>
      </c>
      <c r="C1526" t="s">
        <v>16</v>
      </c>
      <c r="D1526" t="s">
        <v>17</v>
      </c>
      <c r="E1526" t="s">
        <v>18</v>
      </c>
      <c r="F1526" t="s">
        <v>19</v>
      </c>
      <c r="G1526" t="s">
        <v>20</v>
      </c>
      <c r="H1526" t="s">
        <v>21</v>
      </c>
      <c r="I1526" t="s">
        <v>20</v>
      </c>
      <c r="J1526" t="s">
        <v>22</v>
      </c>
      <c r="K1526">
        <v>3</v>
      </c>
      <c r="L1526">
        <v>55.4</v>
      </c>
      <c r="M1526" t="s">
        <v>30</v>
      </c>
      <c r="N1526" t="str">
        <f>_xlfn.XLOOKUP(A1526,[1]!brca_metabric_clinical_data__2[Patient ID], [1]!brca_metabric_clinical_data__2[Tumor Size])</f>
        <v>60</v>
      </c>
      <c r="O1526" t="str">
        <f>_xlfn.XLOOKUP(A1526,[1]!brca_metabric_clinical_data__2[Sample ID],[1]!brca_metabric_clinical_data__2[Tumor Stage])</f>
        <v>3</v>
      </c>
    </row>
    <row r="1527" spans="1:15" x14ac:dyDescent="0.45">
      <c r="A1527" t="s">
        <v>1562</v>
      </c>
      <c r="B1527">
        <v>68.819999999999993</v>
      </c>
      <c r="C1527" t="s">
        <v>16</v>
      </c>
      <c r="D1527" t="s">
        <v>17</v>
      </c>
      <c r="E1527" t="s">
        <v>18</v>
      </c>
      <c r="F1527" t="s">
        <v>19</v>
      </c>
      <c r="G1527" t="s">
        <v>20</v>
      </c>
      <c r="H1527" t="s">
        <v>21</v>
      </c>
      <c r="I1527" t="s">
        <v>21</v>
      </c>
      <c r="J1527" t="s">
        <v>27</v>
      </c>
      <c r="K1527">
        <v>2</v>
      </c>
      <c r="L1527">
        <v>90.6</v>
      </c>
      <c r="M1527" t="s">
        <v>30</v>
      </c>
      <c r="N1527" t="str">
        <f>_xlfn.XLOOKUP(A1527,[1]!brca_metabric_clinical_data__2[Patient ID], [1]!brca_metabric_clinical_data__2[Tumor Size])</f>
        <v>30</v>
      </c>
      <c r="O1527" t="str">
        <f>_xlfn.XLOOKUP(A1527,[1]!brca_metabric_clinical_data__2[Sample ID],[1]!brca_metabric_clinical_data__2[Tumor Stage])</f>
        <v>2</v>
      </c>
    </row>
    <row r="1528" spans="1:15" x14ac:dyDescent="0.45">
      <c r="A1528" t="s">
        <v>1563</v>
      </c>
      <c r="B1528">
        <v>75.28</v>
      </c>
      <c r="C1528" t="s">
        <v>16</v>
      </c>
      <c r="D1528" t="s">
        <v>17</v>
      </c>
      <c r="E1528" t="s">
        <v>18</v>
      </c>
      <c r="F1528" t="s">
        <v>19</v>
      </c>
      <c r="G1528" t="s">
        <v>20</v>
      </c>
      <c r="H1528" t="s">
        <v>21</v>
      </c>
      <c r="I1528" t="s">
        <v>20</v>
      </c>
      <c r="J1528" t="s">
        <v>27</v>
      </c>
      <c r="K1528" t="s">
        <v>23</v>
      </c>
      <c r="L1528">
        <v>71.633333333333297</v>
      </c>
      <c r="M1528" t="s">
        <v>30</v>
      </c>
      <c r="N1528" t="str">
        <f>_xlfn.XLOOKUP(A1528,[1]!brca_metabric_clinical_data__2[Patient ID], [1]!brca_metabric_clinical_data__2[Tumor Size])</f>
        <v>25</v>
      </c>
      <c r="O1528" t="str">
        <f>_xlfn.XLOOKUP(A1528,[1]!brca_metabric_clinical_data__2[Sample ID],[1]!brca_metabric_clinical_data__2[Tumor Stage])</f>
        <v>2</v>
      </c>
    </row>
    <row r="1529" spans="1:15" x14ac:dyDescent="0.45">
      <c r="A1529" t="s">
        <v>1564</v>
      </c>
      <c r="B1529">
        <v>46.43</v>
      </c>
      <c r="C1529" t="s">
        <v>16</v>
      </c>
      <c r="D1529" t="s">
        <v>26</v>
      </c>
      <c r="E1529" t="s">
        <v>18</v>
      </c>
      <c r="F1529" t="s">
        <v>19</v>
      </c>
      <c r="G1529" t="s">
        <v>20</v>
      </c>
      <c r="H1529" t="s">
        <v>20</v>
      </c>
      <c r="I1529" t="s">
        <v>21</v>
      </c>
      <c r="J1529" t="s">
        <v>27</v>
      </c>
      <c r="K1529">
        <v>3</v>
      </c>
      <c r="L1529">
        <v>222.333333333333</v>
      </c>
      <c r="M1529" t="s">
        <v>24</v>
      </c>
      <c r="N1529" t="str">
        <f>_xlfn.XLOOKUP(A1529,[1]!brca_metabric_clinical_data__2[Patient ID], [1]!brca_metabric_clinical_data__2[Tumor Size])</f>
        <v>10</v>
      </c>
      <c r="O1529" t="str">
        <f>_xlfn.XLOOKUP(A1529,[1]!brca_metabric_clinical_data__2[Sample ID],[1]!brca_metabric_clinical_data__2[Tumor Stage])</f>
        <v>1</v>
      </c>
    </row>
    <row r="1530" spans="1:15" x14ac:dyDescent="0.45">
      <c r="A1530" t="s">
        <v>1565</v>
      </c>
      <c r="B1530">
        <v>50.75</v>
      </c>
      <c r="C1530" t="s">
        <v>16</v>
      </c>
      <c r="D1530" t="s">
        <v>17</v>
      </c>
      <c r="E1530" t="s">
        <v>18</v>
      </c>
      <c r="F1530" t="s">
        <v>19</v>
      </c>
      <c r="G1530" t="s">
        <v>20</v>
      </c>
      <c r="H1530" t="s">
        <v>20</v>
      </c>
      <c r="I1530" t="s">
        <v>21</v>
      </c>
      <c r="J1530" t="s">
        <v>27</v>
      </c>
      <c r="K1530">
        <v>7</v>
      </c>
      <c r="L1530">
        <v>111.366666666667</v>
      </c>
      <c r="M1530" t="s">
        <v>24</v>
      </c>
      <c r="N1530" t="str">
        <f>_xlfn.XLOOKUP(A1530,[1]!brca_metabric_clinical_data__2[Patient ID], [1]!brca_metabric_clinical_data__2[Tumor Size])</f>
        <v>16</v>
      </c>
      <c r="O1530" t="str">
        <f>_xlfn.XLOOKUP(A1530,[1]!brca_metabric_clinical_data__2[Sample ID],[1]!brca_metabric_clinical_data__2[Tumor Stage])</f>
        <v>1</v>
      </c>
    </row>
    <row r="1531" spans="1:15" x14ac:dyDescent="0.45">
      <c r="A1531" t="s">
        <v>1566</v>
      </c>
      <c r="B1531">
        <v>69.55</v>
      </c>
      <c r="C1531" t="s">
        <v>16</v>
      </c>
      <c r="D1531" t="s">
        <v>17</v>
      </c>
      <c r="E1531" t="s">
        <v>18</v>
      </c>
      <c r="F1531" t="s">
        <v>19</v>
      </c>
      <c r="G1531" t="s">
        <v>20</v>
      </c>
      <c r="H1531" t="s">
        <v>21</v>
      </c>
      <c r="I1531" t="s">
        <v>20</v>
      </c>
      <c r="J1531" t="s">
        <v>45</v>
      </c>
      <c r="K1531">
        <v>1</v>
      </c>
      <c r="L1531">
        <v>91.1</v>
      </c>
      <c r="M1531" t="s">
        <v>30</v>
      </c>
      <c r="N1531" t="str">
        <f>_xlfn.XLOOKUP(A1531,[1]!brca_metabric_clinical_data__2[Patient ID], [1]!brca_metabric_clinical_data__2[Tumor Size])</f>
        <v>20</v>
      </c>
      <c r="O1531" t="str">
        <f>_xlfn.XLOOKUP(A1531,[1]!brca_metabric_clinical_data__2[Sample ID],[1]!brca_metabric_clinical_data__2[Tumor Stage])</f>
        <v>1</v>
      </c>
    </row>
    <row r="1532" spans="1:15" x14ac:dyDescent="0.45">
      <c r="A1532" t="s">
        <v>1567</v>
      </c>
      <c r="B1532">
        <v>75.88</v>
      </c>
      <c r="C1532" t="s">
        <v>16</v>
      </c>
      <c r="D1532" t="s">
        <v>17</v>
      </c>
      <c r="E1532" t="s">
        <v>18</v>
      </c>
      <c r="F1532" t="s">
        <v>19</v>
      </c>
      <c r="G1532" t="s">
        <v>20</v>
      </c>
      <c r="H1532" t="s">
        <v>21</v>
      </c>
      <c r="I1532" t="s">
        <v>20</v>
      </c>
      <c r="J1532" t="s">
        <v>27</v>
      </c>
      <c r="K1532">
        <v>8</v>
      </c>
      <c r="L1532">
        <v>53.9</v>
      </c>
      <c r="M1532" t="s">
        <v>30</v>
      </c>
      <c r="N1532" t="str">
        <f>_xlfn.XLOOKUP(A1532,[1]!brca_metabric_clinical_data__2[Patient ID], [1]!brca_metabric_clinical_data__2[Tumor Size])</f>
        <v>35</v>
      </c>
      <c r="O1532" t="str">
        <f>_xlfn.XLOOKUP(A1532,[1]!brca_metabric_clinical_data__2[Sample ID],[1]!brca_metabric_clinical_data__2[Tumor Stage])</f>
        <v>2</v>
      </c>
    </row>
    <row r="1533" spans="1:15" x14ac:dyDescent="0.45">
      <c r="A1533" t="s">
        <v>1568</v>
      </c>
      <c r="B1533">
        <v>66.55</v>
      </c>
      <c r="C1533" t="s">
        <v>16</v>
      </c>
      <c r="D1533" t="s">
        <v>17</v>
      </c>
      <c r="E1533" t="s">
        <v>18</v>
      </c>
      <c r="F1533" t="s">
        <v>19</v>
      </c>
      <c r="G1533" t="s">
        <v>20</v>
      </c>
      <c r="H1533" t="s">
        <v>21</v>
      </c>
      <c r="I1533" t="s">
        <v>20</v>
      </c>
      <c r="J1533" t="s">
        <v>22</v>
      </c>
      <c r="K1533" t="s">
        <v>23</v>
      </c>
      <c r="L1533">
        <v>81.133333333333297</v>
      </c>
      <c r="M1533" t="s">
        <v>30</v>
      </c>
      <c r="N1533" t="str">
        <f>_xlfn.XLOOKUP(A1533,[1]!brca_metabric_clinical_data__2[Patient ID], [1]!brca_metabric_clinical_data__2[Tumor Size])</f>
        <v>18</v>
      </c>
      <c r="O1533" t="str">
        <f>_xlfn.XLOOKUP(A1533,[1]!brca_metabric_clinical_data__2[Sample ID],[1]!brca_metabric_clinical_data__2[Tumor Stage])</f>
        <v>2</v>
      </c>
    </row>
    <row r="1534" spans="1:15" x14ac:dyDescent="0.45">
      <c r="A1534" t="s">
        <v>1569</v>
      </c>
      <c r="B1534">
        <v>70.86</v>
      </c>
      <c r="C1534" t="s">
        <v>16</v>
      </c>
      <c r="D1534" t="s">
        <v>17</v>
      </c>
      <c r="E1534" t="s">
        <v>18</v>
      </c>
      <c r="F1534" t="s">
        <v>19</v>
      </c>
      <c r="G1534" t="s">
        <v>20</v>
      </c>
      <c r="H1534" t="s">
        <v>21</v>
      </c>
      <c r="I1534" t="s">
        <v>21</v>
      </c>
      <c r="J1534" t="s">
        <v>27</v>
      </c>
      <c r="K1534">
        <v>8</v>
      </c>
      <c r="L1534">
        <v>185.13333333333301</v>
      </c>
      <c r="M1534" t="s">
        <v>24</v>
      </c>
      <c r="N1534" t="str">
        <f>_xlfn.XLOOKUP(A1534,[1]!brca_metabric_clinical_data__2[Patient ID], [1]!brca_metabric_clinical_data__2[Tumor Size])</f>
        <v>20</v>
      </c>
      <c r="O1534" t="str">
        <f>_xlfn.XLOOKUP(A1534,[1]!brca_metabric_clinical_data__2[Sample ID],[1]!brca_metabric_clinical_data__2[Tumor Stage])</f>
        <v>NA</v>
      </c>
    </row>
    <row r="1535" spans="1:15" x14ac:dyDescent="0.45">
      <c r="A1535" t="s">
        <v>1570</v>
      </c>
      <c r="B1535">
        <v>64.930000000000007</v>
      </c>
      <c r="C1535" t="s">
        <v>16</v>
      </c>
      <c r="D1535" t="s">
        <v>17</v>
      </c>
      <c r="E1535" t="s">
        <v>18</v>
      </c>
      <c r="F1535" t="s">
        <v>19</v>
      </c>
      <c r="G1535" t="s">
        <v>20</v>
      </c>
      <c r="H1535" t="s">
        <v>21</v>
      </c>
      <c r="I1535" t="s">
        <v>20</v>
      </c>
      <c r="J1535" t="s">
        <v>29</v>
      </c>
      <c r="K1535" t="s">
        <v>23</v>
      </c>
      <c r="L1535">
        <v>17.8333333333333</v>
      </c>
      <c r="M1535" t="s">
        <v>24</v>
      </c>
      <c r="N1535" t="str">
        <f>_xlfn.XLOOKUP(A1535,[1]!brca_metabric_clinical_data__2[Patient ID], [1]!brca_metabric_clinical_data__2[Tumor Size])</f>
        <v>26</v>
      </c>
      <c r="O1535" t="str">
        <f>_xlfn.XLOOKUP(A1535,[1]!brca_metabric_clinical_data__2[Sample ID],[1]!brca_metabric_clinical_data__2[Tumor Stage])</f>
        <v>2</v>
      </c>
    </row>
    <row r="1536" spans="1:15" x14ac:dyDescent="0.45">
      <c r="A1536" t="s">
        <v>1571</v>
      </c>
      <c r="B1536">
        <v>46.28</v>
      </c>
      <c r="C1536" t="s">
        <v>16</v>
      </c>
      <c r="D1536" t="s">
        <v>26</v>
      </c>
      <c r="E1536" t="s">
        <v>18</v>
      </c>
      <c r="F1536" t="s">
        <v>19</v>
      </c>
      <c r="G1536" t="s">
        <v>20</v>
      </c>
      <c r="H1536" t="s">
        <v>21</v>
      </c>
      <c r="I1536" t="s">
        <v>20</v>
      </c>
      <c r="J1536" t="s">
        <v>27</v>
      </c>
      <c r="K1536">
        <v>3</v>
      </c>
      <c r="L1536">
        <v>155.36666666666699</v>
      </c>
      <c r="M1536" t="s">
        <v>30</v>
      </c>
      <c r="N1536" t="str">
        <f>_xlfn.XLOOKUP(A1536,[1]!brca_metabric_clinical_data__2[Patient ID], [1]!brca_metabric_clinical_data__2[Tumor Size])</f>
        <v>15</v>
      </c>
      <c r="O1536" t="str">
        <f>_xlfn.XLOOKUP(A1536,[1]!brca_metabric_clinical_data__2[Sample ID],[1]!brca_metabric_clinical_data__2[Tumor Stage])</f>
        <v>NA</v>
      </c>
    </row>
    <row r="1537" spans="1:15" x14ac:dyDescent="0.45">
      <c r="A1537" t="s">
        <v>1572</v>
      </c>
      <c r="B1537">
        <v>66.010000000000005</v>
      </c>
      <c r="C1537" t="s">
        <v>16</v>
      </c>
      <c r="D1537" t="s">
        <v>17</v>
      </c>
      <c r="E1537" t="s">
        <v>18</v>
      </c>
      <c r="F1537" t="s">
        <v>19</v>
      </c>
      <c r="G1537" t="s">
        <v>20</v>
      </c>
      <c r="H1537" t="s">
        <v>20</v>
      </c>
      <c r="I1537" t="s">
        <v>21</v>
      </c>
      <c r="J1537" t="s">
        <v>29</v>
      </c>
      <c r="K1537">
        <v>8</v>
      </c>
      <c r="L1537">
        <v>26.3333333333333</v>
      </c>
      <c r="M1537" t="s">
        <v>30</v>
      </c>
      <c r="N1537" t="str">
        <f>_xlfn.XLOOKUP(A1537,[1]!brca_metabric_clinical_data__2[Patient ID], [1]!brca_metabric_clinical_data__2[Tumor Size])</f>
        <v>20</v>
      </c>
      <c r="O1537" t="str">
        <f>_xlfn.XLOOKUP(A1537,[1]!brca_metabric_clinical_data__2[Sample ID],[1]!brca_metabric_clinical_data__2[Tumor Stage])</f>
        <v>NA</v>
      </c>
    </row>
    <row r="1538" spans="1:15" x14ac:dyDescent="0.45">
      <c r="A1538" t="s">
        <v>1573</v>
      </c>
      <c r="B1538">
        <v>40.53</v>
      </c>
      <c r="C1538" t="s">
        <v>16</v>
      </c>
      <c r="D1538" t="s">
        <v>26</v>
      </c>
      <c r="E1538" t="s">
        <v>37</v>
      </c>
      <c r="F1538" t="s">
        <v>43</v>
      </c>
      <c r="G1538" t="s">
        <v>21</v>
      </c>
      <c r="H1538" t="s">
        <v>20</v>
      </c>
      <c r="I1538" t="s">
        <v>21</v>
      </c>
      <c r="J1538" t="s">
        <v>45</v>
      </c>
      <c r="K1538">
        <v>5</v>
      </c>
      <c r="L1538">
        <v>92.5</v>
      </c>
      <c r="M1538" t="s">
        <v>30</v>
      </c>
      <c r="N1538" t="str">
        <f>_xlfn.XLOOKUP(A1538,[1]!brca_metabric_clinical_data__2[Patient ID], [1]!brca_metabric_clinical_data__2[Tumor Size])</f>
        <v>35</v>
      </c>
      <c r="O1538" t="str">
        <f>_xlfn.XLOOKUP(A1538,[1]!brca_metabric_clinical_data__2[Sample ID],[1]!brca_metabric_clinical_data__2[Tumor Stage])</f>
        <v>NA</v>
      </c>
    </row>
    <row r="1539" spans="1:15" x14ac:dyDescent="0.45">
      <c r="A1539" t="s">
        <v>1574</v>
      </c>
      <c r="B1539">
        <v>54.27</v>
      </c>
      <c r="C1539" t="s">
        <v>16</v>
      </c>
      <c r="D1539" t="s">
        <v>17</v>
      </c>
      <c r="E1539" t="s">
        <v>18</v>
      </c>
      <c r="F1539" t="s">
        <v>19</v>
      </c>
      <c r="G1539" t="s">
        <v>20</v>
      </c>
      <c r="H1539" t="s">
        <v>21</v>
      </c>
      <c r="I1539" t="s">
        <v>20</v>
      </c>
      <c r="J1539" t="s">
        <v>27</v>
      </c>
      <c r="K1539">
        <v>3</v>
      </c>
      <c r="L1539">
        <v>167.933333333333</v>
      </c>
      <c r="M1539" t="s">
        <v>30</v>
      </c>
      <c r="N1539" t="str">
        <f>_xlfn.XLOOKUP(A1539,[1]!brca_metabric_clinical_data__2[Patient ID], [1]!brca_metabric_clinical_data__2[Tumor Size])</f>
        <v>30</v>
      </c>
      <c r="O1539" t="str">
        <f>_xlfn.XLOOKUP(A1539,[1]!brca_metabric_clinical_data__2[Sample ID],[1]!brca_metabric_clinical_data__2[Tumor Stage])</f>
        <v>NA</v>
      </c>
    </row>
    <row r="1540" spans="1:15" x14ac:dyDescent="0.45">
      <c r="A1540" t="s">
        <v>1575</v>
      </c>
      <c r="B1540">
        <v>75.38</v>
      </c>
      <c r="C1540" t="s">
        <v>16</v>
      </c>
      <c r="D1540" t="s">
        <v>17</v>
      </c>
      <c r="E1540" t="s">
        <v>18</v>
      </c>
      <c r="F1540" t="s">
        <v>43</v>
      </c>
      <c r="G1540" t="s">
        <v>20</v>
      </c>
      <c r="H1540" t="s">
        <v>21</v>
      </c>
      <c r="I1540" t="s">
        <v>20</v>
      </c>
      <c r="J1540" t="s">
        <v>27</v>
      </c>
      <c r="K1540">
        <v>3</v>
      </c>
      <c r="L1540">
        <v>32.733333333333299</v>
      </c>
      <c r="M1540" t="s">
        <v>30</v>
      </c>
      <c r="N1540" t="str">
        <f>_xlfn.XLOOKUP(A1540,[1]!brca_metabric_clinical_data__2[Patient ID], [1]!brca_metabric_clinical_data__2[Tumor Size])</f>
        <v>30</v>
      </c>
      <c r="O1540" t="str">
        <f>_xlfn.XLOOKUP(A1540,[1]!brca_metabric_clinical_data__2[Sample ID],[1]!brca_metabric_clinical_data__2[Tumor Stage])</f>
        <v>2</v>
      </c>
    </row>
    <row r="1541" spans="1:15" x14ac:dyDescent="0.45">
      <c r="A1541" t="s">
        <v>1576</v>
      </c>
      <c r="B1541">
        <v>62.88</v>
      </c>
      <c r="C1541" t="s">
        <v>16</v>
      </c>
      <c r="D1541" t="s">
        <v>17</v>
      </c>
      <c r="E1541" t="s">
        <v>18</v>
      </c>
      <c r="F1541" t="s">
        <v>19</v>
      </c>
      <c r="G1541" t="s">
        <v>20</v>
      </c>
      <c r="H1541" t="s">
        <v>21</v>
      </c>
      <c r="I1541" t="s">
        <v>21</v>
      </c>
      <c r="J1541" t="s">
        <v>27</v>
      </c>
      <c r="K1541">
        <v>7</v>
      </c>
      <c r="L1541">
        <v>224.86666666666699</v>
      </c>
      <c r="M1541" t="s">
        <v>24</v>
      </c>
      <c r="N1541" t="str">
        <f>_xlfn.XLOOKUP(A1541,[1]!brca_metabric_clinical_data__2[Patient ID], [1]!brca_metabric_clinical_data__2[Tumor Size])</f>
        <v>20</v>
      </c>
      <c r="O1541" t="str">
        <f>_xlfn.XLOOKUP(A1541,[1]!brca_metabric_clinical_data__2[Sample ID],[1]!brca_metabric_clinical_data__2[Tumor Stage])</f>
        <v>NA</v>
      </c>
    </row>
    <row r="1542" spans="1:15" x14ac:dyDescent="0.45">
      <c r="A1542" t="s">
        <v>1577</v>
      </c>
      <c r="B1542">
        <v>61.73</v>
      </c>
      <c r="C1542" t="s">
        <v>16</v>
      </c>
      <c r="D1542" t="s">
        <v>17</v>
      </c>
      <c r="E1542" t="s">
        <v>18</v>
      </c>
      <c r="F1542" t="s">
        <v>19</v>
      </c>
      <c r="G1542" t="s">
        <v>20</v>
      </c>
      <c r="H1542" t="s">
        <v>21</v>
      </c>
      <c r="I1542" t="s">
        <v>21</v>
      </c>
      <c r="J1542" t="s">
        <v>27</v>
      </c>
      <c r="K1542">
        <v>3</v>
      </c>
      <c r="L1542">
        <v>214.8</v>
      </c>
      <c r="M1542" t="s">
        <v>30</v>
      </c>
      <c r="N1542" t="str">
        <f>_xlfn.XLOOKUP(A1542,[1]!brca_metabric_clinical_data__2[Patient ID], [1]!brca_metabric_clinical_data__2[Tumor Size])</f>
        <v>16</v>
      </c>
      <c r="O1542" t="str">
        <f>_xlfn.XLOOKUP(A1542,[1]!brca_metabric_clinical_data__2[Sample ID],[1]!brca_metabric_clinical_data__2[Tumor Stage])</f>
        <v>NA</v>
      </c>
    </row>
    <row r="1543" spans="1:15" x14ac:dyDescent="0.45">
      <c r="A1543" t="s">
        <v>1578</v>
      </c>
      <c r="B1543">
        <v>39.700000000000003</v>
      </c>
      <c r="C1543" t="s">
        <v>16</v>
      </c>
      <c r="D1543" t="s">
        <v>26</v>
      </c>
      <c r="E1543" t="s">
        <v>37</v>
      </c>
      <c r="F1543" t="s">
        <v>19</v>
      </c>
      <c r="G1543" t="s">
        <v>21</v>
      </c>
      <c r="H1543" t="s">
        <v>20</v>
      </c>
      <c r="I1543" t="s">
        <v>21</v>
      </c>
      <c r="J1543" t="s">
        <v>58</v>
      </c>
      <c r="K1543">
        <v>10</v>
      </c>
      <c r="L1543">
        <v>224.433333333333</v>
      </c>
      <c r="M1543" t="s">
        <v>24</v>
      </c>
      <c r="N1543" t="str">
        <f>_xlfn.XLOOKUP(A1543,[1]!brca_metabric_clinical_data__2[Patient ID], [1]!brca_metabric_clinical_data__2[Tumor Size])</f>
        <v>40</v>
      </c>
      <c r="O1543" t="str">
        <f>_xlfn.XLOOKUP(A1543,[1]!brca_metabric_clinical_data__2[Sample ID],[1]!brca_metabric_clinical_data__2[Tumor Stage])</f>
        <v>NA</v>
      </c>
    </row>
    <row r="1544" spans="1:15" x14ac:dyDescent="0.45">
      <c r="A1544" t="s">
        <v>1579</v>
      </c>
      <c r="B1544">
        <v>70.790000000000006</v>
      </c>
      <c r="C1544" t="s">
        <v>16</v>
      </c>
      <c r="D1544" t="s">
        <v>17</v>
      </c>
      <c r="E1544" t="s">
        <v>18</v>
      </c>
      <c r="F1544" t="s">
        <v>19</v>
      </c>
      <c r="G1544" t="s">
        <v>20</v>
      </c>
      <c r="H1544" t="s">
        <v>21</v>
      </c>
      <c r="I1544" t="s">
        <v>21</v>
      </c>
      <c r="J1544" t="s">
        <v>27</v>
      </c>
      <c r="K1544">
        <v>2</v>
      </c>
      <c r="L1544">
        <v>171.63333333333301</v>
      </c>
      <c r="M1544" t="s">
        <v>30</v>
      </c>
      <c r="N1544" t="str">
        <f>_xlfn.XLOOKUP(A1544,[1]!brca_metabric_clinical_data__2[Patient ID], [1]!brca_metabric_clinical_data__2[Tumor Size])</f>
        <v>20</v>
      </c>
      <c r="O1544" t="str">
        <f>_xlfn.XLOOKUP(A1544,[1]!brca_metabric_clinical_data__2[Sample ID],[1]!brca_metabric_clinical_data__2[Tumor Stage])</f>
        <v>NA</v>
      </c>
    </row>
    <row r="1545" spans="1:15" x14ac:dyDescent="0.45">
      <c r="A1545" t="s">
        <v>1580</v>
      </c>
      <c r="B1545">
        <v>66.88</v>
      </c>
      <c r="C1545" t="s">
        <v>16</v>
      </c>
      <c r="D1545" t="s">
        <v>17</v>
      </c>
      <c r="E1545" t="s">
        <v>18</v>
      </c>
      <c r="F1545" t="s">
        <v>43</v>
      </c>
      <c r="G1545" t="s">
        <v>20</v>
      </c>
      <c r="H1545" t="s">
        <v>21</v>
      </c>
      <c r="I1545" t="s">
        <v>21</v>
      </c>
      <c r="J1545" t="s">
        <v>29</v>
      </c>
      <c r="K1545">
        <v>1</v>
      </c>
      <c r="L1545">
        <v>145.63333333333301</v>
      </c>
      <c r="M1545" t="s">
        <v>24</v>
      </c>
      <c r="N1545" t="str">
        <f>_xlfn.XLOOKUP(A1545,[1]!brca_metabric_clinical_data__2[Patient ID], [1]!brca_metabric_clinical_data__2[Tumor Size])</f>
        <v>25</v>
      </c>
      <c r="O1545" t="str">
        <f>_xlfn.XLOOKUP(A1545,[1]!brca_metabric_clinical_data__2[Sample ID],[1]!brca_metabric_clinical_data__2[Tumor Stage])</f>
        <v>2</v>
      </c>
    </row>
    <row r="1546" spans="1:15" x14ac:dyDescent="0.45">
      <c r="A1546" t="s">
        <v>1581</v>
      </c>
      <c r="B1546">
        <v>40.369999999999997</v>
      </c>
      <c r="C1546" t="s">
        <v>16</v>
      </c>
      <c r="D1546" t="s">
        <v>26</v>
      </c>
      <c r="E1546" t="s">
        <v>18</v>
      </c>
      <c r="F1546" t="s">
        <v>35</v>
      </c>
      <c r="G1546" t="s">
        <v>20</v>
      </c>
      <c r="H1546" t="s">
        <v>20</v>
      </c>
      <c r="I1546" t="s">
        <v>21</v>
      </c>
      <c r="J1546" t="s">
        <v>29</v>
      </c>
      <c r="K1546">
        <v>3</v>
      </c>
      <c r="L1546">
        <v>123.7</v>
      </c>
      <c r="M1546" t="s">
        <v>24</v>
      </c>
      <c r="N1546" t="str">
        <f>_xlfn.XLOOKUP(A1546,[1]!brca_metabric_clinical_data__2[Patient ID], [1]!brca_metabric_clinical_data__2[Tumor Size])</f>
        <v>25</v>
      </c>
      <c r="O1546" t="str">
        <f>_xlfn.XLOOKUP(A1546,[1]!brca_metabric_clinical_data__2[Sample ID],[1]!brca_metabric_clinical_data__2[Tumor Stage])</f>
        <v>2</v>
      </c>
    </row>
    <row r="1547" spans="1:15" x14ac:dyDescent="0.45">
      <c r="A1547" t="s">
        <v>1582</v>
      </c>
      <c r="B1547">
        <v>80.209999999999994</v>
      </c>
      <c r="C1547" t="s">
        <v>16</v>
      </c>
      <c r="D1547" t="s">
        <v>17</v>
      </c>
      <c r="E1547" t="s">
        <v>18</v>
      </c>
      <c r="F1547" t="s">
        <v>19</v>
      </c>
      <c r="G1547" t="s">
        <v>20</v>
      </c>
      <c r="H1547" t="s">
        <v>21</v>
      </c>
      <c r="I1547" t="s">
        <v>20</v>
      </c>
      <c r="J1547" t="s">
        <v>29</v>
      </c>
      <c r="K1547">
        <v>10</v>
      </c>
      <c r="L1547">
        <v>212.36666666666699</v>
      </c>
      <c r="M1547" t="s">
        <v>30</v>
      </c>
      <c r="N1547" t="str">
        <f>_xlfn.XLOOKUP(A1547,[1]!brca_metabric_clinical_data__2[Patient ID], [1]!brca_metabric_clinical_data__2[Tumor Size])</f>
        <v>50</v>
      </c>
      <c r="O1547" t="str">
        <f>_xlfn.XLOOKUP(A1547,[1]!brca_metabric_clinical_data__2[Sample ID],[1]!brca_metabric_clinical_data__2[Tumor Stage])</f>
        <v>3</v>
      </c>
    </row>
    <row r="1548" spans="1:15" x14ac:dyDescent="0.45">
      <c r="A1548" t="s">
        <v>1583</v>
      </c>
      <c r="B1548">
        <v>62.87</v>
      </c>
      <c r="C1548" t="s">
        <v>16</v>
      </c>
      <c r="D1548" t="s">
        <v>17</v>
      </c>
      <c r="E1548" t="s">
        <v>18</v>
      </c>
      <c r="F1548" t="s">
        <v>43</v>
      </c>
      <c r="G1548" t="s">
        <v>20</v>
      </c>
      <c r="H1548" t="s">
        <v>20</v>
      </c>
      <c r="I1548" t="s">
        <v>21</v>
      </c>
      <c r="J1548" t="s">
        <v>27</v>
      </c>
      <c r="K1548">
        <v>9</v>
      </c>
      <c r="L1548">
        <v>116.433333333333</v>
      </c>
      <c r="M1548" t="s">
        <v>30</v>
      </c>
      <c r="N1548" t="str">
        <f>_xlfn.XLOOKUP(A1548,[1]!brca_metabric_clinical_data__2[Patient ID], [1]!brca_metabric_clinical_data__2[Tumor Size])</f>
        <v>17</v>
      </c>
      <c r="O1548" t="str">
        <f>_xlfn.XLOOKUP(A1548,[1]!brca_metabric_clinical_data__2[Sample ID],[1]!brca_metabric_clinical_data__2[Tumor Stage])</f>
        <v>1</v>
      </c>
    </row>
    <row r="1549" spans="1:15" x14ac:dyDescent="0.45">
      <c r="A1549" t="s">
        <v>1584</v>
      </c>
      <c r="B1549">
        <v>41.53</v>
      </c>
      <c r="C1549" t="s">
        <v>16</v>
      </c>
      <c r="D1549" t="s">
        <v>26</v>
      </c>
      <c r="E1549" t="s">
        <v>37</v>
      </c>
      <c r="F1549" t="s">
        <v>19</v>
      </c>
      <c r="G1549" t="s">
        <v>21</v>
      </c>
      <c r="H1549" t="s">
        <v>20</v>
      </c>
      <c r="I1549" t="s">
        <v>21</v>
      </c>
      <c r="J1549" t="s">
        <v>22</v>
      </c>
      <c r="K1549">
        <v>10</v>
      </c>
      <c r="L1549">
        <v>180.63333333333301</v>
      </c>
      <c r="M1549" t="s">
        <v>24</v>
      </c>
      <c r="N1549" t="str">
        <f>_xlfn.XLOOKUP(A1549,[1]!brca_metabric_clinical_data__2[Patient ID], [1]!brca_metabric_clinical_data__2[Tumor Size])</f>
        <v>20</v>
      </c>
      <c r="O1549" t="str">
        <f>_xlfn.XLOOKUP(A1549,[1]!brca_metabric_clinical_data__2[Sample ID],[1]!brca_metabric_clinical_data__2[Tumor Stage])</f>
        <v>2</v>
      </c>
    </row>
    <row r="1550" spans="1:15" x14ac:dyDescent="0.45">
      <c r="A1550" t="s">
        <v>1585</v>
      </c>
      <c r="B1550">
        <v>81.63</v>
      </c>
      <c r="C1550" t="s">
        <v>16</v>
      </c>
      <c r="D1550" t="s">
        <v>17</v>
      </c>
      <c r="E1550" t="s">
        <v>18</v>
      </c>
      <c r="F1550" t="s">
        <v>19</v>
      </c>
      <c r="G1550" t="s">
        <v>20</v>
      </c>
      <c r="H1550" t="s">
        <v>21</v>
      </c>
      <c r="I1550" t="s">
        <v>21</v>
      </c>
      <c r="J1550" t="s">
        <v>27</v>
      </c>
      <c r="K1550" t="s">
        <v>23</v>
      </c>
      <c r="L1550">
        <v>128.19999999999999</v>
      </c>
      <c r="M1550" t="s">
        <v>30</v>
      </c>
      <c r="N1550" t="str">
        <f>_xlfn.XLOOKUP(A1550,[1]!brca_metabric_clinical_data__2[Patient ID], [1]!brca_metabric_clinical_data__2[Tumor Size])</f>
        <v>32</v>
      </c>
      <c r="O1550" t="str">
        <f>_xlfn.XLOOKUP(A1550,[1]!brca_metabric_clinical_data__2[Sample ID],[1]!brca_metabric_clinical_data__2[Tumor Stage])</f>
        <v>2</v>
      </c>
    </row>
    <row r="1551" spans="1:15" x14ac:dyDescent="0.45">
      <c r="A1551" t="s">
        <v>1586</v>
      </c>
      <c r="B1551">
        <v>79.42</v>
      </c>
      <c r="C1551" t="s">
        <v>16</v>
      </c>
      <c r="D1551" t="s">
        <v>17</v>
      </c>
      <c r="E1551" t="s">
        <v>18</v>
      </c>
      <c r="F1551" t="s">
        <v>19</v>
      </c>
      <c r="G1551" t="s">
        <v>20</v>
      </c>
      <c r="H1551" t="s">
        <v>21</v>
      </c>
      <c r="I1551" t="s">
        <v>20</v>
      </c>
      <c r="J1551" t="s">
        <v>27</v>
      </c>
      <c r="K1551">
        <v>8</v>
      </c>
      <c r="L1551">
        <v>42.066666666666698</v>
      </c>
      <c r="M1551" t="s">
        <v>30</v>
      </c>
      <c r="N1551" t="str">
        <f>_xlfn.XLOOKUP(A1551,[1]!brca_metabric_clinical_data__2[Patient ID], [1]!brca_metabric_clinical_data__2[Tumor Size])</f>
        <v>31</v>
      </c>
      <c r="O1551" t="str">
        <f>_xlfn.XLOOKUP(A1551,[1]!brca_metabric_clinical_data__2[Sample ID],[1]!brca_metabric_clinical_data__2[Tumor Stage])</f>
        <v>NA</v>
      </c>
    </row>
    <row r="1552" spans="1:15" x14ac:dyDescent="0.45">
      <c r="A1552" t="s">
        <v>1587</v>
      </c>
      <c r="B1552">
        <v>62.89</v>
      </c>
      <c r="C1552" t="s">
        <v>16</v>
      </c>
      <c r="D1552" t="s">
        <v>17</v>
      </c>
      <c r="E1552" t="s">
        <v>18</v>
      </c>
      <c r="F1552" t="s">
        <v>19</v>
      </c>
      <c r="G1552" t="s">
        <v>20</v>
      </c>
      <c r="H1552" t="s">
        <v>21</v>
      </c>
      <c r="I1552" t="s">
        <v>21</v>
      </c>
      <c r="J1552" t="s">
        <v>29</v>
      </c>
      <c r="K1552">
        <v>1</v>
      </c>
      <c r="L1552">
        <v>182.933333333333</v>
      </c>
      <c r="M1552" t="s">
        <v>24</v>
      </c>
      <c r="N1552" t="str">
        <f>_xlfn.XLOOKUP(A1552,[1]!brca_metabric_clinical_data__2[Patient ID], [1]!brca_metabric_clinical_data__2[Tumor Size])</f>
        <v>23</v>
      </c>
      <c r="O1552" t="str">
        <f>_xlfn.XLOOKUP(A1552,[1]!brca_metabric_clinical_data__2[Sample ID],[1]!brca_metabric_clinical_data__2[Tumor Stage])</f>
        <v>2</v>
      </c>
    </row>
    <row r="1553" spans="1:15" x14ac:dyDescent="0.45">
      <c r="A1553" t="s">
        <v>1588</v>
      </c>
      <c r="B1553">
        <v>44.99</v>
      </c>
      <c r="C1553" t="s">
        <v>16</v>
      </c>
      <c r="D1553" t="s">
        <v>26</v>
      </c>
      <c r="E1553" t="s">
        <v>18</v>
      </c>
      <c r="F1553" t="s">
        <v>19</v>
      </c>
      <c r="G1553" t="s">
        <v>20</v>
      </c>
      <c r="H1553" t="s">
        <v>21</v>
      </c>
      <c r="I1553" t="s">
        <v>20</v>
      </c>
      <c r="J1553" t="s">
        <v>29</v>
      </c>
      <c r="K1553">
        <v>3</v>
      </c>
      <c r="L1553">
        <v>137.80000000000001</v>
      </c>
      <c r="M1553" t="s">
        <v>30</v>
      </c>
      <c r="N1553" t="str">
        <f>_xlfn.XLOOKUP(A1553,[1]!brca_metabric_clinical_data__2[Patient ID], [1]!brca_metabric_clinical_data__2[Tumor Size])</f>
        <v>20</v>
      </c>
      <c r="O1553" t="str">
        <f>_xlfn.XLOOKUP(A1553,[1]!brca_metabric_clinical_data__2[Sample ID],[1]!brca_metabric_clinical_data__2[Tumor Stage])</f>
        <v>1</v>
      </c>
    </row>
    <row r="1554" spans="1:15" x14ac:dyDescent="0.45">
      <c r="A1554" t="s">
        <v>1589</v>
      </c>
      <c r="B1554">
        <v>55.43</v>
      </c>
      <c r="C1554" t="s">
        <v>16</v>
      </c>
      <c r="D1554" t="s">
        <v>17</v>
      </c>
      <c r="E1554" t="s">
        <v>37</v>
      </c>
      <c r="F1554" t="s">
        <v>19</v>
      </c>
      <c r="G1554" t="s">
        <v>21</v>
      </c>
      <c r="H1554" t="s">
        <v>21</v>
      </c>
      <c r="I1554" t="s">
        <v>21</v>
      </c>
      <c r="J1554" t="s">
        <v>58</v>
      </c>
      <c r="K1554">
        <v>10</v>
      </c>
      <c r="L1554">
        <v>136</v>
      </c>
      <c r="M1554" t="s">
        <v>24</v>
      </c>
      <c r="N1554" t="str">
        <f>_xlfn.XLOOKUP(A1554,[1]!brca_metabric_clinical_data__2[Patient ID], [1]!brca_metabric_clinical_data__2[Tumor Size])</f>
        <v>25</v>
      </c>
      <c r="O1554" t="str">
        <f>_xlfn.XLOOKUP(A1554,[1]!brca_metabric_clinical_data__2[Sample ID],[1]!brca_metabric_clinical_data__2[Tumor Stage])</f>
        <v>NA</v>
      </c>
    </row>
    <row r="1555" spans="1:15" x14ac:dyDescent="0.45">
      <c r="A1555" t="s">
        <v>1590</v>
      </c>
      <c r="B1555">
        <v>45.51</v>
      </c>
      <c r="C1555" t="s">
        <v>16</v>
      </c>
      <c r="D1555" t="s">
        <v>26</v>
      </c>
      <c r="E1555" t="s">
        <v>37</v>
      </c>
      <c r="F1555" t="s">
        <v>19</v>
      </c>
      <c r="G1555" t="s">
        <v>21</v>
      </c>
      <c r="H1555" t="s">
        <v>20</v>
      </c>
      <c r="I1555" t="s">
        <v>20</v>
      </c>
      <c r="J1555" t="s">
        <v>58</v>
      </c>
      <c r="K1555">
        <v>9</v>
      </c>
      <c r="L1555">
        <v>32.299999999999997</v>
      </c>
      <c r="M1555" t="s">
        <v>30</v>
      </c>
      <c r="N1555" t="str">
        <f>_xlfn.XLOOKUP(A1555,[1]!brca_metabric_clinical_data__2[Patient ID], [1]!brca_metabric_clinical_data__2[Tumor Size])</f>
        <v>40</v>
      </c>
      <c r="O1555" t="str">
        <f>_xlfn.XLOOKUP(A1555,[1]!brca_metabric_clinical_data__2[Sample ID],[1]!brca_metabric_clinical_data__2[Tumor Stage])</f>
        <v>NA</v>
      </c>
    </row>
    <row r="1556" spans="1:15" x14ac:dyDescent="0.45">
      <c r="A1556" t="s">
        <v>1591</v>
      </c>
      <c r="B1556">
        <v>73.75</v>
      </c>
      <c r="C1556" t="s">
        <v>16</v>
      </c>
      <c r="D1556" t="s">
        <v>17</v>
      </c>
      <c r="E1556" t="s">
        <v>18</v>
      </c>
      <c r="F1556" t="s">
        <v>19</v>
      </c>
      <c r="G1556" t="s">
        <v>20</v>
      </c>
      <c r="H1556" t="s">
        <v>21</v>
      </c>
      <c r="I1556" t="s">
        <v>21</v>
      </c>
      <c r="J1556" t="s">
        <v>27</v>
      </c>
      <c r="K1556">
        <v>8</v>
      </c>
      <c r="L1556">
        <v>82.966666666666697</v>
      </c>
      <c r="M1556" t="s">
        <v>24</v>
      </c>
      <c r="N1556" t="str">
        <f>_xlfn.XLOOKUP(A1556,[1]!brca_metabric_clinical_data__2[Patient ID], [1]!brca_metabric_clinical_data__2[Tumor Size])</f>
        <v>20</v>
      </c>
      <c r="O1556" t="str">
        <f>_xlfn.XLOOKUP(A1556,[1]!brca_metabric_clinical_data__2[Sample ID],[1]!brca_metabric_clinical_data__2[Tumor Stage])</f>
        <v>2</v>
      </c>
    </row>
    <row r="1557" spans="1:15" x14ac:dyDescent="0.45">
      <c r="A1557" t="s">
        <v>1592</v>
      </c>
      <c r="B1557">
        <v>65.06</v>
      </c>
      <c r="C1557" t="s">
        <v>16</v>
      </c>
      <c r="D1557" t="s">
        <v>17</v>
      </c>
      <c r="E1557" t="s">
        <v>18</v>
      </c>
      <c r="F1557" t="s">
        <v>43</v>
      </c>
      <c r="G1557" t="s">
        <v>20</v>
      </c>
      <c r="H1557" t="s">
        <v>21</v>
      </c>
      <c r="I1557" t="s">
        <v>21</v>
      </c>
      <c r="J1557" t="s">
        <v>29</v>
      </c>
      <c r="K1557">
        <v>5</v>
      </c>
      <c r="L1557">
        <v>42.6</v>
      </c>
      <c r="M1557" t="s">
        <v>30</v>
      </c>
      <c r="N1557" t="str">
        <f>_xlfn.XLOOKUP(A1557,[1]!brca_metabric_clinical_data__2[Patient ID], [1]!brca_metabric_clinical_data__2[Tumor Size])</f>
        <v>NA</v>
      </c>
      <c r="O1557" t="str">
        <f>_xlfn.XLOOKUP(A1557,[1]!brca_metabric_clinical_data__2[Sample ID],[1]!brca_metabric_clinical_data__2[Tumor Stage])</f>
        <v>NA</v>
      </c>
    </row>
    <row r="1558" spans="1:15" x14ac:dyDescent="0.45">
      <c r="A1558" t="s">
        <v>1593</v>
      </c>
      <c r="B1558">
        <v>71.36</v>
      </c>
      <c r="C1558" t="s">
        <v>16</v>
      </c>
      <c r="D1558" t="s">
        <v>17</v>
      </c>
      <c r="E1558" t="s">
        <v>18</v>
      </c>
      <c r="F1558" t="s">
        <v>19</v>
      </c>
      <c r="G1558" t="s">
        <v>20</v>
      </c>
      <c r="H1558" t="s">
        <v>21</v>
      </c>
      <c r="I1558" t="s">
        <v>21</v>
      </c>
      <c r="J1558" t="s">
        <v>27</v>
      </c>
      <c r="K1558">
        <v>3</v>
      </c>
      <c r="L1558">
        <v>103.8</v>
      </c>
      <c r="M1558" t="s">
        <v>30</v>
      </c>
      <c r="N1558" t="str">
        <f>_xlfn.XLOOKUP(A1558,[1]!brca_metabric_clinical_data__2[Patient ID], [1]!brca_metabric_clinical_data__2[Tumor Size])</f>
        <v>30</v>
      </c>
      <c r="O1558" t="str">
        <f>_xlfn.XLOOKUP(A1558,[1]!brca_metabric_clinical_data__2[Sample ID],[1]!brca_metabric_clinical_data__2[Tumor Stage])</f>
        <v>NA</v>
      </c>
    </row>
    <row r="1559" spans="1:15" x14ac:dyDescent="0.45">
      <c r="A1559" t="s">
        <v>1594</v>
      </c>
      <c r="B1559">
        <v>78.55</v>
      </c>
      <c r="C1559" t="s">
        <v>16</v>
      </c>
      <c r="D1559" t="s">
        <v>17</v>
      </c>
      <c r="E1559" t="s">
        <v>18</v>
      </c>
      <c r="F1559" t="s">
        <v>43</v>
      </c>
      <c r="G1559" t="s">
        <v>20</v>
      </c>
      <c r="H1559" t="s">
        <v>21</v>
      </c>
      <c r="I1559" t="s">
        <v>21</v>
      </c>
      <c r="J1559" t="s">
        <v>29</v>
      </c>
      <c r="K1559">
        <v>9</v>
      </c>
      <c r="L1559">
        <v>38.1666666666667</v>
      </c>
      <c r="M1559" t="s">
        <v>30</v>
      </c>
      <c r="N1559" t="str">
        <f>_xlfn.XLOOKUP(A1559,[1]!brca_metabric_clinical_data__2[Patient ID], [1]!brca_metabric_clinical_data__2[Tumor Size])</f>
        <v>35</v>
      </c>
      <c r="O1559" t="str">
        <f>_xlfn.XLOOKUP(A1559,[1]!brca_metabric_clinical_data__2[Sample ID],[1]!brca_metabric_clinical_data__2[Tumor Stage])</f>
        <v>2</v>
      </c>
    </row>
    <row r="1560" spans="1:15" x14ac:dyDescent="0.45">
      <c r="A1560" t="s">
        <v>1595</v>
      </c>
      <c r="B1560">
        <v>62.7</v>
      </c>
      <c r="C1560" t="s">
        <v>16</v>
      </c>
      <c r="D1560" t="s">
        <v>17</v>
      </c>
      <c r="E1560" t="s">
        <v>37</v>
      </c>
      <c r="F1560" t="s">
        <v>19</v>
      </c>
      <c r="G1560" t="s">
        <v>21</v>
      </c>
      <c r="H1560" t="s">
        <v>20</v>
      </c>
      <c r="I1560" t="s">
        <v>21</v>
      </c>
      <c r="J1560" t="s">
        <v>22</v>
      </c>
      <c r="K1560" t="s">
        <v>39</v>
      </c>
      <c r="L1560">
        <v>35.033333333333303</v>
      </c>
      <c r="M1560" t="s">
        <v>30</v>
      </c>
      <c r="N1560" t="str">
        <f>_xlfn.XLOOKUP(A1560,[1]!brca_metabric_clinical_data__2[Patient ID], [1]!brca_metabric_clinical_data__2[Tumor Size])</f>
        <v>30</v>
      </c>
      <c r="O1560" t="str">
        <f>_xlfn.XLOOKUP(A1560,[1]!brca_metabric_clinical_data__2[Sample ID],[1]!brca_metabric_clinical_data__2[Tumor Stage])</f>
        <v>3</v>
      </c>
    </row>
    <row r="1561" spans="1:15" x14ac:dyDescent="0.45">
      <c r="A1561" t="s">
        <v>1596</v>
      </c>
      <c r="B1561">
        <v>55.53</v>
      </c>
      <c r="C1561" t="s">
        <v>16</v>
      </c>
      <c r="D1561" t="s">
        <v>17</v>
      </c>
      <c r="E1561" t="s">
        <v>37</v>
      </c>
      <c r="F1561" t="s">
        <v>19</v>
      </c>
      <c r="G1561" t="s">
        <v>20</v>
      </c>
      <c r="H1561" t="s">
        <v>20</v>
      </c>
      <c r="I1561" t="s">
        <v>20</v>
      </c>
      <c r="J1561" t="s">
        <v>58</v>
      </c>
      <c r="K1561">
        <v>10</v>
      </c>
      <c r="L1561">
        <v>62.9</v>
      </c>
      <c r="M1561" t="s">
        <v>30</v>
      </c>
      <c r="N1561" t="str">
        <f>_xlfn.XLOOKUP(A1561,[1]!brca_metabric_clinical_data__2[Patient ID], [1]!brca_metabric_clinical_data__2[Tumor Size])</f>
        <v>30</v>
      </c>
      <c r="O1561" t="str">
        <f>_xlfn.XLOOKUP(A1561,[1]!brca_metabric_clinical_data__2[Sample ID],[1]!brca_metabric_clinical_data__2[Tumor Stage])</f>
        <v>2</v>
      </c>
    </row>
    <row r="1562" spans="1:15" x14ac:dyDescent="0.45">
      <c r="A1562" t="s">
        <v>1597</v>
      </c>
      <c r="B1562">
        <v>57.2</v>
      </c>
      <c r="C1562" t="s">
        <v>16</v>
      </c>
      <c r="D1562" t="s">
        <v>17</v>
      </c>
      <c r="E1562" t="s">
        <v>18</v>
      </c>
      <c r="F1562" t="s">
        <v>43</v>
      </c>
      <c r="G1562" t="s">
        <v>20</v>
      </c>
      <c r="H1562" t="s">
        <v>21</v>
      </c>
      <c r="I1562" t="s">
        <v>21</v>
      </c>
      <c r="J1562" t="s">
        <v>27</v>
      </c>
      <c r="K1562" t="s">
        <v>23</v>
      </c>
      <c r="L1562">
        <v>21.066666666666698</v>
      </c>
      <c r="M1562" t="s">
        <v>30</v>
      </c>
      <c r="N1562" t="str">
        <f>_xlfn.XLOOKUP(A1562,[1]!brca_metabric_clinical_data__2[Patient ID], [1]!brca_metabric_clinical_data__2[Tumor Size])</f>
        <v>15</v>
      </c>
      <c r="O1562" t="str">
        <f>_xlfn.XLOOKUP(A1562,[1]!brca_metabric_clinical_data__2[Sample ID],[1]!brca_metabric_clinical_data__2[Tumor Stage])</f>
        <v>1</v>
      </c>
    </row>
    <row r="1563" spans="1:15" x14ac:dyDescent="0.45">
      <c r="A1563" t="s">
        <v>1598</v>
      </c>
      <c r="B1563">
        <v>68.489999999999995</v>
      </c>
      <c r="C1563" t="s">
        <v>16</v>
      </c>
      <c r="D1563" t="s">
        <v>17</v>
      </c>
      <c r="E1563" t="s">
        <v>18</v>
      </c>
      <c r="F1563" t="s">
        <v>43</v>
      </c>
      <c r="G1563" t="s">
        <v>20</v>
      </c>
      <c r="H1563" t="s">
        <v>21</v>
      </c>
      <c r="I1563" t="s">
        <v>20</v>
      </c>
      <c r="J1563" t="s">
        <v>29</v>
      </c>
      <c r="K1563">
        <v>9</v>
      </c>
      <c r="L1563">
        <v>108.3</v>
      </c>
      <c r="M1563" t="s">
        <v>30</v>
      </c>
      <c r="N1563" t="str">
        <f>_xlfn.XLOOKUP(A1563,[1]!brca_metabric_clinical_data__2[Patient ID], [1]!brca_metabric_clinical_data__2[Tumor Size])</f>
        <v>30</v>
      </c>
      <c r="O1563" t="str">
        <f>_xlfn.XLOOKUP(A1563,[1]!brca_metabric_clinical_data__2[Sample ID],[1]!brca_metabric_clinical_data__2[Tumor Stage])</f>
        <v>NA</v>
      </c>
    </row>
    <row r="1564" spans="1:15" x14ac:dyDescent="0.45">
      <c r="A1564" t="s">
        <v>1599</v>
      </c>
      <c r="B1564">
        <v>65.14</v>
      </c>
      <c r="C1564" t="s">
        <v>16</v>
      </c>
      <c r="D1564" t="s">
        <v>17</v>
      </c>
      <c r="E1564" t="s">
        <v>18</v>
      </c>
      <c r="F1564" t="s">
        <v>19</v>
      </c>
      <c r="G1564" t="s">
        <v>20</v>
      </c>
      <c r="H1564" t="s">
        <v>21</v>
      </c>
      <c r="I1564" t="s">
        <v>21</v>
      </c>
      <c r="J1564" t="s">
        <v>27</v>
      </c>
      <c r="K1564">
        <v>7</v>
      </c>
      <c r="L1564">
        <v>195.7</v>
      </c>
      <c r="M1564" t="s">
        <v>30</v>
      </c>
      <c r="N1564" t="str">
        <f>_xlfn.XLOOKUP(A1564,[1]!brca_metabric_clinical_data__2[Patient ID], [1]!brca_metabric_clinical_data__2[Tumor Size])</f>
        <v>20</v>
      </c>
      <c r="O1564" t="str">
        <f>_xlfn.XLOOKUP(A1564,[1]!brca_metabric_clinical_data__2[Sample ID],[1]!brca_metabric_clinical_data__2[Tumor Stage])</f>
        <v>1</v>
      </c>
    </row>
    <row r="1565" spans="1:15" x14ac:dyDescent="0.45">
      <c r="A1565" t="s">
        <v>1600</v>
      </c>
      <c r="B1565">
        <v>58</v>
      </c>
      <c r="C1565" t="s">
        <v>16</v>
      </c>
      <c r="D1565" t="s">
        <v>17</v>
      </c>
      <c r="E1565" t="s">
        <v>18</v>
      </c>
      <c r="F1565" t="s">
        <v>19</v>
      </c>
      <c r="G1565" t="s">
        <v>20</v>
      </c>
      <c r="H1565" t="s">
        <v>20</v>
      </c>
      <c r="I1565" t="s">
        <v>20</v>
      </c>
      <c r="J1565" t="s">
        <v>38</v>
      </c>
      <c r="K1565" t="s">
        <v>23</v>
      </c>
      <c r="L1565">
        <v>172.3</v>
      </c>
      <c r="M1565" t="s">
        <v>24</v>
      </c>
      <c r="N1565" t="str">
        <f>_xlfn.XLOOKUP(A1565,[1]!brca_metabric_clinical_data__2[Patient ID], [1]!brca_metabric_clinical_data__2[Tumor Size])</f>
        <v>1</v>
      </c>
      <c r="O1565" t="str">
        <f>_xlfn.XLOOKUP(A1565,[1]!brca_metabric_clinical_data__2[Sample ID],[1]!brca_metabric_clinical_data__2[Tumor Stage])</f>
        <v>1</v>
      </c>
    </row>
    <row r="1566" spans="1:15" x14ac:dyDescent="0.45">
      <c r="A1566" t="s">
        <v>1601</v>
      </c>
      <c r="B1566">
        <v>78.64</v>
      </c>
      <c r="C1566" t="s">
        <v>16</v>
      </c>
      <c r="D1566" t="s">
        <v>17</v>
      </c>
      <c r="E1566" t="s">
        <v>18</v>
      </c>
      <c r="F1566" t="s">
        <v>35</v>
      </c>
      <c r="G1566" t="s">
        <v>20</v>
      </c>
      <c r="H1566" t="s">
        <v>21</v>
      </c>
      <c r="I1566" t="s">
        <v>21</v>
      </c>
      <c r="J1566" t="s">
        <v>29</v>
      </c>
      <c r="K1566">
        <v>2</v>
      </c>
      <c r="L1566">
        <v>181.86666666666699</v>
      </c>
      <c r="M1566" t="s">
        <v>24</v>
      </c>
      <c r="N1566" t="str">
        <f>_xlfn.XLOOKUP(A1566,[1]!brca_metabric_clinical_data__2[Patient ID], [1]!brca_metabric_clinical_data__2[Tumor Size])</f>
        <v>22</v>
      </c>
      <c r="O1566" t="str">
        <f>_xlfn.XLOOKUP(A1566,[1]!brca_metabric_clinical_data__2[Sample ID],[1]!brca_metabric_clinical_data__2[Tumor Stage])</f>
        <v>2</v>
      </c>
    </row>
    <row r="1567" spans="1:15" x14ac:dyDescent="0.45">
      <c r="A1567" t="s">
        <v>1602</v>
      </c>
      <c r="B1567">
        <v>68.13</v>
      </c>
      <c r="C1567" t="s">
        <v>16</v>
      </c>
      <c r="D1567" t="s">
        <v>17</v>
      </c>
      <c r="E1567" t="s">
        <v>18</v>
      </c>
      <c r="F1567" t="s">
        <v>19</v>
      </c>
      <c r="G1567" t="s">
        <v>20</v>
      </c>
      <c r="H1567" t="s">
        <v>21</v>
      </c>
      <c r="I1567" t="s">
        <v>21</v>
      </c>
      <c r="J1567" t="s">
        <v>27</v>
      </c>
      <c r="K1567" t="s">
        <v>23</v>
      </c>
      <c r="L1567">
        <v>156.80000000000001</v>
      </c>
      <c r="M1567" t="s">
        <v>30</v>
      </c>
      <c r="N1567" t="str">
        <f>_xlfn.XLOOKUP(A1567,[1]!brca_metabric_clinical_data__2[Patient ID], [1]!brca_metabric_clinical_data__2[Tumor Size])</f>
        <v>34</v>
      </c>
      <c r="O1567" t="str">
        <f>_xlfn.XLOOKUP(A1567,[1]!brca_metabric_clinical_data__2[Sample ID],[1]!brca_metabric_clinical_data__2[Tumor Stage])</f>
        <v>3</v>
      </c>
    </row>
    <row r="1568" spans="1:15" x14ac:dyDescent="0.45">
      <c r="A1568" t="s">
        <v>1603</v>
      </c>
      <c r="B1568">
        <v>71.31</v>
      </c>
      <c r="C1568" t="s">
        <v>16</v>
      </c>
      <c r="D1568" t="s">
        <v>17</v>
      </c>
      <c r="E1568" t="s">
        <v>18</v>
      </c>
      <c r="F1568" t="s">
        <v>19</v>
      </c>
      <c r="G1568" t="s">
        <v>20</v>
      </c>
      <c r="H1568" t="s">
        <v>21</v>
      </c>
      <c r="I1568" t="s">
        <v>21</v>
      </c>
      <c r="J1568" t="s">
        <v>27</v>
      </c>
      <c r="K1568">
        <v>7</v>
      </c>
      <c r="L1568">
        <v>22.233333333333299</v>
      </c>
      <c r="M1568" t="s">
        <v>30</v>
      </c>
      <c r="N1568" t="str">
        <f>_xlfn.XLOOKUP(A1568,[1]!brca_metabric_clinical_data__2[Patient ID], [1]!brca_metabric_clinical_data__2[Tumor Size])</f>
        <v>20</v>
      </c>
      <c r="O1568" t="str">
        <f>_xlfn.XLOOKUP(A1568,[1]!brca_metabric_clinical_data__2[Sample ID],[1]!brca_metabric_clinical_data__2[Tumor Stage])</f>
        <v>1</v>
      </c>
    </row>
    <row r="1569" spans="1:15" x14ac:dyDescent="0.45">
      <c r="A1569" t="s">
        <v>1604</v>
      </c>
      <c r="B1569">
        <v>58.4</v>
      </c>
      <c r="C1569" t="s">
        <v>16</v>
      </c>
      <c r="D1569" t="s">
        <v>17</v>
      </c>
      <c r="E1569" t="s">
        <v>18</v>
      </c>
      <c r="F1569" t="s">
        <v>19</v>
      </c>
      <c r="G1569" t="s">
        <v>20</v>
      </c>
      <c r="H1569" t="s">
        <v>21</v>
      </c>
      <c r="I1569" t="s">
        <v>21</v>
      </c>
      <c r="J1569" t="s">
        <v>29</v>
      </c>
      <c r="K1569">
        <v>1</v>
      </c>
      <c r="L1569">
        <v>167.1</v>
      </c>
      <c r="M1569" t="s">
        <v>30</v>
      </c>
      <c r="N1569" t="str">
        <f>_xlfn.XLOOKUP(A1569,[1]!brca_metabric_clinical_data__2[Patient ID], [1]!brca_metabric_clinical_data__2[Tumor Size])</f>
        <v>30</v>
      </c>
      <c r="O1569" t="str">
        <f>_xlfn.XLOOKUP(A1569,[1]!brca_metabric_clinical_data__2[Sample ID],[1]!brca_metabric_clinical_data__2[Tumor Stage])</f>
        <v>2</v>
      </c>
    </row>
    <row r="1570" spans="1:15" x14ac:dyDescent="0.45">
      <c r="A1570" t="s">
        <v>1605</v>
      </c>
      <c r="B1570">
        <v>65.430000000000007</v>
      </c>
      <c r="C1570" t="s">
        <v>16</v>
      </c>
      <c r="D1570" t="s">
        <v>17</v>
      </c>
      <c r="E1570" t="s">
        <v>18</v>
      </c>
      <c r="F1570" t="s">
        <v>19</v>
      </c>
      <c r="G1570" t="s">
        <v>20</v>
      </c>
      <c r="H1570" t="s">
        <v>21</v>
      </c>
      <c r="I1570" t="s">
        <v>21</v>
      </c>
      <c r="J1570" t="s">
        <v>27</v>
      </c>
      <c r="K1570">
        <v>6</v>
      </c>
      <c r="L1570">
        <v>30.8</v>
      </c>
      <c r="M1570" t="s">
        <v>30</v>
      </c>
      <c r="N1570" t="str">
        <f>_xlfn.XLOOKUP(A1570,[1]!brca_metabric_clinical_data__2[Patient ID], [1]!brca_metabric_clinical_data__2[Tumor Size])</f>
        <v>35</v>
      </c>
      <c r="O1570" t="str">
        <f>_xlfn.XLOOKUP(A1570,[1]!brca_metabric_clinical_data__2[Sample ID],[1]!brca_metabric_clinical_data__2[Tumor Stage])</f>
        <v>2</v>
      </c>
    </row>
    <row r="1571" spans="1:15" x14ac:dyDescent="0.45">
      <c r="A1571" t="s">
        <v>1606</v>
      </c>
      <c r="B1571">
        <v>74.92</v>
      </c>
      <c r="C1571" t="s">
        <v>16</v>
      </c>
      <c r="D1571" t="s">
        <v>17</v>
      </c>
      <c r="E1571" t="s">
        <v>18</v>
      </c>
      <c r="F1571" t="s">
        <v>19</v>
      </c>
      <c r="G1571" t="s">
        <v>20</v>
      </c>
      <c r="H1571" t="s">
        <v>21</v>
      </c>
      <c r="I1571" t="s">
        <v>21</v>
      </c>
      <c r="J1571" t="s">
        <v>27</v>
      </c>
      <c r="K1571">
        <v>8</v>
      </c>
      <c r="L1571">
        <v>199.96666666666701</v>
      </c>
      <c r="M1571" t="s">
        <v>30</v>
      </c>
      <c r="N1571" t="str">
        <f>_xlfn.XLOOKUP(A1571,[1]!brca_metabric_clinical_data__2[Patient ID], [1]!brca_metabric_clinical_data__2[Tumor Size])</f>
        <v>40</v>
      </c>
      <c r="O1571" t="str">
        <f>_xlfn.XLOOKUP(A1571,[1]!brca_metabric_clinical_data__2[Sample ID],[1]!brca_metabric_clinical_data__2[Tumor Stage])</f>
        <v>2</v>
      </c>
    </row>
    <row r="1572" spans="1:15" x14ac:dyDescent="0.45">
      <c r="A1572" t="s">
        <v>1607</v>
      </c>
      <c r="B1572">
        <v>51.98</v>
      </c>
      <c r="C1572" t="s">
        <v>16</v>
      </c>
      <c r="D1572" t="s">
        <v>17</v>
      </c>
      <c r="E1572" t="s">
        <v>37</v>
      </c>
      <c r="F1572" t="s">
        <v>19</v>
      </c>
      <c r="G1572" t="s">
        <v>21</v>
      </c>
      <c r="H1572" t="s">
        <v>21</v>
      </c>
      <c r="I1572" t="s">
        <v>21</v>
      </c>
      <c r="J1572" t="s">
        <v>22</v>
      </c>
      <c r="K1572">
        <v>3</v>
      </c>
      <c r="L1572">
        <v>21</v>
      </c>
      <c r="M1572" t="s">
        <v>30</v>
      </c>
      <c r="N1572" t="str">
        <f>_xlfn.XLOOKUP(A1572,[1]!brca_metabric_clinical_data__2[Patient ID], [1]!brca_metabric_clinical_data__2[Tumor Size])</f>
        <v>26</v>
      </c>
      <c r="O1572" t="str">
        <f>_xlfn.XLOOKUP(A1572,[1]!brca_metabric_clinical_data__2[Sample ID],[1]!brca_metabric_clinical_data__2[Tumor Stage])</f>
        <v>2</v>
      </c>
    </row>
    <row r="1573" spans="1:15" x14ac:dyDescent="0.45">
      <c r="A1573" t="s">
        <v>1608</v>
      </c>
      <c r="B1573">
        <v>68.75</v>
      </c>
      <c r="C1573" t="s">
        <v>16</v>
      </c>
      <c r="D1573" t="s">
        <v>17</v>
      </c>
      <c r="E1573" t="s">
        <v>37</v>
      </c>
      <c r="F1573" t="s">
        <v>43</v>
      </c>
      <c r="G1573" t="s">
        <v>20</v>
      </c>
      <c r="H1573" t="s">
        <v>21</v>
      </c>
      <c r="I1573" t="s">
        <v>21</v>
      </c>
      <c r="J1573" t="s">
        <v>38</v>
      </c>
      <c r="K1573" t="s">
        <v>39</v>
      </c>
      <c r="L1573">
        <v>104.666666666667</v>
      </c>
      <c r="M1573" t="s">
        <v>30</v>
      </c>
      <c r="N1573" t="str">
        <f>_xlfn.XLOOKUP(A1573,[1]!brca_metabric_clinical_data__2[Patient ID], [1]!brca_metabric_clinical_data__2[Tumor Size])</f>
        <v>15</v>
      </c>
      <c r="O1573" t="str">
        <f>_xlfn.XLOOKUP(A1573,[1]!brca_metabric_clinical_data__2[Sample ID],[1]!brca_metabric_clinical_data__2[Tumor Stage])</f>
        <v>1</v>
      </c>
    </row>
    <row r="1574" spans="1:15" x14ac:dyDescent="0.45">
      <c r="A1574" t="s">
        <v>1609</v>
      </c>
      <c r="B1574">
        <v>60.72</v>
      </c>
      <c r="C1574" t="s">
        <v>16</v>
      </c>
      <c r="D1574" t="s">
        <v>17</v>
      </c>
      <c r="E1574" t="s">
        <v>18</v>
      </c>
      <c r="F1574" t="s">
        <v>19</v>
      </c>
      <c r="G1574" t="s">
        <v>20</v>
      </c>
      <c r="H1574" t="s">
        <v>21</v>
      </c>
      <c r="I1574" t="s">
        <v>20</v>
      </c>
      <c r="J1574" t="s">
        <v>29</v>
      </c>
      <c r="K1574">
        <v>9</v>
      </c>
      <c r="L1574">
        <v>194.6</v>
      </c>
      <c r="M1574" t="s">
        <v>24</v>
      </c>
      <c r="N1574" t="str">
        <f>_xlfn.XLOOKUP(A1574,[1]!brca_metabric_clinical_data__2[Patient ID], [1]!brca_metabric_clinical_data__2[Tumor Size])</f>
        <v>25</v>
      </c>
      <c r="O1574" t="str">
        <f>_xlfn.XLOOKUP(A1574,[1]!brca_metabric_clinical_data__2[Sample ID],[1]!brca_metabric_clinical_data__2[Tumor Stage])</f>
        <v>2</v>
      </c>
    </row>
    <row r="1575" spans="1:15" x14ac:dyDescent="0.45">
      <c r="A1575" t="s">
        <v>1610</v>
      </c>
      <c r="B1575">
        <v>82.94</v>
      </c>
      <c r="C1575" t="s">
        <v>16</v>
      </c>
      <c r="D1575" t="s">
        <v>17</v>
      </c>
      <c r="E1575" t="s">
        <v>18</v>
      </c>
      <c r="F1575" t="s">
        <v>19</v>
      </c>
      <c r="G1575" t="s">
        <v>20</v>
      </c>
      <c r="H1575" t="s">
        <v>21</v>
      </c>
      <c r="I1575" t="s">
        <v>20</v>
      </c>
      <c r="J1575" t="s">
        <v>29</v>
      </c>
      <c r="K1575">
        <v>8</v>
      </c>
      <c r="L1575">
        <v>173.03333333333299</v>
      </c>
      <c r="M1575" t="s">
        <v>30</v>
      </c>
      <c r="N1575" t="str">
        <f>_xlfn.XLOOKUP(A1575,[1]!brca_metabric_clinical_data__2[Patient ID], [1]!brca_metabric_clinical_data__2[Tumor Size])</f>
        <v>55</v>
      </c>
      <c r="O1575" t="str">
        <f>_xlfn.XLOOKUP(A1575,[1]!brca_metabric_clinical_data__2[Sample ID],[1]!brca_metabric_clinical_data__2[Tumor Stage])</f>
        <v>NA</v>
      </c>
    </row>
    <row r="1576" spans="1:15" x14ac:dyDescent="0.45">
      <c r="A1576" t="s">
        <v>1611</v>
      </c>
      <c r="B1576">
        <v>67.569999999999993</v>
      </c>
      <c r="C1576" t="s">
        <v>16</v>
      </c>
      <c r="D1576" t="s">
        <v>17</v>
      </c>
      <c r="E1576" t="s">
        <v>37</v>
      </c>
      <c r="F1576" t="s">
        <v>19</v>
      </c>
      <c r="G1576" t="s">
        <v>20</v>
      </c>
      <c r="H1576" t="s">
        <v>21</v>
      </c>
      <c r="I1576" t="s">
        <v>20</v>
      </c>
      <c r="J1576" t="s">
        <v>58</v>
      </c>
      <c r="K1576">
        <v>10</v>
      </c>
      <c r="L1576">
        <v>191.8</v>
      </c>
      <c r="M1576" t="s">
        <v>24</v>
      </c>
      <c r="N1576" t="str">
        <f>_xlfn.XLOOKUP(A1576,[1]!brca_metabric_clinical_data__2[Patient ID], [1]!brca_metabric_clinical_data__2[Tumor Size])</f>
        <v>25</v>
      </c>
      <c r="O1576" t="str">
        <f>_xlfn.XLOOKUP(A1576,[1]!brca_metabric_clinical_data__2[Sample ID],[1]!brca_metabric_clinical_data__2[Tumor Stage])</f>
        <v>2</v>
      </c>
    </row>
    <row r="1577" spans="1:15" x14ac:dyDescent="0.45">
      <c r="A1577" t="s">
        <v>1612</v>
      </c>
      <c r="B1577">
        <v>74.760000000000005</v>
      </c>
      <c r="C1577" t="s">
        <v>16</v>
      </c>
      <c r="D1577" t="s">
        <v>17</v>
      </c>
      <c r="E1577" t="s">
        <v>18</v>
      </c>
      <c r="F1577" t="s">
        <v>19</v>
      </c>
      <c r="G1577" t="s">
        <v>20</v>
      </c>
      <c r="H1577" t="s">
        <v>20</v>
      </c>
      <c r="I1577" t="s">
        <v>20</v>
      </c>
      <c r="J1577" t="s">
        <v>38</v>
      </c>
      <c r="K1577">
        <v>3</v>
      </c>
      <c r="L1577">
        <v>126.4</v>
      </c>
      <c r="M1577" t="s">
        <v>30</v>
      </c>
      <c r="N1577" t="str">
        <f>_xlfn.XLOOKUP(A1577,[1]!brca_metabric_clinical_data__2[Patient ID], [1]!brca_metabric_clinical_data__2[Tumor Size])</f>
        <v>16</v>
      </c>
      <c r="O1577" t="str">
        <f>_xlfn.XLOOKUP(A1577,[1]!brca_metabric_clinical_data__2[Sample ID],[1]!brca_metabric_clinical_data__2[Tumor Stage])</f>
        <v>1</v>
      </c>
    </row>
    <row r="1578" spans="1:15" x14ac:dyDescent="0.45">
      <c r="A1578" t="s">
        <v>1613</v>
      </c>
      <c r="B1578">
        <v>68.7</v>
      </c>
      <c r="C1578" t="s">
        <v>16</v>
      </c>
      <c r="D1578" t="s">
        <v>17</v>
      </c>
      <c r="E1578" t="s">
        <v>18</v>
      </c>
      <c r="F1578" t="s">
        <v>19</v>
      </c>
      <c r="G1578" t="s">
        <v>20</v>
      </c>
      <c r="H1578" t="s">
        <v>21</v>
      </c>
      <c r="I1578" t="s">
        <v>20</v>
      </c>
      <c r="J1578" t="s">
        <v>27</v>
      </c>
      <c r="K1578">
        <v>3</v>
      </c>
      <c r="L1578">
        <v>135.30000000000001</v>
      </c>
      <c r="M1578" t="s">
        <v>30</v>
      </c>
      <c r="N1578" t="str">
        <f>_xlfn.XLOOKUP(A1578,[1]!brca_metabric_clinical_data__2[Patient ID], [1]!brca_metabric_clinical_data__2[Tumor Size])</f>
        <v>15</v>
      </c>
      <c r="O1578" t="str">
        <f>_xlfn.XLOOKUP(A1578,[1]!brca_metabric_clinical_data__2[Sample ID],[1]!brca_metabric_clinical_data__2[Tumor Stage])</f>
        <v>NA</v>
      </c>
    </row>
    <row r="1579" spans="1:15" x14ac:dyDescent="0.45">
      <c r="A1579" t="s">
        <v>1614</v>
      </c>
      <c r="B1579">
        <v>86.61</v>
      </c>
      <c r="C1579" t="s">
        <v>16</v>
      </c>
      <c r="D1579" t="s">
        <v>17</v>
      </c>
      <c r="E1579" t="s">
        <v>18</v>
      </c>
      <c r="F1579" t="s">
        <v>19</v>
      </c>
      <c r="G1579" t="s">
        <v>20</v>
      </c>
      <c r="H1579" t="s">
        <v>21</v>
      </c>
      <c r="I1579" t="s">
        <v>20</v>
      </c>
      <c r="J1579" t="s">
        <v>27</v>
      </c>
      <c r="K1579">
        <v>3</v>
      </c>
      <c r="L1579">
        <v>63.566666666666698</v>
      </c>
      <c r="M1579" t="s">
        <v>30</v>
      </c>
      <c r="N1579" t="str">
        <f>_xlfn.XLOOKUP(A1579,[1]!brca_metabric_clinical_data__2[Patient ID], [1]!brca_metabric_clinical_data__2[Tumor Size])</f>
        <v>16</v>
      </c>
      <c r="O1579" t="str">
        <f>_xlfn.XLOOKUP(A1579,[1]!brca_metabric_clinical_data__2[Sample ID],[1]!brca_metabric_clinical_data__2[Tumor Stage])</f>
        <v>1</v>
      </c>
    </row>
    <row r="1580" spans="1:15" x14ac:dyDescent="0.45">
      <c r="A1580" t="s">
        <v>1615</v>
      </c>
      <c r="B1580">
        <v>70.650000000000006</v>
      </c>
      <c r="C1580" t="s">
        <v>16</v>
      </c>
      <c r="D1580" t="s">
        <v>17</v>
      </c>
      <c r="E1580" t="s">
        <v>18</v>
      </c>
      <c r="F1580" t="s">
        <v>19</v>
      </c>
      <c r="G1580" t="s">
        <v>20</v>
      </c>
      <c r="H1580" t="s">
        <v>21</v>
      </c>
      <c r="I1580" t="s">
        <v>20</v>
      </c>
      <c r="J1580" t="s">
        <v>45</v>
      </c>
      <c r="K1580">
        <v>3</v>
      </c>
      <c r="L1580">
        <v>70.533333333333303</v>
      </c>
      <c r="M1580" t="s">
        <v>30</v>
      </c>
      <c r="N1580" t="str">
        <f>_xlfn.XLOOKUP(A1580,[1]!brca_metabric_clinical_data__2[Patient ID], [1]!brca_metabric_clinical_data__2[Tumor Size])</f>
        <v>25</v>
      </c>
      <c r="O1580" t="str">
        <f>_xlfn.XLOOKUP(A1580,[1]!brca_metabric_clinical_data__2[Sample ID],[1]!brca_metabric_clinical_data__2[Tumor Stage])</f>
        <v>2</v>
      </c>
    </row>
    <row r="1581" spans="1:15" x14ac:dyDescent="0.45">
      <c r="A1581" t="s">
        <v>1616</v>
      </c>
      <c r="B1581">
        <v>80.33</v>
      </c>
      <c r="C1581" t="s">
        <v>16</v>
      </c>
      <c r="D1581" t="s">
        <v>17</v>
      </c>
      <c r="E1581" t="s">
        <v>18</v>
      </c>
      <c r="F1581" t="s">
        <v>19</v>
      </c>
      <c r="G1581" t="s">
        <v>20</v>
      </c>
      <c r="H1581" t="s">
        <v>20</v>
      </c>
      <c r="I1581" t="s">
        <v>20</v>
      </c>
      <c r="J1581" t="s">
        <v>29</v>
      </c>
      <c r="K1581">
        <v>9</v>
      </c>
      <c r="L1581">
        <v>69.099999999999994</v>
      </c>
      <c r="M1581" t="s">
        <v>30</v>
      </c>
      <c r="N1581" t="str">
        <f>_xlfn.XLOOKUP(A1581,[1]!brca_metabric_clinical_data__2[Patient ID], [1]!brca_metabric_clinical_data__2[Tumor Size])</f>
        <v>25</v>
      </c>
      <c r="O1581" t="str">
        <f>_xlfn.XLOOKUP(A1581,[1]!brca_metabric_clinical_data__2[Sample ID],[1]!brca_metabric_clinical_data__2[Tumor Stage])</f>
        <v>NA</v>
      </c>
    </row>
    <row r="1582" spans="1:15" x14ac:dyDescent="0.45">
      <c r="A1582" t="s">
        <v>1617</v>
      </c>
      <c r="B1582">
        <v>70.28</v>
      </c>
      <c r="C1582" t="s">
        <v>16</v>
      </c>
      <c r="D1582" t="s">
        <v>17</v>
      </c>
      <c r="E1582" t="s">
        <v>18</v>
      </c>
      <c r="F1582" t="s">
        <v>19</v>
      </c>
      <c r="G1582" t="s">
        <v>20</v>
      </c>
      <c r="H1582" t="s">
        <v>21</v>
      </c>
      <c r="I1582" t="s">
        <v>20</v>
      </c>
      <c r="J1582" t="s">
        <v>29</v>
      </c>
      <c r="K1582">
        <v>10</v>
      </c>
      <c r="L1582">
        <v>218.23333333333301</v>
      </c>
      <c r="M1582" t="s">
        <v>24</v>
      </c>
      <c r="N1582" t="str">
        <f>_xlfn.XLOOKUP(A1582,[1]!brca_metabric_clinical_data__2[Patient ID], [1]!brca_metabric_clinical_data__2[Tumor Size])</f>
        <v>15</v>
      </c>
      <c r="O1582" t="str">
        <f>_xlfn.XLOOKUP(A1582,[1]!brca_metabric_clinical_data__2[Sample ID],[1]!brca_metabric_clinical_data__2[Tumor Stage])</f>
        <v>NA</v>
      </c>
    </row>
    <row r="1583" spans="1:15" x14ac:dyDescent="0.45">
      <c r="A1583" t="s">
        <v>1618</v>
      </c>
      <c r="B1583">
        <v>59.22</v>
      </c>
      <c r="C1583" t="s">
        <v>16</v>
      </c>
      <c r="D1583" t="s">
        <v>17</v>
      </c>
      <c r="E1583" t="s">
        <v>18</v>
      </c>
      <c r="F1583" t="s">
        <v>43</v>
      </c>
      <c r="G1583" t="s">
        <v>20</v>
      </c>
      <c r="H1583" t="s">
        <v>20</v>
      </c>
      <c r="I1583" t="s">
        <v>20</v>
      </c>
      <c r="J1583" t="s">
        <v>29</v>
      </c>
      <c r="K1583">
        <v>1</v>
      </c>
      <c r="L1583">
        <v>211.13333333333301</v>
      </c>
      <c r="M1583" t="s">
        <v>30</v>
      </c>
      <c r="N1583" t="str">
        <f>_xlfn.XLOOKUP(A1583,[1]!brca_metabric_clinical_data__2[Patient ID], [1]!brca_metabric_clinical_data__2[Tumor Size])</f>
        <v>25</v>
      </c>
      <c r="O1583" t="str">
        <f>_xlfn.XLOOKUP(A1583,[1]!brca_metabric_clinical_data__2[Sample ID],[1]!brca_metabric_clinical_data__2[Tumor Stage])</f>
        <v>NA</v>
      </c>
    </row>
    <row r="1584" spans="1:15" x14ac:dyDescent="0.45">
      <c r="A1584" t="s">
        <v>1619</v>
      </c>
      <c r="B1584">
        <v>67.459999999999994</v>
      </c>
      <c r="C1584" t="s">
        <v>16</v>
      </c>
      <c r="D1584" t="s">
        <v>17</v>
      </c>
      <c r="E1584" t="s">
        <v>18</v>
      </c>
      <c r="F1584" t="s">
        <v>19</v>
      </c>
      <c r="G1584" t="s">
        <v>20</v>
      </c>
      <c r="H1584" t="s">
        <v>20</v>
      </c>
      <c r="I1584" t="s">
        <v>20</v>
      </c>
      <c r="J1584" t="s">
        <v>27</v>
      </c>
      <c r="K1584">
        <v>8</v>
      </c>
      <c r="L1584">
        <v>144.433333333333</v>
      </c>
      <c r="M1584" t="s">
        <v>30</v>
      </c>
      <c r="N1584" t="str">
        <f>_xlfn.XLOOKUP(A1584,[1]!brca_metabric_clinical_data__2[Patient ID], [1]!brca_metabric_clinical_data__2[Tumor Size])</f>
        <v>33</v>
      </c>
      <c r="O1584" t="str">
        <f>_xlfn.XLOOKUP(A1584,[1]!brca_metabric_clinical_data__2[Sample ID],[1]!brca_metabric_clinical_data__2[Tumor Stage])</f>
        <v>NA</v>
      </c>
    </row>
    <row r="1585" spans="1:15" x14ac:dyDescent="0.45">
      <c r="A1585" t="s">
        <v>1620</v>
      </c>
      <c r="B1585">
        <v>44.48</v>
      </c>
      <c r="C1585" t="s">
        <v>16</v>
      </c>
      <c r="D1585" t="s">
        <v>26</v>
      </c>
      <c r="E1585" t="s">
        <v>37</v>
      </c>
      <c r="F1585" t="s">
        <v>19</v>
      </c>
      <c r="G1585" t="s">
        <v>20</v>
      </c>
      <c r="H1585" t="s">
        <v>20</v>
      </c>
      <c r="I1585" t="s">
        <v>20</v>
      </c>
      <c r="J1585" t="s">
        <v>38</v>
      </c>
      <c r="K1585" t="s">
        <v>39</v>
      </c>
      <c r="L1585">
        <v>191.933333333333</v>
      </c>
      <c r="M1585" t="s">
        <v>30</v>
      </c>
      <c r="N1585" t="str">
        <f>_xlfn.XLOOKUP(A1585,[1]!brca_metabric_clinical_data__2[Patient ID], [1]!brca_metabric_clinical_data__2[Tumor Size])</f>
        <v>57</v>
      </c>
      <c r="O1585" t="str">
        <f>_xlfn.XLOOKUP(A1585,[1]!brca_metabric_clinical_data__2[Sample ID],[1]!brca_metabric_clinical_data__2[Tumor Stage])</f>
        <v>NA</v>
      </c>
    </row>
    <row r="1586" spans="1:15" x14ac:dyDescent="0.45">
      <c r="A1586" t="s">
        <v>1621</v>
      </c>
      <c r="B1586">
        <v>87.32</v>
      </c>
      <c r="C1586" t="s">
        <v>16</v>
      </c>
      <c r="D1586" t="s">
        <v>17</v>
      </c>
      <c r="E1586" t="s">
        <v>18</v>
      </c>
      <c r="F1586" t="s">
        <v>19</v>
      </c>
      <c r="G1586" t="s">
        <v>20</v>
      </c>
      <c r="H1586" t="s">
        <v>20</v>
      </c>
      <c r="I1586" t="s">
        <v>20</v>
      </c>
      <c r="J1586" t="s">
        <v>27</v>
      </c>
      <c r="K1586" t="s">
        <v>23</v>
      </c>
      <c r="L1586">
        <v>143.53333333333299</v>
      </c>
      <c r="M1586" t="s">
        <v>30</v>
      </c>
      <c r="N1586" t="str">
        <f>_xlfn.XLOOKUP(A1586,[1]!brca_metabric_clinical_data__2[Patient ID], [1]!brca_metabric_clinical_data__2[Tumor Size])</f>
        <v>23</v>
      </c>
      <c r="O1586" t="str">
        <f>_xlfn.XLOOKUP(A1586,[1]!brca_metabric_clinical_data__2[Sample ID],[1]!brca_metabric_clinical_data__2[Tumor Stage])</f>
        <v>NA</v>
      </c>
    </row>
    <row r="1587" spans="1:15" x14ac:dyDescent="0.45">
      <c r="A1587" t="s">
        <v>1622</v>
      </c>
      <c r="B1587">
        <v>72.19</v>
      </c>
      <c r="C1587" t="s">
        <v>16</v>
      </c>
      <c r="D1587" t="s">
        <v>17</v>
      </c>
      <c r="E1587" t="s">
        <v>18</v>
      </c>
      <c r="F1587" t="s">
        <v>19</v>
      </c>
      <c r="G1587" t="s">
        <v>20</v>
      </c>
      <c r="H1587" t="s">
        <v>21</v>
      </c>
      <c r="I1587" t="s">
        <v>20</v>
      </c>
      <c r="J1587" t="s">
        <v>27</v>
      </c>
      <c r="K1587">
        <v>3</v>
      </c>
      <c r="L1587">
        <v>70.900000000000006</v>
      </c>
      <c r="M1587" t="s">
        <v>30</v>
      </c>
      <c r="N1587" t="str">
        <f>_xlfn.XLOOKUP(A1587,[1]!brca_metabric_clinical_data__2[Patient ID], [1]!brca_metabric_clinical_data__2[Tumor Size])</f>
        <v>30</v>
      </c>
      <c r="O1587" t="str">
        <f>_xlfn.XLOOKUP(A1587,[1]!brca_metabric_clinical_data__2[Sample ID],[1]!brca_metabric_clinical_data__2[Tumor Stage])</f>
        <v>NA</v>
      </c>
    </row>
    <row r="1588" spans="1:15" x14ac:dyDescent="0.45">
      <c r="A1588" t="s">
        <v>1623</v>
      </c>
      <c r="B1588">
        <v>65.03</v>
      </c>
      <c r="C1588" t="s">
        <v>16</v>
      </c>
      <c r="D1588" t="s">
        <v>17</v>
      </c>
      <c r="E1588" t="s">
        <v>18</v>
      </c>
      <c r="F1588" t="s">
        <v>19</v>
      </c>
      <c r="G1588" t="s">
        <v>20</v>
      </c>
      <c r="H1588" t="s">
        <v>20</v>
      </c>
      <c r="I1588" t="s">
        <v>20</v>
      </c>
      <c r="J1588" t="s">
        <v>27</v>
      </c>
      <c r="K1588">
        <v>8</v>
      </c>
      <c r="L1588">
        <v>143.166666666667</v>
      </c>
      <c r="M1588" t="s">
        <v>30</v>
      </c>
      <c r="N1588" t="str">
        <f>_xlfn.XLOOKUP(A1588,[1]!brca_metabric_clinical_data__2[Patient ID], [1]!brca_metabric_clinical_data__2[Tumor Size])</f>
        <v>25</v>
      </c>
      <c r="O1588" t="str">
        <f>_xlfn.XLOOKUP(A1588,[1]!brca_metabric_clinical_data__2[Sample ID],[1]!brca_metabric_clinical_data__2[Tumor Stage])</f>
        <v>NA</v>
      </c>
    </row>
    <row r="1589" spans="1:15" x14ac:dyDescent="0.45">
      <c r="A1589" t="s">
        <v>1624</v>
      </c>
      <c r="B1589">
        <v>67</v>
      </c>
      <c r="C1589" t="s">
        <v>16</v>
      </c>
      <c r="D1589" t="s">
        <v>17</v>
      </c>
      <c r="E1589" t="s">
        <v>18</v>
      </c>
      <c r="F1589" t="s">
        <v>19</v>
      </c>
      <c r="G1589" t="s">
        <v>20</v>
      </c>
      <c r="H1589" t="s">
        <v>20</v>
      </c>
      <c r="I1589" t="s">
        <v>20</v>
      </c>
      <c r="J1589" t="s">
        <v>38</v>
      </c>
      <c r="K1589" t="s">
        <v>23</v>
      </c>
      <c r="L1589">
        <v>13.533333333333299</v>
      </c>
      <c r="M1589" t="s">
        <v>30</v>
      </c>
      <c r="N1589" t="str">
        <f>_xlfn.XLOOKUP(A1589,[1]!brca_metabric_clinical_data__2[Patient ID], [1]!brca_metabric_clinical_data__2[Tumor Size])</f>
        <v>70</v>
      </c>
      <c r="O1589" t="str">
        <f>_xlfn.XLOOKUP(A1589,[1]!brca_metabric_clinical_data__2[Sample ID],[1]!brca_metabric_clinical_data__2[Tumor Stage])</f>
        <v>NA</v>
      </c>
    </row>
    <row r="1590" spans="1:15" x14ac:dyDescent="0.45">
      <c r="A1590" t="s">
        <v>1625</v>
      </c>
      <c r="B1590">
        <v>75.63</v>
      </c>
      <c r="C1590" t="s">
        <v>16</v>
      </c>
      <c r="D1590" t="s">
        <v>17</v>
      </c>
      <c r="E1590" t="s">
        <v>18</v>
      </c>
      <c r="F1590" t="s">
        <v>43</v>
      </c>
      <c r="G1590" t="s">
        <v>20</v>
      </c>
      <c r="H1590" t="s">
        <v>20</v>
      </c>
      <c r="I1590" t="s">
        <v>20</v>
      </c>
      <c r="J1590" t="s">
        <v>29</v>
      </c>
      <c r="K1590">
        <v>1</v>
      </c>
      <c r="L1590">
        <v>48.266666666666701</v>
      </c>
      <c r="M1590" t="s">
        <v>30</v>
      </c>
      <c r="N1590" t="str">
        <f>_xlfn.XLOOKUP(A1590,[1]!brca_metabric_clinical_data__2[Patient ID], [1]!brca_metabric_clinical_data__2[Tumor Size])</f>
        <v>20</v>
      </c>
      <c r="O1590" t="str">
        <f>_xlfn.XLOOKUP(A1590,[1]!brca_metabric_clinical_data__2[Sample ID],[1]!brca_metabric_clinical_data__2[Tumor Stage])</f>
        <v>NA</v>
      </c>
    </row>
    <row r="1591" spans="1:15" x14ac:dyDescent="0.45">
      <c r="A1591" t="s">
        <v>1626</v>
      </c>
      <c r="B1591">
        <v>51.94</v>
      </c>
      <c r="C1591" t="s">
        <v>16</v>
      </c>
      <c r="D1591" t="s">
        <v>17</v>
      </c>
      <c r="E1591" t="s">
        <v>18</v>
      </c>
      <c r="F1591" t="s">
        <v>19</v>
      </c>
      <c r="G1591" t="s">
        <v>20</v>
      </c>
      <c r="H1591" t="s">
        <v>20</v>
      </c>
      <c r="I1591" t="s">
        <v>20</v>
      </c>
      <c r="J1591" t="s">
        <v>27</v>
      </c>
      <c r="K1591">
        <v>3</v>
      </c>
      <c r="L1591">
        <v>301.23333333333301</v>
      </c>
      <c r="M1591" t="s">
        <v>24</v>
      </c>
      <c r="N1591" t="str">
        <f>_xlfn.XLOOKUP(A1591,[1]!brca_metabric_clinical_data__2[Patient ID], [1]!brca_metabric_clinical_data__2[Tumor Size])</f>
        <v>NA</v>
      </c>
      <c r="O1591" t="str">
        <f>_xlfn.XLOOKUP(A1591,[1]!brca_metabric_clinical_data__2[Sample ID],[1]!brca_metabric_clinical_data__2[Tumor Stage])</f>
        <v>NA</v>
      </c>
    </row>
    <row r="1592" spans="1:15" x14ac:dyDescent="0.45">
      <c r="A1592" t="s">
        <v>1627</v>
      </c>
      <c r="B1592">
        <v>90</v>
      </c>
      <c r="C1592" t="s">
        <v>16</v>
      </c>
      <c r="D1592" t="s">
        <v>17</v>
      </c>
      <c r="E1592" t="s">
        <v>18</v>
      </c>
      <c r="F1592" t="s">
        <v>19</v>
      </c>
      <c r="G1592" t="s">
        <v>20</v>
      </c>
      <c r="H1592" t="s">
        <v>21</v>
      </c>
      <c r="I1592" t="s">
        <v>20</v>
      </c>
      <c r="J1592" t="s">
        <v>29</v>
      </c>
      <c r="K1592">
        <v>8</v>
      </c>
      <c r="L1592">
        <v>52.066666666666698</v>
      </c>
      <c r="M1592" t="s">
        <v>30</v>
      </c>
      <c r="N1592" t="str">
        <f>_xlfn.XLOOKUP(A1592,[1]!brca_metabric_clinical_data__2[Patient ID], [1]!brca_metabric_clinical_data__2[Tumor Size])</f>
        <v>50</v>
      </c>
      <c r="O1592" t="str">
        <f>_xlfn.XLOOKUP(A1592,[1]!brca_metabric_clinical_data__2[Sample ID],[1]!brca_metabric_clinical_data__2[Tumor Stage])</f>
        <v>NA</v>
      </c>
    </row>
    <row r="1593" spans="1:15" x14ac:dyDescent="0.45">
      <c r="A1593" t="s">
        <v>1628</v>
      </c>
      <c r="B1593">
        <v>60.28</v>
      </c>
      <c r="C1593" t="s">
        <v>16</v>
      </c>
      <c r="D1593" t="s">
        <v>17</v>
      </c>
      <c r="E1593" t="s">
        <v>18</v>
      </c>
      <c r="F1593" t="s">
        <v>19</v>
      </c>
      <c r="G1593" t="s">
        <v>20</v>
      </c>
      <c r="H1593" t="s">
        <v>20</v>
      </c>
      <c r="I1593" t="s">
        <v>20</v>
      </c>
      <c r="J1593" t="s">
        <v>38</v>
      </c>
      <c r="K1593">
        <v>8</v>
      </c>
      <c r="L1593">
        <v>232.96666666666701</v>
      </c>
      <c r="M1593" t="s">
        <v>24</v>
      </c>
      <c r="N1593" t="str">
        <f>_xlfn.XLOOKUP(A1593,[1]!brca_metabric_clinical_data__2[Patient ID], [1]!brca_metabric_clinical_data__2[Tumor Size])</f>
        <v>34</v>
      </c>
      <c r="O1593" t="str">
        <f>_xlfn.XLOOKUP(A1593,[1]!brca_metabric_clinical_data__2[Sample ID],[1]!brca_metabric_clinical_data__2[Tumor Stage])</f>
        <v>NA</v>
      </c>
    </row>
    <row r="1594" spans="1:15" x14ac:dyDescent="0.45">
      <c r="A1594" t="s">
        <v>1629</v>
      </c>
      <c r="B1594">
        <v>65.63</v>
      </c>
      <c r="C1594" t="s">
        <v>16</v>
      </c>
      <c r="D1594" t="s">
        <v>17</v>
      </c>
      <c r="E1594" t="s">
        <v>18</v>
      </c>
      <c r="F1594" t="s">
        <v>19</v>
      </c>
      <c r="G1594" t="s">
        <v>20</v>
      </c>
      <c r="H1594" t="s">
        <v>20</v>
      </c>
      <c r="I1594" t="s">
        <v>20</v>
      </c>
      <c r="J1594" t="s">
        <v>27</v>
      </c>
      <c r="K1594">
        <v>8</v>
      </c>
      <c r="L1594">
        <v>252.26666666666699</v>
      </c>
      <c r="M1594" t="s">
        <v>30</v>
      </c>
      <c r="N1594" t="str">
        <f>_xlfn.XLOOKUP(A1594,[1]!brca_metabric_clinical_data__2[Patient ID], [1]!brca_metabric_clinical_data__2[Tumor Size])</f>
        <v>20</v>
      </c>
      <c r="O1594" t="str">
        <f>_xlfn.XLOOKUP(A1594,[1]!brca_metabric_clinical_data__2[Sample ID],[1]!brca_metabric_clinical_data__2[Tumor Stage])</f>
        <v>NA</v>
      </c>
    </row>
    <row r="1595" spans="1:15" x14ac:dyDescent="0.45">
      <c r="A1595" t="s">
        <v>1630</v>
      </c>
      <c r="B1595">
        <v>87.75</v>
      </c>
      <c r="C1595" t="s">
        <v>16</v>
      </c>
      <c r="D1595" t="s">
        <v>17</v>
      </c>
      <c r="E1595" t="s">
        <v>18</v>
      </c>
      <c r="F1595" t="s">
        <v>19</v>
      </c>
      <c r="G1595" t="s">
        <v>20</v>
      </c>
      <c r="H1595" t="s">
        <v>20</v>
      </c>
      <c r="I1595" t="s">
        <v>20</v>
      </c>
      <c r="J1595" t="s">
        <v>29</v>
      </c>
      <c r="K1595">
        <v>1</v>
      </c>
      <c r="L1595">
        <v>49.733333333333299</v>
      </c>
      <c r="M1595" t="s">
        <v>30</v>
      </c>
      <c r="N1595" t="str">
        <f>_xlfn.XLOOKUP(A1595,[1]!brca_metabric_clinical_data__2[Patient ID], [1]!brca_metabric_clinical_data__2[Tumor Size])</f>
        <v>25</v>
      </c>
      <c r="O1595" t="str">
        <f>_xlfn.XLOOKUP(A1595,[1]!brca_metabric_clinical_data__2[Sample ID],[1]!brca_metabric_clinical_data__2[Tumor Stage])</f>
        <v>NA</v>
      </c>
    </row>
    <row r="1596" spans="1:15" x14ac:dyDescent="0.45">
      <c r="A1596" t="s">
        <v>1631</v>
      </c>
      <c r="B1596">
        <v>63.35</v>
      </c>
      <c r="C1596" t="s">
        <v>16</v>
      </c>
      <c r="D1596" t="s">
        <v>17</v>
      </c>
      <c r="E1596" t="s">
        <v>18</v>
      </c>
      <c r="F1596" t="s">
        <v>19</v>
      </c>
      <c r="G1596" t="s">
        <v>20</v>
      </c>
      <c r="H1596" t="s">
        <v>21</v>
      </c>
      <c r="I1596" t="s">
        <v>21</v>
      </c>
      <c r="J1596" t="s">
        <v>27</v>
      </c>
      <c r="K1596">
        <v>7</v>
      </c>
      <c r="L1596">
        <v>278.36666666666702</v>
      </c>
      <c r="M1596" t="s">
        <v>30</v>
      </c>
      <c r="N1596" t="str">
        <f>_xlfn.XLOOKUP(A1596,[1]!brca_metabric_clinical_data__2[Patient ID], [1]!brca_metabric_clinical_data__2[Tumor Size])</f>
        <v>10</v>
      </c>
      <c r="O1596" t="str">
        <f>_xlfn.XLOOKUP(A1596,[1]!brca_metabric_clinical_data__2[Sample ID],[1]!brca_metabric_clinical_data__2[Tumor Stage])</f>
        <v>NA</v>
      </c>
    </row>
    <row r="1597" spans="1:15" x14ac:dyDescent="0.45">
      <c r="A1597" t="s">
        <v>1632</v>
      </c>
      <c r="B1597">
        <v>66.760000000000005</v>
      </c>
      <c r="C1597" t="s">
        <v>16</v>
      </c>
      <c r="D1597" t="s">
        <v>17</v>
      </c>
      <c r="E1597" t="s">
        <v>18</v>
      </c>
      <c r="F1597" t="s">
        <v>19</v>
      </c>
      <c r="G1597" t="s">
        <v>20</v>
      </c>
      <c r="H1597" t="s">
        <v>21</v>
      </c>
      <c r="I1597" t="s">
        <v>20</v>
      </c>
      <c r="J1597" t="s">
        <v>27</v>
      </c>
      <c r="K1597">
        <v>7</v>
      </c>
      <c r="L1597">
        <v>145.36666666666699</v>
      </c>
      <c r="M1597" t="s">
        <v>30</v>
      </c>
      <c r="N1597" t="str">
        <f>_xlfn.XLOOKUP(A1597,[1]!brca_metabric_clinical_data__2[Patient ID], [1]!brca_metabric_clinical_data__2[Tumor Size])</f>
        <v>20</v>
      </c>
      <c r="O1597" t="str">
        <f>_xlfn.XLOOKUP(A1597,[1]!brca_metabric_clinical_data__2[Sample ID],[1]!brca_metabric_clinical_data__2[Tumor Stage])</f>
        <v>NA</v>
      </c>
    </row>
    <row r="1598" spans="1:15" x14ac:dyDescent="0.45">
      <c r="A1598" t="s">
        <v>1633</v>
      </c>
      <c r="B1598">
        <v>44.65</v>
      </c>
      <c r="C1598" t="s">
        <v>16</v>
      </c>
      <c r="D1598" t="s">
        <v>26</v>
      </c>
      <c r="E1598" t="s">
        <v>37</v>
      </c>
      <c r="F1598" t="s">
        <v>43</v>
      </c>
      <c r="G1598" t="s">
        <v>20</v>
      </c>
      <c r="H1598" t="s">
        <v>20</v>
      </c>
      <c r="I1598" t="s">
        <v>20</v>
      </c>
      <c r="J1598" t="s">
        <v>22</v>
      </c>
      <c r="K1598">
        <v>10</v>
      </c>
      <c r="L1598">
        <v>287.933333333333</v>
      </c>
      <c r="M1598" t="s">
        <v>24</v>
      </c>
      <c r="N1598" t="str">
        <f>_xlfn.XLOOKUP(A1598,[1]!brca_metabric_clinical_data__2[Patient ID], [1]!brca_metabric_clinical_data__2[Tumor Size])</f>
        <v>20</v>
      </c>
      <c r="O1598" t="str">
        <f>_xlfn.XLOOKUP(A1598,[1]!brca_metabric_clinical_data__2[Sample ID],[1]!brca_metabric_clinical_data__2[Tumor Stage])</f>
        <v>NA</v>
      </c>
    </row>
    <row r="1599" spans="1:15" x14ac:dyDescent="0.45">
      <c r="A1599" t="s">
        <v>1634</v>
      </c>
      <c r="B1599">
        <v>65.959999999999994</v>
      </c>
      <c r="C1599" t="s">
        <v>16</v>
      </c>
      <c r="D1599" t="s">
        <v>17</v>
      </c>
      <c r="E1599" t="s">
        <v>18</v>
      </c>
      <c r="F1599" t="s">
        <v>43</v>
      </c>
      <c r="G1599" t="s">
        <v>20</v>
      </c>
      <c r="H1599" t="s">
        <v>21</v>
      </c>
      <c r="I1599" t="s">
        <v>20</v>
      </c>
      <c r="J1599" t="s">
        <v>45</v>
      </c>
      <c r="K1599">
        <v>9</v>
      </c>
      <c r="L1599">
        <v>73.133333333333297</v>
      </c>
      <c r="M1599" t="s">
        <v>30</v>
      </c>
      <c r="N1599" t="str">
        <f>_xlfn.XLOOKUP(A1599,[1]!brca_metabric_clinical_data__2[Patient ID], [1]!brca_metabric_clinical_data__2[Tumor Size])</f>
        <v>35</v>
      </c>
      <c r="O1599" t="str">
        <f>_xlfn.XLOOKUP(A1599,[1]!brca_metabric_clinical_data__2[Sample ID],[1]!brca_metabric_clinical_data__2[Tumor Stage])</f>
        <v>NA</v>
      </c>
    </row>
    <row r="1600" spans="1:15" x14ac:dyDescent="0.45">
      <c r="A1600" t="s">
        <v>1635</v>
      </c>
      <c r="B1600">
        <v>70.12</v>
      </c>
      <c r="C1600" t="s">
        <v>16</v>
      </c>
      <c r="D1600" t="s">
        <v>17</v>
      </c>
      <c r="E1600" t="s">
        <v>18</v>
      </c>
      <c r="F1600" t="s">
        <v>19</v>
      </c>
      <c r="G1600" t="s">
        <v>20</v>
      </c>
      <c r="H1600" t="s">
        <v>20</v>
      </c>
      <c r="I1600" t="s">
        <v>20</v>
      </c>
      <c r="J1600" t="s">
        <v>38</v>
      </c>
      <c r="K1600">
        <v>3</v>
      </c>
      <c r="L1600">
        <v>263.433333333333</v>
      </c>
      <c r="M1600" t="s">
        <v>24</v>
      </c>
      <c r="N1600" t="str">
        <f>_xlfn.XLOOKUP(A1600,[1]!brca_metabric_clinical_data__2[Patient ID], [1]!brca_metabric_clinical_data__2[Tumor Size])</f>
        <v>30</v>
      </c>
      <c r="O1600" t="str">
        <f>_xlfn.XLOOKUP(A1600,[1]!brca_metabric_clinical_data__2[Sample ID],[1]!brca_metabric_clinical_data__2[Tumor Stage])</f>
        <v>NA</v>
      </c>
    </row>
    <row r="1601" spans="1:15" x14ac:dyDescent="0.45">
      <c r="A1601" t="s">
        <v>1636</v>
      </c>
      <c r="B1601">
        <v>70.64</v>
      </c>
      <c r="C1601" t="s">
        <v>16</v>
      </c>
      <c r="D1601" t="s">
        <v>17</v>
      </c>
      <c r="E1601" t="s">
        <v>18</v>
      </c>
      <c r="F1601" t="s">
        <v>19</v>
      </c>
      <c r="G1601" t="s">
        <v>20</v>
      </c>
      <c r="H1601" t="s">
        <v>20</v>
      </c>
      <c r="I1601" t="s">
        <v>20</v>
      </c>
      <c r="J1601" t="s">
        <v>45</v>
      </c>
      <c r="K1601">
        <v>6</v>
      </c>
      <c r="L1601">
        <v>219.1</v>
      </c>
      <c r="M1601" t="s">
        <v>30</v>
      </c>
      <c r="N1601" t="str">
        <f>_xlfn.XLOOKUP(A1601,[1]!brca_metabric_clinical_data__2[Patient ID], [1]!brca_metabric_clinical_data__2[Tumor Size])</f>
        <v>30</v>
      </c>
      <c r="O1601" t="str">
        <f>_xlfn.XLOOKUP(A1601,[1]!brca_metabric_clinical_data__2[Sample ID],[1]!brca_metabric_clinical_data__2[Tumor Stage])</f>
        <v>NA</v>
      </c>
    </row>
    <row r="1602" spans="1:15" x14ac:dyDescent="0.45">
      <c r="A1602" t="s">
        <v>1637</v>
      </c>
      <c r="B1602">
        <v>72.94</v>
      </c>
      <c r="C1602" t="s">
        <v>16</v>
      </c>
      <c r="D1602" t="s">
        <v>17</v>
      </c>
      <c r="E1602" t="s">
        <v>18</v>
      </c>
      <c r="F1602" t="s">
        <v>19</v>
      </c>
      <c r="G1602" t="s">
        <v>20</v>
      </c>
      <c r="H1602" t="s">
        <v>21</v>
      </c>
      <c r="I1602" t="s">
        <v>20</v>
      </c>
      <c r="J1602" t="s">
        <v>45</v>
      </c>
      <c r="K1602">
        <v>9</v>
      </c>
      <c r="L1602">
        <v>37.866666666666703</v>
      </c>
      <c r="M1602" t="s">
        <v>30</v>
      </c>
      <c r="N1602" t="str">
        <f>_xlfn.XLOOKUP(A1602,[1]!brca_metabric_clinical_data__2[Patient ID], [1]!brca_metabric_clinical_data__2[Tumor Size])</f>
        <v>15</v>
      </c>
      <c r="O1602" t="str">
        <f>_xlfn.XLOOKUP(A1602,[1]!brca_metabric_clinical_data__2[Sample ID],[1]!brca_metabric_clinical_data__2[Tumor Stage])</f>
        <v>NA</v>
      </c>
    </row>
    <row r="1603" spans="1:15" x14ac:dyDescent="0.45">
      <c r="A1603" t="s">
        <v>1638</v>
      </c>
      <c r="B1603">
        <v>58.84</v>
      </c>
      <c r="C1603" t="s">
        <v>16</v>
      </c>
      <c r="D1603" t="s">
        <v>17</v>
      </c>
      <c r="E1603" t="s">
        <v>18</v>
      </c>
      <c r="F1603" t="s">
        <v>43</v>
      </c>
      <c r="G1603" t="s">
        <v>20</v>
      </c>
      <c r="H1603" t="s">
        <v>21</v>
      </c>
      <c r="I1603" t="s">
        <v>20</v>
      </c>
      <c r="J1603" t="s">
        <v>45</v>
      </c>
      <c r="K1603">
        <v>9</v>
      </c>
      <c r="L1603">
        <v>168.2</v>
      </c>
      <c r="M1603" t="s">
        <v>30</v>
      </c>
      <c r="N1603" t="str">
        <f>_xlfn.XLOOKUP(A1603,[1]!brca_metabric_clinical_data__2[Patient ID], [1]!brca_metabric_clinical_data__2[Tumor Size])</f>
        <v>25</v>
      </c>
      <c r="O1603" t="str">
        <f>_xlfn.XLOOKUP(A1603,[1]!brca_metabric_clinical_data__2[Sample ID],[1]!brca_metabric_clinical_data__2[Tumor Stage])</f>
        <v>NA</v>
      </c>
    </row>
    <row r="1604" spans="1:15" x14ac:dyDescent="0.45">
      <c r="A1604" t="s">
        <v>1639</v>
      </c>
      <c r="B1604">
        <v>62.29</v>
      </c>
      <c r="C1604" t="s">
        <v>16</v>
      </c>
      <c r="D1604" t="s">
        <v>17</v>
      </c>
      <c r="E1604" t="s">
        <v>18</v>
      </c>
      <c r="F1604" t="s">
        <v>43</v>
      </c>
      <c r="G1604" t="s">
        <v>20</v>
      </c>
      <c r="H1604" t="s">
        <v>20</v>
      </c>
      <c r="I1604" t="s">
        <v>20</v>
      </c>
      <c r="J1604" t="s">
        <v>45</v>
      </c>
      <c r="K1604">
        <v>5</v>
      </c>
      <c r="L1604">
        <v>264.23333333333301</v>
      </c>
      <c r="M1604" t="s">
        <v>24</v>
      </c>
      <c r="N1604" t="str">
        <f>_xlfn.XLOOKUP(A1604,[1]!brca_metabric_clinical_data__2[Patient ID], [1]!brca_metabric_clinical_data__2[Tumor Size])</f>
        <v>40</v>
      </c>
      <c r="O1604" t="str">
        <f>_xlfn.XLOOKUP(A1604,[1]!brca_metabric_clinical_data__2[Sample ID],[1]!brca_metabric_clinical_data__2[Tumor Stage])</f>
        <v>NA</v>
      </c>
    </row>
    <row r="1605" spans="1:15" x14ac:dyDescent="0.45">
      <c r="A1605" t="s">
        <v>1640</v>
      </c>
      <c r="B1605">
        <v>51.07</v>
      </c>
      <c r="C1605" t="s">
        <v>16</v>
      </c>
      <c r="D1605" t="s">
        <v>17</v>
      </c>
      <c r="E1605" t="s">
        <v>18</v>
      </c>
      <c r="F1605" t="s">
        <v>19</v>
      </c>
      <c r="G1605" t="s">
        <v>20</v>
      </c>
      <c r="H1605" t="s">
        <v>20</v>
      </c>
      <c r="I1605" t="s">
        <v>20</v>
      </c>
      <c r="J1605" t="s">
        <v>27</v>
      </c>
      <c r="K1605">
        <v>8</v>
      </c>
      <c r="L1605">
        <v>192.2</v>
      </c>
      <c r="M1605" t="s">
        <v>24</v>
      </c>
      <c r="N1605" t="str">
        <f>_xlfn.XLOOKUP(A1605,[1]!brca_metabric_clinical_data__2[Patient ID], [1]!brca_metabric_clinical_data__2[Tumor Size])</f>
        <v>20</v>
      </c>
      <c r="O1605" t="str">
        <f>_xlfn.XLOOKUP(A1605,[1]!brca_metabric_clinical_data__2[Sample ID],[1]!brca_metabric_clinical_data__2[Tumor Stage])</f>
        <v>NA</v>
      </c>
    </row>
    <row r="1606" spans="1:15" x14ac:dyDescent="0.45">
      <c r="A1606" t="s">
        <v>1641</v>
      </c>
      <c r="B1606">
        <v>65.39</v>
      </c>
      <c r="C1606" t="s">
        <v>16</v>
      </c>
      <c r="D1606" t="s">
        <v>17</v>
      </c>
      <c r="E1606" t="s">
        <v>18</v>
      </c>
      <c r="F1606" t="s">
        <v>19</v>
      </c>
      <c r="G1606" t="s">
        <v>20</v>
      </c>
      <c r="H1606" t="s">
        <v>21</v>
      </c>
      <c r="I1606" t="s">
        <v>20</v>
      </c>
      <c r="J1606" t="s">
        <v>27</v>
      </c>
      <c r="K1606">
        <v>3</v>
      </c>
      <c r="L1606">
        <v>186.833333333333</v>
      </c>
      <c r="M1606" t="s">
        <v>30</v>
      </c>
      <c r="N1606" t="str">
        <f>_xlfn.XLOOKUP(A1606,[1]!brca_metabric_clinical_data__2[Patient ID], [1]!brca_metabric_clinical_data__2[Tumor Size])</f>
        <v>36</v>
      </c>
      <c r="O1606" t="str">
        <f>_xlfn.XLOOKUP(A1606,[1]!brca_metabric_clinical_data__2[Sample ID],[1]!brca_metabric_clinical_data__2[Tumor Stage])</f>
        <v>NA</v>
      </c>
    </row>
    <row r="1607" spans="1:15" x14ac:dyDescent="0.45">
      <c r="A1607" t="s">
        <v>1642</v>
      </c>
      <c r="B1607">
        <v>36.47</v>
      </c>
      <c r="C1607" t="s">
        <v>16</v>
      </c>
      <c r="D1607" t="s">
        <v>26</v>
      </c>
      <c r="E1607" t="s">
        <v>37</v>
      </c>
      <c r="F1607" t="s">
        <v>19</v>
      </c>
      <c r="G1607" t="s">
        <v>20</v>
      </c>
      <c r="H1607" t="s">
        <v>20</v>
      </c>
      <c r="I1607" t="s">
        <v>20</v>
      </c>
      <c r="J1607" t="s">
        <v>22</v>
      </c>
      <c r="K1607" t="s">
        <v>39</v>
      </c>
      <c r="L1607">
        <v>255.36666666666699</v>
      </c>
      <c r="M1607" t="s">
        <v>24</v>
      </c>
      <c r="N1607" t="str">
        <f>_xlfn.XLOOKUP(A1607,[1]!brca_metabric_clinical_data__2[Patient ID], [1]!brca_metabric_clinical_data__2[Tumor Size])</f>
        <v>15</v>
      </c>
      <c r="O1607" t="str">
        <f>_xlfn.XLOOKUP(A1607,[1]!brca_metabric_clinical_data__2[Sample ID],[1]!brca_metabric_clinical_data__2[Tumor Stage])</f>
        <v>NA</v>
      </c>
    </row>
    <row r="1608" spans="1:15" x14ac:dyDescent="0.45">
      <c r="A1608" t="s">
        <v>1643</v>
      </c>
      <c r="B1608">
        <v>69.39</v>
      </c>
      <c r="C1608" t="s">
        <v>16</v>
      </c>
      <c r="D1608" t="s">
        <v>17</v>
      </c>
      <c r="E1608" t="s">
        <v>18</v>
      </c>
      <c r="F1608" t="s">
        <v>19</v>
      </c>
      <c r="G1608" t="s">
        <v>20</v>
      </c>
      <c r="H1608" t="s">
        <v>21</v>
      </c>
      <c r="I1608" t="s">
        <v>20</v>
      </c>
      <c r="J1608" t="s">
        <v>29</v>
      </c>
      <c r="K1608">
        <v>1</v>
      </c>
      <c r="L1608">
        <v>250.8</v>
      </c>
      <c r="M1608" t="s">
        <v>24</v>
      </c>
      <c r="N1608" t="str">
        <f>_xlfn.XLOOKUP(A1608,[1]!brca_metabric_clinical_data__2[Patient ID], [1]!brca_metabric_clinical_data__2[Tumor Size])</f>
        <v>26</v>
      </c>
      <c r="O1608" t="str">
        <f>_xlfn.XLOOKUP(A1608,[1]!brca_metabric_clinical_data__2[Sample ID],[1]!brca_metabric_clinical_data__2[Tumor Stage])</f>
        <v>NA</v>
      </c>
    </row>
    <row r="1609" spans="1:15" x14ac:dyDescent="0.45">
      <c r="A1609" t="s">
        <v>1644</v>
      </c>
      <c r="B1609">
        <v>33.08</v>
      </c>
      <c r="C1609" t="s">
        <v>16</v>
      </c>
      <c r="D1609" t="s">
        <v>26</v>
      </c>
      <c r="E1609" t="s">
        <v>37</v>
      </c>
      <c r="F1609" t="s">
        <v>19</v>
      </c>
      <c r="G1609" t="s">
        <v>21</v>
      </c>
      <c r="H1609" t="s">
        <v>20</v>
      </c>
      <c r="I1609" t="s">
        <v>21</v>
      </c>
      <c r="J1609" t="s">
        <v>22</v>
      </c>
      <c r="K1609">
        <v>10</v>
      </c>
      <c r="L1609">
        <v>200.433333333333</v>
      </c>
      <c r="M1609" t="s">
        <v>24</v>
      </c>
      <c r="N1609" t="str">
        <f>_xlfn.XLOOKUP(A1609,[1]!brca_metabric_clinical_data__2[Patient ID], [1]!brca_metabric_clinical_data__2[Tumor Size])</f>
        <v>25</v>
      </c>
      <c r="O1609" t="str">
        <f>_xlfn.XLOOKUP(A1609,[1]!brca_metabric_clinical_data__2[Sample ID],[1]!brca_metabric_clinical_data__2[Tumor Stage])</f>
        <v>NA</v>
      </c>
    </row>
    <row r="1610" spans="1:15" x14ac:dyDescent="0.45">
      <c r="A1610" t="s">
        <v>1645</v>
      </c>
      <c r="B1610">
        <v>41.79</v>
      </c>
      <c r="C1610" t="s">
        <v>16</v>
      </c>
      <c r="D1610" t="s">
        <v>26</v>
      </c>
      <c r="E1610" t="s">
        <v>37</v>
      </c>
      <c r="F1610" t="s">
        <v>19</v>
      </c>
      <c r="G1610" t="s">
        <v>21</v>
      </c>
      <c r="H1610" t="s">
        <v>20</v>
      </c>
      <c r="I1610" t="s">
        <v>20</v>
      </c>
      <c r="J1610" t="s">
        <v>58</v>
      </c>
      <c r="K1610">
        <v>10</v>
      </c>
      <c r="L1610">
        <v>22.6666666666667</v>
      </c>
      <c r="M1610" t="s">
        <v>30</v>
      </c>
      <c r="N1610" t="str">
        <f>_xlfn.XLOOKUP(A1610,[1]!brca_metabric_clinical_data__2[Patient ID], [1]!brca_metabric_clinical_data__2[Tumor Size])</f>
        <v>18</v>
      </c>
      <c r="O1610" t="str">
        <f>_xlfn.XLOOKUP(A1610,[1]!brca_metabric_clinical_data__2[Sample ID],[1]!brca_metabric_clinical_data__2[Tumor Stage])</f>
        <v>NA</v>
      </c>
    </row>
    <row r="1611" spans="1:15" x14ac:dyDescent="0.45">
      <c r="A1611" t="s">
        <v>1646</v>
      </c>
      <c r="B1611">
        <v>50.88</v>
      </c>
      <c r="C1611" t="s">
        <v>16</v>
      </c>
      <c r="D1611" t="s">
        <v>17</v>
      </c>
      <c r="E1611" t="s">
        <v>37</v>
      </c>
      <c r="F1611" t="s">
        <v>19</v>
      </c>
      <c r="G1611" t="s">
        <v>21</v>
      </c>
      <c r="H1611" t="s">
        <v>20</v>
      </c>
      <c r="I1611" t="s">
        <v>20</v>
      </c>
      <c r="J1611" t="s">
        <v>38</v>
      </c>
      <c r="K1611">
        <v>7</v>
      </c>
      <c r="L1611">
        <v>278.46666666666698</v>
      </c>
      <c r="M1611" t="s">
        <v>24</v>
      </c>
      <c r="N1611" t="str">
        <f>_xlfn.XLOOKUP(A1611,[1]!brca_metabric_clinical_data__2[Patient ID], [1]!brca_metabric_clinical_data__2[Tumor Size])</f>
        <v>48</v>
      </c>
      <c r="O1611" t="str">
        <f>_xlfn.XLOOKUP(A1611,[1]!brca_metabric_clinical_data__2[Sample ID],[1]!brca_metabric_clinical_data__2[Tumor Stage])</f>
        <v>NA</v>
      </c>
    </row>
    <row r="1612" spans="1:15" x14ac:dyDescent="0.45">
      <c r="A1612" t="s">
        <v>1647</v>
      </c>
      <c r="B1612">
        <v>53.79</v>
      </c>
      <c r="C1612" t="s">
        <v>16</v>
      </c>
      <c r="D1612" t="s">
        <v>17</v>
      </c>
      <c r="E1612" t="s">
        <v>18</v>
      </c>
      <c r="F1612" t="s">
        <v>43</v>
      </c>
      <c r="G1612" t="s">
        <v>20</v>
      </c>
      <c r="H1612" t="s">
        <v>20</v>
      </c>
      <c r="I1612" t="s">
        <v>20</v>
      </c>
      <c r="J1612" t="s">
        <v>29</v>
      </c>
      <c r="K1612">
        <v>5</v>
      </c>
      <c r="L1612">
        <v>38.033333333333303</v>
      </c>
      <c r="M1612" t="s">
        <v>30</v>
      </c>
      <c r="N1612" t="str">
        <f>_xlfn.XLOOKUP(A1612,[1]!brca_metabric_clinical_data__2[Patient ID], [1]!brca_metabric_clinical_data__2[Tumor Size])</f>
        <v>30</v>
      </c>
      <c r="O1612" t="str">
        <f>_xlfn.XLOOKUP(A1612,[1]!brca_metabric_clinical_data__2[Sample ID],[1]!brca_metabric_clinical_data__2[Tumor Stage])</f>
        <v>NA</v>
      </c>
    </row>
    <row r="1613" spans="1:15" x14ac:dyDescent="0.45">
      <c r="A1613" t="s">
        <v>1648</v>
      </c>
      <c r="B1613">
        <v>31.6</v>
      </c>
      <c r="C1613" t="s">
        <v>16</v>
      </c>
      <c r="D1613" t="s">
        <v>26</v>
      </c>
      <c r="E1613" t="s">
        <v>37</v>
      </c>
      <c r="F1613" t="s">
        <v>19</v>
      </c>
      <c r="G1613" t="s">
        <v>20</v>
      </c>
      <c r="H1613" t="s">
        <v>20</v>
      </c>
      <c r="I1613" t="s">
        <v>21</v>
      </c>
      <c r="J1613" t="s">
        <v>22</v>
      </c>
      <c r="K1613">
        <v>10</v>
      </c>
      <c r="L1613">
        <v>282.36666666666702</v>
      </c>
      <c r="M1613" t="s">
        <v>24</v>
      </c>
      <c r="N1613" t="str">
        <f>_xlfn.XLOOKUP(A1613,[1]!brca_metabric_clinical_data__2[Patient ID], [1]!brca_metabric_clinical_data__2[Tumor Size])</f>
        <v>22</v>
      </c>
      <c r="O1613" t="str">
        <f>_xlfn.XLOOKUP(A1613,[1]!brca_metabric_clinical_data__2[Sample ID],[1]!brca_metabric_clinical_data__2[Tumor Stage])</f>
        <v>NA</v>
      </c>
    </row>
    <row r="1614" spans="1:15" x14ac:dyDescent="0.45">
      <c r="A1614" t="s">
        <v>1649</v>
      </c>
      <c r="B1614">
        <v>58.9</v>
      </c>
      <c r="C1614" t="s">
        <v>16</v>
      </c>
      <c r="D1614" t="s">
        <v>17</v>
      </c>
      <c r="E1614" t="s">
        <v>37</v>
      </c>
      <c r="F1614" t="s">
        <v>43</v>
      </c>
      <c r="G1614" t="s">
        <v>21</v>
      </c>
      <c r="H1614" t="s">
        <v>20</v>
      </c>
      <c r="I1614" t="s">
        <v>20</v>
      </c>
      <c r="J1614" t="s">
        <v>38</v>
      </c>
      <c r="K1614">
        <v>5</v>
      </c>
      <c r="L1614">
        <v>15.6</v>
      </c>
      <c r="M1614" t="s">
        <v>30</v>
      </c>
      <c r="N1614" t="str">
        <f>_xlfn.XLOOKUP(A1614,[1]!brca_metabric_clinical_data__2[Patient ID], [1]!brca_metabric_clinical_data__2[Tumor Size])</f>
        <v>120</v>
      </c>
      <c r="O1614" t="str">
        <f>_xlfn.XLOOKUP(A1614,[1]!brca_metabric_clinical_data__2[Sample ID],[1]!brca_metabric_clinical_data__2[Tumor Stage])</f>
        <v>NA</v>
      </c>
    </row>
    <row r="1615" spans="1:15" x14ac:dyDescent="0.45">
      <c r="A1615" t="s">
        <v>1650</v>
      </c>
      <c r="B1615">
        <v>76.69</v>
      </c>
      <c r="C1615" t="s">
        <v>16</v>
      </c>
      <c r="D1615" t="s">
        <v>17</v>
      </c>
      <c r="E1615" t="s">
        <v>18</v>
      </c>
      <c r="F1615" t="s">
        <v>19</v>
      </c>
      <c r="G1615" t="s">
        <v>20</v>
      </c>
      <c r="H1615" t="s">
        <v>21</v>
      </c>
      <c r="I1615" t="s">
        <v>20</v>
      </c>
      <c r="J1615" t="s">
        <v>27</v>
      </c>
      <c r="K1615">
        <v>8</v>
      </c>
      <c r="L1615">
        <v>188.53333333333299</v>
      </c>
      <c r="M1615" t="s">
        <v>30</v>
      </c>
      <c r="N1615" t="str">
        <f>_xlfn.XLOOKUP(A1615,[1]!brca_metabric_clinical_data__2[Patient ID], [1]!brca_metabric_clinical_data__2[Tumor Size])</f>
        <v>48</v>
      </c>
      <c r="O1615" t="str">
        <f>_xlfn.XLOOKUP(A1615,[1]!brca_metabric_clinical_data__2[Sample ID],[1]!brca_metabric_clinical_data__2[Tumor Stage])</f>
        <v>NA</v>
      </c>
    </row>
    <row r="1616" spans="1:15" x14ac:dyDescent="0.45">
      <c r="A1616" t="s">
        <v>1651</v>
      </c>
      <c r="B1616">
        <v>43.75</v>
      </c>
      <c r="C1616" t="s">
        <v>16</v>
      </c>
      <c r="D1616" t="s">
        <v>26</v>
      </c>
      <c r="E1616" t="s">
        <v>37</v>
      </c>
      <c r="F1616" t="s">
        <v>19</v>
      </c>
      <c r="G1616" t="s">
        <v>20</v>
      </c>
      <c r="H1616" t="s">
        <v>20</v>
      </c>
      <c r="I1616" t="s">
        <v>20</v>
      </c>
      <c r="J1616" t="s">
        <v>58</v>
      </c>
      <c r="K1616" t="s">
        <v>39</v>
      </c>
      <c r="L1616">
        <v>182.6</v>
      </c>
      <c r="M1616" t="s">
        <v>30</v>
      </c>
      <c r="N1616" t="str">
        <f>_xlfn.XLOOKUP(A1616,[1]!brca_metabric_clinical_data__2[Patient ID], [1]!brca_metabric_clinical_data__2[Tumor Size])</f>
        <v>NA</v>
      </c>
      <c r="O1616" t="str">
        <f>_xlfn.XLOOKUP(A1616,[1]!brca_metabric_clinical_data__2[Sample ID],[1]!brca_metabric_clinical_data__2[Tumor Stage])</f>
        <v>NA</v>
      </c>
    </row>
    <row r="1617" spans="1:15" x14ac:dyDescent="0.45">
      <c r="A1617" t="s">
        <v>1652</v>
      </c>
      <c r="B1617">
        <v>75.55</v>
      </c>
      <c r="C1617" t="s">
        <v>16</v>
      </c>
      <c r="D1617" t="s">
        <v>17</v>
      </c>
      <c r="E1617" t="s">
        <v>18</v>
      </c>
      <c r="F1617" t="s">
        <v>19</v>
      </c>
      <c r="G1617" t="s">
        <v>20</v>
      </c>
      <c r="H1617" t="s">
        <v>21</v>
      </c>
      <c r="I1617" t="s">
        <v>21</v>
      </c>
      <c r="J1617" t="s">
        <v>27</v>
      </c>
      <c r="K1617">
        <v>7</v>
      </c>
      <c r="L1617">
        <v>258.13333333333298</v>
      </c>
      <c r="M1617" t="s">
        <v>30</v>
      </c>
      <c r="N1617" t="str">
        <f>_xlfn.XLOOKUP(A1617,[1]!brca_metabric_clinical_data__2[Patient ID], [1]!brca_metabric_clinical_data__2[Tumor Size])</f>
        <v>20</v>
      </c>
      <c r="O1617" t="str">
        <f>_xlfn.XLOOKUP(A1617,[1]!brca_metabric_clinical_data__2[Sample ID],[1]!brca_metabric_clinical_data__2[Tumor Stage])</f>
        <v>NA</v>
      </c>
    </row>
    <row r="1618" spans="1:15" x14ac:dyDescent="0.45">
      <c r="A1618" t="s">
        <v>1653</v>
      </c>
      <c r="B1618">
        <v>72.81</v>
      </c>
      <c r="C1618" t="s">
        <v>16</v>
      </c>
      <c r="D1618" t="s">
        <v>17</v>
      </c>
      <c r="E1618" t="s">
        <v>18</v>
      </c>
      <c r="F1618" t="s">
        <v>19</v>
      </c>
      <c r="G1618" t="s">
        <v>20</v>
      </c>
      <c r="H1618" t="s">
        <v>21</v>
      </c>
      <c r="I1618" t="s">
        <v>20</v>
      </c>
      <c r="J1618" t="s">
        <v>27</v>
      </c>
      <c r="K1618">
        <v>7</v>
      </c>
      <c r="L1618">
        <v>57.4</v>
      </c>
      <c r="M1618" t="s">
        <v>30</v>
      </c>
      <c r="N1618" t="str">
        <f>_xlfn.XLOOKUP(A1618,[1]!brca_metabric_clinical_data__2[Patient ID], [1]!brca_metabric_clinical_data__2[Tumor Size])</f>
        <v>34</v>
      </c>
      <c r="O1618" t="str">
        <f>_xlfn.XLOOKUP(A1618,[1]!brca_metabric_clinical_data__2[Sample ID],[1]!brca_metabric_clinical_data__2[Tumor Stage])</f>
        <v>NA</v>
      </c>
    </row>
    <row r="1619" spans="1:15" x14ac:dyDescent="0.45">
      <c r="A1619" t="s">
        <v>1654</v>
      </c>
      <c r="B1619">
        <v>84.04</v>
      </c>
      <c r="C1619" t="s">
        <v>16</v>
      </c>
      <c r="D1619" t="s">
        <v>17</v>
      </c>
      <c r="E1619" t="s">
        <v>18</v>
      </c>
      <c r="F1619" t="s">
        <v>19</v>
      </c>
      <c r="G1619" t="s">
        <v>20</v>
      </c>
      <c r="H1619" t="s">
        <v>20</v>
      </c>
      <c r="I1619" t="s">
        <v>20</v>
      </c>
      <c r="J1619" t="s">
        <v>29</v>
      </c>
      <c r="K1619">
        <v>7</v>
      </c>
      <c r="L1619">
        <v>182.333333333333</v>
      </c>
      <c r="M1619" t="s">
        <v>30</v>
      </c>
      <c r="N1619" t="str">
        <f>_xlfn.XLOOKUP(A1619,[1]!brca_metabric_clinical_data__2[Patient ID], [1]!brca_metabric_clinical_data__2[Tumor Size])</f>
        <v>25</v>
      </c>
      <c r="O1619" t="str">
        <f>_xlfn.XLOOKUP(A1619,[1]!brca_metabric_clinical_data__2[Sample ID],[1]!brca_metabric_clinical_data__2[Tumor Stage])</f>
        <v>NA</v>
      </c>
    </row>
    <row r="1620" spans="1:15" x14ac:dyDescent="0.45">
      <c r="A1620" t="s">
        <v>1655</v>
      </c>
      <c r="B1620">
        <v>70.92</v>
      </c>
      <c r="C1620" t="s">
        <v>16</v>
      </c>
      <c r="D1620" t="s">
        <v>17</v>
      </c>
      <c r="E1620" t="s">
        <v>18</v>
      </c>
      <c r="F1620" t="s">
        <v>19</v>
      </c>
      <c r="G1620" t="s">
        <v>20</v>
      </c>
      <c r="H1620" t="s">
        <v>20</v>
      </c>
      <c r="I1620" t="s">
        <v>20</v>
      </c>
      <c r="J1620" t="s">
        <v>613</v>
      </c>
      <c r="K1620">
        <v>7</v>
      </c>
      <c r="L1620">
        <v>170.26666666666699</v>
      </c>
      <c r="M1620" t="s">
        <v>30</v>
      </c>
      <c r="N1620" t="str">
        <f>_xlfn.XLOOKUP(A1620,[1]!brca_metabric_clinical_data__2[Patient ID], [1]!brca_metabric_clinical_data__2[Tumor Size])</f>
        <v>16</v>
      </c>
      <c r="O1620" t="str">
        <f>_xlfn.XLOOKUP(A1620,[1]!brca_metabric_clinical_data__2[Sample ID],[1]!brca_metabric_clinical_data__2[Tumor Stage])</f>
        <v>NA</v>
      </c>
    </row>
    <row r="1621" spans="1:15" x14ac:dyDescent="0.45">
      <c r="A1621" t="s">
        <v>1656</v>
      </c>
      <c r="B1621">
        <v>68.91</v>
      </c>
      <c r="C1621" t="s">
        <v>16</v>
      </c>
      <c r="D1621" t="s">
        <v>17</v>
      </c>
      <c r="E1621" t="s">
        <v>18</v>
      </c>
      <c r="F1621" t="s">
        <v>19</v>
      </c>
      <c r="G1621" t="s">
        <v>20</v>
      </c>
      <c r="H1621" t="s">
        <v>21</v>
      </c>
      <c r="I1621" t="s">
        <v>21</v>
      </c>
      <c r="J1621" t="s">
        <v>29</v>
      </c>
      <c r="K1621">
        <v>9</v>
      </c>
      <c r="L1621">
        <v>239.166666666667</v>
      </c>
      <c r="M1621" t="s">
        <v>30</v>
      </c>
      <c r="N1621" t="str">
        <f>_xlfn.XLOOKUP(A1621,[1]!brca_metabric_clinical_data__2[Patient ID], [1]!brca_metabric_clinical_data__2[Tumor Size])</f>
        <v>NA</v>
      </c>
      <c r="O1621" t="str">
        <f>_xlfn.XLOOKUP(A1621,[1]!brca_metabric_clinical_data__2[Sample ID],[1]!brca_metabric_clinical_data__2[Tumor Stage])</f>
        <v>NA</v>
      </c>
    </row>
    <row r="1622" spans="1:15" x14ac:dyDescent="0.45">
      <c r="A1622" t="s">
        <v>1657</v>
      </c>
      <c r="B1622">
        <v>79.040000000000006</v>
      </c>
      <c r="C1622" t="s">
        <v>16</v>
      </c>
      <c r="D1622" t="s">
        <v>17</v>
      </c>
      <c r="E1622" t="s">
        <v>18</v>
      </c>
      <c r="F1622" t="s">
        <v>19</v>
      </c>
      <c r="G1622" t="s">
        <v>20</v>
      </c>
      <c r="H1622" t="s">
        <v>21</v>
      </c>
      <c r="I1622" t="s">
        <v>21</v>
      </c>
      <c r="J1622" t="s">
        <v>29</v>
      </c>
      <c r="K1622" t="s">
        <v>23</v>
      </c>
      <c r="L1622">
        <v>54.1</v>
      </c>
      <c r="M1622" t="s">
        <v>30</v>
      </c>
      <c r="N1622" t="str">
        <f>_xlfn.XLOOKUP(A1622,[1]!brca_metabric_clinical_data__2[Patient ID], [1]!brca_metabric_clinical_data__2[Tumor Size])</f>
        <v>30</v>
      </c>
      <c r="O1622" t="str">
        <f>_xlfn.XLOOKUP(A1622,[1]!brca_metabric_clinical_data__2[Sample ID],[1]!brca_metabric_clinical_data__2[Tumor Stage])</f>
        <v>3</v>
      </c>
    </row>
    <row r="1623" spans="1:15" x14ac:dyDescent="0.45">
      <c r="A1623" t="s">
        <v>1658</v>
      </c>
      <c r="B1623">
        <v>46.47</v>
      </c>
      <c r="C1623" t="s">
        <v>16</v>
      </c>
      <c r="D1623" t="s">
        <v>26</v>
      </c>
      <c r="E1623" t="s">
        <v>37</v>
      </c>
      <c r="F1623" t="s">
        <v>19</v>
      </c>
      <c r="G1623" t="s">
        <v>21</v>
      </c>
      <c r="H1623" t="s">
        <v>20</v>
      </c>
      <c r="I1623" t="s">
        <v>20</v>
      </c>
      <c r="J1623" t="s">
        <v>38</v>
      </c>
      <c r="K1623">
        <v>7</v>
      </c>
      <c r="L1623">
        <v>102.5</v>
      </c>
      <c r="M1623" t="s">
        <v>30</v>
      </c>
      <c r="N1623" t="str">
        <f>_xlfn.XLOOKUP(A1623,[1]!brca_metabric_clinical_data__2[Patient ID], [1]!brca_metabric_clinical_data__2[Tumor Size])</f>
        <v>70</v>
      </c>
      <c r="O1623" t="str">
        <f>_xlfn.XLOOKUP(A1623,[1]!brca_metabric_clinical_data__2[Sample ID],[1]!brca_metabric_clinical_data__2[Tumor Stage])</f>
        <v>NA</v>
      </c>
    </row>
    <row r="1624" spans="1:15" x14ac:dyDescent="0.45">
      <c r="A1624" t="s">
        <v>1659</v>
      </c>
      <c r="B1624">
        <v>73.03</v>
      </c>
      <c r="C1624" t="s">
        <v>16</v>
      </c>
      <c r="D1624" t="s">
        <v>17</v>
      </c>
      <c r="E1624" t="s">
        <v>18</v>
      </c>
      <c r="F1624" t="s">
        <v>19</v>
      </c>
      <c r="G1624" t="s">
        <v>20</v>
      </c>
      <c r="H1624" t="s">
        <v>21</v>
      </c>
      <c r="I1624" t="s">
        <v>20</v>
      </c>
      <c r="J1624" t="s">
        <v>27</v>
      </c>
      <c r="K1624">
        <v>8</v>
      </c>
      <c r="L1624">
        <v>164.03333333333299</v>
      </c>
      <c r="M1624" t="s">
        <v>30</v>
      </c>
      <c r="N1624" t="str">
        <f>_xlfn.XLOOKUP(A1624,[1]!brca_metabric_clinical_data__2[Patient ID], [1]!brca_metabric_clinical_data__2[Tumor Size])</f>
        <v>21</v>
      </c>
      <c r="O1624" t="str">
        <f>_xlfn.XLOOKUP(A1624,[1]!brca_metabric_clinical_data__2[Sample ID],[1]!brca_metabric_clinical_data__2[Tumor Stage])</f>
        <v>NA</v>
      </c>
    </row>
    <row r="1625" spans="1:15" x14ac:dyDescent="0.45">
      <c r="A1625" t="s">
        <v>1660</v>
      </c>
      <c r="B1625">
        <v>58.38</v>
      </c>
      <c r="C1625" t="s">
        <v>16</v>
      </c>
      <c r="D1625" t="s">
        <v>17</v>
      </c>
      <c r="E1625" t="s">
        <v>37</v>
      </c>
      <c r="F1625" t="s">
        <v>43</v>
      </c>
      <c r="G1625" t="s">
        <v>21</v>
      </c>
      <c r="H1625" t="s">
        <v>21</v>
      </c>
      <c r="I1625" t="s">
        <v>20</v>
      </c>
      <c r="J1625" t="s">
        <v>45</v>
      </c>
      <c r="K1625" t="s">
        <v>39</v>
      </c>
      <c r="L1625">
        <v>23.9</v>
      </c>
      <c r="M1625" t="s">
        <v>24</v>
      </c>
      <c r="N1625" t="str">
        <f>_xlfn.XLOOKUP(A1625,[1]!brca_metabric_clinical_data__2[Patient ID], [1]!brca_metabric_clinical_data__2[Tumor Size])</f>
        <v>26</v>
      </c>
      <c r="O1625" t="str">
        <f>_xlfn.XLOOKUP(A1625,[1]!brca_metabric_clinical_data__2[Sample ID],[1]!brca_metabric_clinical_data__2[Tumor Stage])</f>
        <v>NA</v>
      </c>
    </row>
    <row r="1626" spans="1:15" x14ac:dyDescent="0.45">
      <c r="A1626" t="s">
        <v>1661</v>
      </c>
      <c r="B1626">
        <v>80.59</v>
      </c>
      <c r="C1626" t="s">
        <v>16</v>
      </c>
      <c r="D1626" t="s">
        <v>17</v>
      </c>
      <c r="E1626" t="s">
        <v>18</v>
      </c>
      <c r="F1626" t="s">
        <v>19</v>
      </c>
      <c r="G1626" t="s">
        <v>20</v>
      </c>
      <c r="H1626" t="s">
        <v>20</v>
      </c>
      <c r="I1626" t="s">
        <v>20</v>
      </c>
      <c r="J1626" t="s">
        <v>38</v>
      </c>
      <c r="K1626">
        <v>3</v>
      </c>
      <c r="L1626">
        <v>2.2999999999999998</v>
      </c>
      <c r="M1626" t="s">
        <v>30</v>
      </c>
      <c r="N1626" t="str">
        <f>_xlfn.XLOOKUP(A1626,[1]!brca_metabric_clinical_data__2[Patient ID], [1]!brca_metabric_clinical_data__2[Tumor Size])</f>
        <v>21</v>
      </c>
      <c r="O1626" t="str">
        <f>_xlfn.XLOOKUP(A1626,[1]!brca_metabric_clinical_data__2[Sample ID],[1]!brca_metabric_clinical_data__2[Tumor Stage])</f>
        <v>NA</v>
      </c>
    </row>
    <row r="1627" spans="1:15" x14ac:dyDescent="0.45">
      <c r="A1627" t="s">
        <v>1662</v>
      </c>
      <c r="B1627">
        <v>68.59</v>
      </c>
      <c r="C1627" t="s">
        <v>16</v>
      </c>
      <c r="D1627" t="s">
        <v>17</v>
      </c>
      <c r="E1627" t="s">
        <v>18</v>
      </c>
      <c r="F1627" t="s">
        <v>19</v>
      </c>
      <c r="G1627" t="s">
        <v>20</v>
      </c>
      <c r="H1627" t="s">
        <v>21</v>
      </c>
      <c r="I1627" t="s">
        <v>21</v>
      </c>
      <c r="J1627" t="s">
        <v>27</v>
      </c>
      <c r="K1627">
        <v>8</v>
      </c>
      <c r="L1627">
        <v>159.69999999999999</v>
      </c>
      <c r="M1627" t="s">
        <v>30</v>
      </c>
      <c r="N1627" t="str">
        <f>_xlfn.XLOOKUP(A1627,[1]!brca_metabric_clinical_data__2[Patient ID], [1]!brca_metabric_clinical_data__2[Tumor Size])</f>
        <v>8</v>
      </c>
      <c r="O1627" t="str">
        <f>_xlfn.XLOOKUP(A1627,[1]!brca_metabric_clinical_data__2[Sample ID],[1]!brca_metabric_clinical_data__2[Tumor Stage])</f>
        <v>NA</v>
      </c>
    </row>
    <row r="1628" spans="1:15" x14ac:dyDescent="0.45">
      <c r="A1628" t="s">
        <v>1663</v>
      </c>
      <c r="B1628">
        <v>28.29</v>
      </c>
      <c r="C1628" t="s">
        <v>16</v>
      </c>
      <c r="D1628" t="s">
        <v>26</v>
      </c>
      <c r="E1628" t="s">
        <v>37</v>
      </c>
      <c r="F1628" t="s">
        <v>19</v>
      </c>
      <c r="G1628" t="s">
        <v>21</v>
      </c>
      <c r="H1628" t="s">
        <v>20</v>
      </c>
      <c r="I1628" t="s">
        <v>20</v>
      </c>
      <c r="J1628" t="s">
        <v>58</v>
      </c>
      <c r="K1628">
        <v>10</v>
      </c>
      <c r="L1628">
        <v>10.633333333333301</v>
      </c>
      <c r="M1628" t="s">
        <v>30</v>
      </c>
      <c r="N1628" t="str">
        <f>_xlfn.XLOOKUP(A1628,[1]!brca_metabric_clinical_data__2[Patient ID], [1]!brca_metabric_clinical_data__2[Tumor Size])</f>
        <v>80</v>
      </c>
      <c r="O1628" t="str">
        <f>_xlfn.XLOOKUP(A1628,[1]!brca_metabric_clinical_data__2[Sample ID],[1]!brca_metabric_clinical_data__2[Tumor Stage])</f>
        <v>NA</v>
      </c>
    </row>
    <row r="1629" spans="1:15" x14ac:dyDescent="0.45">
      <c r="A1629" t="s">
        <v>1664</v>
      </c>
      <c r="B1629">
        <v>53.45</v>
      </c>
      <c r="C1629" t="s">
        <v>16</v>
      </c>
      <c r="D1629" t="s">
        <v>17</v>
      </c>
      <c r="E1629" t="s">
        <v>37</v>
      </c>
      <c r="F1629" t="s">
        <v>43</v>
      </c>
      <c r="G1629" t="s">
        <v>21</v>
      </c>
      <c r="H1629" t="s">
        <v>20</v>
      </c>
      <c r="I1629" t="s">
        <v>21</v>
      </c>
      <c r="J1629" t="s">
        <v>45</v>
      </c>
      <c r="K1629">
        <v>5</v>
      </c>
      <c r="L1629">
        <v>10.0666666666667</v>
      </c>
      <c r="M1629" t="s">
        <v>30</v>
      </c>
      <c r="N1629" t="str">
        <f>_xlfn.XLOOKUP(A1629,[1]!brca_metabric_clinical_data__2[Patient ID], [1]!brca_metabric_clinical_data__2[Tumor Size])</f>
        <v>30</v>
      </c>
      <c r="O1629" t="str">
        <f>_xlfn.XLOOKUP(A1629,[1]!brca_metabric_clinical_data__2[Sample ID],[1]!brca_metabric_clinical_data__2[Tumor Stage])</f>
        <v>3</v>
      </c>
    </row>
    <row r="1630" spans="1:15" x14ac:dyDescent="0.45">
      <c r="A1630" t="s">
        <v>1665</v>
      </c>
      <c r="B1630">
        <v>82.51</v>
      </c>
      <c r="C1630" t="s">
        <v>16</v>
      </c>
      <c r="D1630" t="s">
        <v>17</v>
      </c>
      <c r="E1630" t="s">
        <v>18</v>
      </c>
      <c r="F1630" t="s">
        <v>19</v>
      </c>
      <c r="G1630" t="s">
        <v>20</v>
      </c>
      <c r="H1630" t="s">
        <v>20</v>
      </c>
      <c r="I1630" t="s">
        <v>20</v>
      </c>
      <c r="J1630" t="s">
        <v>38</v>
      </c>
      <c r="K1630">
        <v>7</v>
      </c>
      <c r="L1630">
        <v>77.5</v>
      </c>
      <c r="M1630" t="s">
        <v>30</v>
      </c>
      <c r="N1630" t="str">
        <f>_xlfn.XLOOKUP(A1630,[1]!brca_metabric_clinical_data__2[Patient ID], [1]!brca_metabric_clinical_data__2[Tumor Size])</f>
        <v>35</v>
      </c>
      <c r="O1630" t="str">
        <f>_xlfn.XLOOKUP(A1630,[1]!brca_metabric_clinical_data__2[Sample ID],[1]!brca_metabric_clinical_data__2[Tumor Stage])</f>
        <v>NA</v>
      </c>
    </row>
    <row r="1631" spans="1:15" x14ac:dyDescent="0.45">
      <c r="A1631" t="s">
        <v>1666</v>
      </c>
      <c r="B1631">
        <v>66.28</v>
      </c>
      <c r="C1631" t="s">
        <v>16</v>
      </c>
      <c r="D1631" t="s">
        <v>17</v>
      </c>
      <c r="E1631" t="s">
        <v>18</v>
      </c>
      <c r="F1631" t="s">
        <v>19</v>
      </c>
      <c r="G1631" t="s">
        <v>20</v>
      </c>
      <c r="H1631" t="s">
        <v>21</v>
      </c>
      <c r="I1631" t="s">
        <v>20</v>
      </c>
      <c r="J1631" t="s">
        <v>38</v>
      </c>
      <c r="K1631">
        <v>3</v>
      </c>
      <c r="L1631">
        <v>239.4</v>
      </c>
      <c r="M1631" t="s">
        <v>24</v>
      </c>
      <c r="N1631" t="str">
        <f>_xlfn.XLOOKUP(A1631,[1]!brca_metabric_clinical_data__2[Patient ID], [1]!brca_metabric_clinical_data__2[Tumor Size])</f>
        <v>NA</v>
      </c>
      <c r="O1631" t="str">
        <f>_xlfn.XLOOKUP(A1631,[1]!brca_metabric_clinical_data__2[Sample ID],[1]!brca_metabric_clinical_data__2[Tumor Stage])</f>
        <v>NA</v>
      </c>
    </row>
    <row r="1632" spans="1:15" x14ac:dyDescent="0.45">
      <c r="A1632" t="s">
        <v>1667</v>
      </c>
      <c r="B1632">
        <v>78.930000000000007</v>
      </c>
      <c r="C1632" t="s">
        <v>16</v>
      </c>
      <c r="D1632" t="s">
        <v>17</v>
      </c>
      <c r="E1632" t="s">
        <v>18</v>
      </c>
      <c r="F1632" t="s">
        <v>19</v>
      </c>
      <c r="G1632" t="s">
        <v>20</v>
      </c>
      <c r="H1632" t="s">
        <v>20</v>
      </c>
      <c r="I1632" t="s">
        <v>20</v>
      </c>
      <c r="J1632" t="s">
        <v>45</v>
      </c>
      <c r="K1632">
        <v>7</v>
      </c>
      <c r="L1632">
        <v>192.2</v>
      </c>
      <c r="M1632" t="s">
        <v>30</v>
      </c>
      <c r="N1632" t="str">
        <f>_xlfn.XLOOKUP(A1632,[1]!brca_metabric_clinical_data__2[Patient ID], [1]!brca_metabric_clinical_data__2[Tumor Size])</f>
        <v>13</v>
      </c>
      <c r="O1632" t="str">
        <f>_xlfn.XLOOKUP(A1632,[1]!brca_metabric_clinical_data__2[Sample ID],[1]!brca_metabric_clinical_data__2[Tumor Stage])</f>
        <v>NA</v>
      </c>
    </row>
    <row r="1633" spans="1:15" x14ac:dyDescent="0.45">
      <c r="A1633" t="s">
        <v>1668</v>
      </c>
      <c r="B1633">
        <v>71.38</v>
      </c>
      <c r="C1633" t="s">
        <v>16</v>
      </c>
      <c r="D1633" t="s">
        <v>17</v>
      </c>
      <c r="E1633" t="s">
        <v>18</v>
      </c>
      <c r="F1633" t="s">
        <v>19</v>
      </c>
      <c r="G1633" t="s">
        <v>20</v>
      </c>
      <c r="H1633" t="s">
        <v>21</v>
      </c>
      <c r="I1633" t="s">
        <v>20</v>
      </c>
      <c r="J1633" t="s">
        <v>38</v>
      </c>
      <c r="K1633">
        <v>3</v>
      </c>
      <c r="L1633">
        <v>123.333333333333</v>
      </c>
      <c r="M1633" t="s">
        <v>30</v>
      </c>
      <c r="N1633" t="str">
        <f>_xlfn.XLOOKUP(A1633,[1]!brca_metabric_clinical_data__2[Patient ID], [1]!brca_metabric_clinical_data__2[Tumor Size])</f>
        <v>NA</v>
      </c>
      <c r="O1633" t="str">
        <f>_xlfn.XLOOKUP(A1633,[1]!brca_metabric_clinical_data__2[Sample ID],[1]!brca_metabric_clinical_data__2[Tumor Stage])</f>
        <v>NA</v>
      </c>
    </row>
    <row r="1634" spans="1:15" x14ac:dyDescent="0.45">
      <c r="A1634" t="s">
        <v>1669</v>
      </c>
      <c r="B1634">
        <v>38.01</v>
      </c>
      <c r="C1634" t="s">
        <v>16</v>
      </c>
      <c r="D1634" t="s">
        <v>26</v>
      </c>
      <c r="E1634" t="s">
        <v>18</v>
      </c>
      <c r="F1634" t="s">
        <v>35</v>
      </c>
      <c r="G1634" t="s">
        <v>20</v>
      </c>
      <c r="H1634" t="s">
        <v>21</v>
      </c>
      <c r="I1634" t="s">
        <v>20</v>
      </c>
      <c r="J1634" t="s">
        <v>27</v>
      </c>
      <c r="K1634" t="s">
        <v>23</v>
      </c>
      <c r="L1634">
        <v>193.96666666666701</v>
      </c>
      <c r="M1634" t="s">
        <v>24</v>
      </c>
      <c r="N1634" t="str">
        <f>_xlfn.XLOOKUP(A1634,[1]!brca_metabric_clinical_data__2[Patient ID], [1]!brca_metabric_clinical_data__2[Tumor Size])</f>
        <v>18</v>
      </c>
      <c r="O1634" t="str">
        <f>_xlfn.XLOOKUP(A1634,[1]!brca_metabric_clinical_data__2[Sample ID],[1]!brca_metabric_clinical_data__2[Tumor Stage])</f>
        <v>1</v>
      </c>
    </row>
    <row r="1635" spans="1:15" x14ac:dyDescent="0.45">
      <c r="A1635" t="s">
        <v>1670</v>
      </c>
      <c r="B1635">
        <v>39.409999999999997</v>
      </c>
      <c r="C1635" t="s">
        <v>16</v>
      </c>
      <c r="D1635" t="s">
        <v>26</v>
      </c>
      <c r="E1635" t="s">
        <v>37</v>
      </c>
      <c r="F1635" t="s">
        <v>43</v>
      </c>
      <c r="G1635" t="s">
        <v>21</v>
      </c>
      <c r="H1635" t="s">
        <v>20</v>
      </c>
      <c r="I1635" t="s">
        <v>20</v>
      </c>
      <c r="J1635" t="s">
        <v>45</v>
      </c>
      <c r="K1635">
        <v>5</v>
      </c>
      <c r="L1635">
        <v>124.566666666667</v>
      </c>
      <c r="M1635" t="s">
        <v>30</v>
      </c>
      <c r="N1635" t="str">
        <f>_xlfn.XLOOKUP(A1635,[1]!brca_metabric_clinical_data__2[Patient ID], [1]!brca_metabric_clinical_data__2[Tumor Size])</f>
        <v>20</v>
      </c>
      <c r="O1635" t="str">
        <f>_xlfn.XLOOKUP(A1635,[1]!brca_metabric_clinical_data__2[Sample ID],[1]!brca_metabric_clinical_data__2[Tumor Stage])</f>
        <v>2</v>
      </c>
    </row>
    <row r="1636" spans="1:15" x14ac:dyDescent="0.45">
      <c r="A1636" t="s">
        <v>1671</v>
      </c>
      <c r="B1636">
        <v>70.760000000000005</v>
      </c>
      <c r="C1636" t="s">
        <v>16</v>
      </c>
      <c r="D1636" t="s">
        <v>17</v>
      </c>
      <c r="E1636" t="s">
        <v>37</v>
      </c>
      <c r="F1636" t="s">
        <v>43</v>
      </c>
      <c r="G1636" t="s">
        <v>21</v>
      </c>
      <c r="H1636" t="s">
        <v>20</v>
      </c>
      <c r="I1636" t="s">
        <v>20</v>
      </c>
      <c r="J1636" t="s">
        <v>45</v>
      </c>
      <c r="K1636">
        <v>5</v>
      </c>
      <c r="L1636">
        <v>66.8333333333333</v>
      </c>
      <c r="M1636" t="s">
        <v>24</v>
      </c>
      <c r="N1636" t="str">
        <f>_xlfn.XLOOKUP(A1636,[1]!brca_metabric_clinical_data__2[Patient ID], [1]!brca_metabric_clinical_data__2[Tumor Size])</f>
        <v>28</v>
      </c>
      <c r="O1636" t="str">
        <f>_xlfn.XLOOKUP(A1636,[1]!brca_metabric_clinical_data__2[Sample ID],[1]!brca_metabric_clinical_data__2[Tumor Stage])</f>
        <v>NA</v>
      </c>
    </row>
    <row r="1637" spans="1:15" x14ac:dyDescent="0.45">
      <c r="A1637" t="s">
        <v>1672</v>
      </c>
      <c r="B1637">
        <v>66.13</v>
      </c>
      <c r="C1637" t="s">
        <v>16</v>
      </c>
      <c r="D1637" t="s">
        <v>17</v>
      </c>
      <c r="E1637" t="s">
        <v>37</v>
      </c>
      <c r="F1637" t="s">
        <v>43</v>
      </c>
      <c r="G1637" t="s">
        <v>20</v>
      </c>
      <c r="H1637" t="s">
        <v>20</v>
      </c>
      <c r="I1637" t="s">
        <v>20</v>
      </c>
      <c r="J1637" t="s">
        <v>45</v>
      </c>
      <c r="K1637">
        <v>5</v>
      </c>
      <c r="L1637">
        <v>193.13333333333301</v>
      </c>
      <c r="M1637" t="s">
        <v>24</v>
      </c>
      <c r="N1637" t="str">
        <f>_xlfn.XLOOKUP(A1637,[1]!brca_metabric_clinical_data__2[Patient ID], [1]!brca_metabric_clinical_data__2[Tumor Size])</f>
        <v>30</v>
      </c>
      <c r="O1637" t="str">
        <f>_xlfn.XLOOKUP(A1637,[1]!brca_metabric_clinical_data__2[Sample ID],[1]!brca_metabric_clinical_data__2[Tumor Stage])</f>
        <v>NA</v>
      </c>
    </row>
    <row r="1638" spans="1:15" x14ac:dyDescent="0.45">
      <c r="A1638" t="s">
        <v>1673</v>
      </c>
      <c r="B1638">
        <v>41.11</v>
      </c>
      <c r="C1638" t="s">
        <v>16</v>
      </c>
      <c r="D1638" t="s">
        <v>26</v>
      </c>
      <c r="E1638" t="s">
        <v>18</v>
      </c>
      <c r="F1638" t="s">
        <v>19</v>
      </c>
      <c r="G1638" t="s">
        <v>20</v>
      </c>
      <c r="H1638" t="s">
        <v>20</v>
      </c>
      <c r="I1638" t="s">
        <v>21</v>
      </c>
      <c r="J1638" t="s">
        <v>27</v>
      </c>
      <c r="K1638">
        <v>3</v>
      </c>
      <c r="L1638">
        <v>264.60000000000002</v>
      </c>
      <c r="M1638" t="s">
        <v>24</v>
      </c>
      <c r="N1638" t="str">
        <f>_xlfn.XLOOKUP(A1638,[1]!brca_metabric_clinical_data__2[Patient ID], [1]!brca_metabric_clinical_data__2[Tumor Size])</f>
        <v>15</v>
      </c>
      <c r="O1638" t="str">
        <f>_xlfn.XLOOKUP(A1638,[1]!brca_metabric_clinical_data__2[Sample ID],[1]!brca_metabric_clinical_data__2[Tumor Stage])</f>
        <v>1</v>
      </c>
    </row>
    <row r="1639" spans="1:15" x14ac:dyDescent="0.45">
      <c r="A1639" t="s">
        <v>1674</v>
      </c>
      <c r="B1639">
        <v>54.74</v>
      </c>
      <c r="C1639" t="s">
        <v>16</v>
      </c>
      <c r="D1639" t="s">
        <v>17</v>
      </c>
      <c r="E1639" t="s">
        <v>37</v>
      </c>
      <c r="F1639" t="s">
        <v>35</v>
      </c>
      <c r="G1639" t="s">
        <v>21</v>
      </c>
      <c r="H1639" t="s">
        <v>20</v>
      </c>
      <c r="I1639" t="s">
        <v>20</v>
      </c>
      <c r="J1639" t="s">
        <v>58</v>
      </c>
      <c r="K1639" t="s">
        <v>39</v>
      </c>
      <c r="L1639">
        <v>260.2</v>
      </c>
      <c r="M1639" t="s">
        <v>24</v>
      </c>
      <c r="N1639" t="str">
        <f>_xlfn.XLOOKUP(A1639,[1]!brca_metabric_clinical_data__2[Patient ID], [1]!brca_metabric_clinical_data__2[Tumor Size])</f>
        <v>35</v>
      </c>
      <c r="O1639" t="str">
        <f>_xlfn.XLOOKUP(A1639,[1]!brca_metabric_clinical_data__2[Sample ID],[1]!brca_metabric_clinical_data__2[Tumor Stage])</f>
        <v>NA</v>
      </c>
    </row>
    <row r="1640" spans="1:15" x14ac:dyDescent="0.45">
      <c r="A1640" t="s">
        <v>1675</v>
      </c>
      <c r="B1640">
        <v>76.989999999999995</v>
      </c>
      <c r="C1640" t="s">
        <v>16</v>
      </c>
      <c r="D1640" t="s">
        <v>17</v>
      </c>
      <c r="E1640" t="s">
        <v>18</v>
      </c>
      <c r="F1640" t="s">
        <v>19</v>
      </c>
      <c r="G1640" t="s">
        <v>20</v>
      </c>
      <c r="H1640" t="s">
        <v>21</v>
      </c>
      <c r="I1640" t="s">
        <v>20</v>
      </c>
      <c r="J1640" t="s">
        <v>27</v>
      </c>
      <c r="K1640">
        <v>3</v>
      </c>
      <c r="L1640">
        <v>115.633333333333</v>
      </c>
      <c r="M1640" t="s">
        <v>30</v>
      </c>
      <c r="N1640" t="str">
        <f>_xlfn.XLOOKUP(A1640,[1]!brca_metabric_clinical_data__2[Patient ID], [1]!brca_metabric_clinical_data__2[Tumor Size])</f>
        <v>15</v>
      </c>
      <c r="O1640" t="str">
        <f>_xlfn.XLOOKUP(A1640,[1]!brca_metabric_clinical_data__2[Sample ID],[1]!brca_metabric_clinical_data__2[Tumor Stage])</f>
        <v>NA</v>
      </c>
    </row>
    <row r="1641" spans="1:15" x14ac:dyDescent="0.45">
      <c r="A1641" t="s">
        <v>1676</v>
      </c>
      <c r="B1641">
        <v>63.27</v>
      </c>
      <c r="C1641" t="s">
        <v>16</v>
      </c>
      <c r="D1641" t="s">
        <v>17</v>
      </c>
      <c r="E1641" t="s">
        <v>18</v>
      </c>
      <c r="F1641" t="s">
        <v>19</v>
      </c>
      <c r="G1641" t="s">
        <v>20</v>
      </c>
      <c r="H1641" t="s">
        <v>21</v>
      </c>
      <c r="I1641" t="s">
        <v>20</v>
      </c>
      <c r="J1641" t="s">
        <v>38</v>
      </c>
      <c r="K1641" t="s">
        <v>23</v>
      </c>
      <c r="L1641">
        <v>153.9</v>
      </c>
      <c r="M1641" t="s">
        <v>30</v>
      </c>
      <c r="N1641" t="str">
        <f>_xlfn.XLOOKUP(A1641,[1]!brca_metabric_clinical_data__2[Patient ID], [1]!brca_metabric_clinical_data__2[Tumor Size])</f>
        <v>15</v>
      </c>
      <c r="O1641" t="str">
        <f>_xlfn.XLOOKUP(A1641,[1]!brca_metabric_clinical_data__2[Sample ID],[1]!brca_metabric_clinical_data__2[Tumor Stage])</f>
        <v>NA</v>
      </c>
    </row>
    <row r="1642" spans="1:15" x14ac:dyDescent="0.45">
      <c r="A1642" t="s">
        <v>1677</v>
      </c>
      <c r="B1642">
        <v>57.27</v>
      </c>
      <c r="C1642" t="s">
        <v>16</v>
      </c>
      <c r="D1642" t="s">
        <v>17</v>
      </c>
      <c r="E1642" t="s">
        <v>18</v>
      </c>
      <c r="F1642" t="s">
        <v>43</v>
      </c>
      <c r="G1642" t="s">
        <v>20</v>
      </c>
      <c r="H1642" t="s">
        <v>20</v>
      </c>
      <c r="I1642" t="s">
        <v>20</v>
      </c>
      <c r="J1642" t="s">
        <v>45</v>
      </c>
      <c r="K1642">
        <v>5</v>
      </c>
      <c r="L1642">
        <v>257.66666666666703</v>
      </c>
      <c r="M1642" t="s">
        <v>24</v>
      </c>
      <c r="N1642" t="str">
        <f>_xlfn.XLOOKUP(A1642,[1]!brca_metabric_clinical_data__2[Patient ID], [1]!brca_metabric_clinical_data__2[Tumor Size])</f>
        <v>61</v>
      </c>
      <c r="O1642" t="str">
        <f>_xlfn.XLOOKUP(A1642,[1]!brca_metabric_clinical_data__2[Sample ID],[1]!brca_metabric_clinical_data__2[Tumor Stage])</f>
        <v>NA</v>
      </c>
    </row>
    <row r="1643" spans="1:15" x14ac:dyDescent="0.45">
      <c r="A1643" t="s">
        <v>1678</v>
      </c>
      <c r="B1643">
        <v>74.599999999999994</v>
      </c>
      <c r="C1643" t="s">
        <v>16</v>
      </c>
      <c r="D1643" t="s">
        <v>17</v>
      </c>
      <c r="E1643" t="s">
        <v>18</v>
      </c>
      <c r="F1643" t="s">
        <v>19</v>
      </c>
      <c r="G1643" t="s">
        <v>20</v>
      </c>
      <c r="H1643" t="s">
        <v>20</v>
      </c>
      <c r="I1643" t="s">
        <v>20</v>
      </c>
      <c r="J1643" t="s">
        <v>27</v>
      </c>
      <c r="K1643">
        <v>3</v>
      </c>
      <c r="L1643">
        <v>61.8</v>
      </c>
      <c r="M1643" t="s">
        <v>30</v>
      </c>
      <c r="N1643" t="str">
        <f>_xlfn.XLOOKUP(A1643,[1]!brca_metabric_clinical_data__2[Patient ID], [1]!brca_metabric_clinical_data__2[Tumor Size])</f>
        <v>39</v>
      </c>
      <c r="O1643" t="str">
        <f>_xlfn.XLOOKUP(A1643,[1]!brca_metabric_clinical_data__2[Sample ID],[1]!brca_metabric_clinical_data__2[Tumor Stage])</f>
        <v>NA</v>
      </c>
    </row>
    <row r="1644" spans="1:15" x14ac:dyDescent="0.45">
      <c r="A1644" t="s">
        <v>1679</v>
      </c>
      <c r="B1644">
        <v>69.38</v>
      </c>
      <c r="C1644" t="s">
        <v>16</v>
      </c>
      <c r="D1644" t="s">
        <v>17</v>
      </c>
      <c r="E1644" t="s">
        <v>18</v>
      </c>
      <c r="F1644" t="s">
        <v>19</v>
      </c>
      <c r="G1644" t="s">
        <v>20</v>
      </c>
      <c r="H1644" t="s">
        <v>21</v>
      </c>
      <c r="I1644" t="s">
        <v>20</v>
      </c>
      <c r="J1644" t="s">
        <v>29</v>
      </c>
      <c r="K1644">
        <v>9</v>
      </c>
      <c r="L1644">
        <v>78.599999999999994</v>
      </c>
      <c r="M1644" t="s">
        <v>30</v>
      </c>
      <c r="N1644" t="str">
        <f>_xlfn.XLOOKUP(A1644,[1]!brca_metabric_clinical_data__2[Patient ID], [1]!brca_metabric_clinical_data__2[Tumor Size])</f>
        <v>15</v>
      </c>
      <c r="O1644" t="str">
        <f>_xlfn.XLOOKUP(A1644,[1]!brca_metabric_clinical_data__2[Sample ID],[1]!brca_metabric_clinical_data__2[Tumor Stage])</f>
        <v>NA</v>
      </c>
    </row>
    <row r="1645" spans="1:15" x14ac:dyDescent="0.45">
      <c r="A1645" t="s">
        <v>1680</v>
      </c>
      <c r="B1645">
        <v>85.85</v>
      </c>
      <c r="C1645" t="s">
        <v>16</v>
      </c>
      <c r="D1645" t="s">
        <v>17</v>
      </c>
      <c r="E1645" t="s">
        <v>18</v>
      </c>
      <c r="F1645" t="s">
        <v>19</v>
      </c>
      <c r="G1645" t="s">
        <v>20</v>
      </c>
      <c r="H1645" t="s">
        <v>21</v>
      </c>
      <c r="I1645" t="s">
        <v>20</v>
      </c>
      <c r="J1645" t="s">
        <v>29</v>
      </c>
      <c r="K1645">
        <v>3</v>
      </c>
      <c r="L1645">
        <v>25.633333333333301</v>
      </c>
      <c r="M1645" t="s">
        <v>30</v>
      </c>
      <c r="N1645" t="str">
        <f>_xlfn.XLOOKUP(A1645,[1]!brca_metabric_clinical_data__2[Patient ID], [1]!brca_metabric_clinical_data__2[Tumor Size])</f>
        <v>37</v>
      </c>
      <c r="O1645" t="str">
        <f>_xlfn.XLOOKUP(A1645,[1]!brca_metabric_clinical_data__2[Sample ID],[1]!brca_metabric_clinical_data__2[Tumor Stage])</f>
        <v>2</v>
      </c>
    </row>
    <row r="1646" spans="1:15" x14ac:dyDescent="0.45">
      <c r="A1646" t="s">
        <v>1681</v>
      </c>
      <c r="B1646">
        <v>79.84</v>
      </c>
      <c r="C1646" t="s">
        <v>16</v>
      </c>
      <c r="D1646" t="s">
        <v>17</v>
      </c>
      <c r="E1646" t="s">
        <v>18</v>
      </c>
      <c r="F1646" t="s">
        <v>19</v>
      </c>
      <c r="G1646" t="s">
        <v>20</v>
      </c>
      <c r="H1646" t="s">
        <v>21</v>
      </c>
      <c r="I1646" t="s">
        <v>20</v>
      </c>
      <c r="J1646" t="s">
        <v>29</v>
      </c>
      <c r="K1646">
        <v>8</v>
      </c>
      <c r="L1646">
        <v>78.866666666666703</v>
      </c>
      <c r="M1646" t="s">
        <v>30</v>
      </c>
      <c r="N1646" t="str">
        <f>_xlfn.XLOOKUP(A1646,[1]!brca_metabric_clinical_data__2[Patient ID], [1]!brca_metabric_clinical_data__2[Tumor Size])</f>
        <v>NA</v>
      </c>
      <c r="O1646" t="str">
        <f>_xlfn.XLOOKUP(A1646,[1]!brca_metabric_clinical_data__2[Sample ID],[1]!brca_metabric_clinical_data__2[Tumor Stage])</f>
        <v>NA</v>
      </c>
    </row>
    <row r="1647" spans="1:15" x14ac:dyDescent="0.45">
      <c r="A1647" t="s">
        <v>1682</v>
      </c>
      <c r="B1647">
        <v>60.6</v>
      </c>
      <c r="C1647" t="s">
        <v>16</v>
      </c>
      <c r="D1647" t="s">
        <v>17</v>
      </c>
      <c r="E1647" t="s">
        <v>37</v>
      </c>
      <c r="F1647" t="s">
        <v>19</v>
      </c>
      <c r="G1647" t="s">
        <v>20</v>
      </c>
      <c r="H1647" t="s">
        <v>20</v>
      </c>
      <c r="I1647" t="s">
        <v>21</v>
      </c>
      <c r="J1647" t="s">
        <v>22</v>
      </c>
      <c r="K1647">
        <v>9</v>
      </c>
      <c r="L1647">
        <v>255.6</v>
      </c>
      <c r="M1647" t="s">
        <v>24</v>
      </c>
      <c r="N1647" t="str">
        <f>_xlfn.XLOOKUP(A1647,[1]!brca_metabric_clinical_data__2[Patient ID], [1]!brca_metabric_clinical_data__2[Tumor Size])</f>
        <v>46</v>
      </c>
      <c r="O1647" t="str">
        <f>_xlfn.XLOOKUP(A1647,[1]!brca_metabric_clinical_data__2[Sample ID],[1]!brca_metabric_clinical_data__2[Tumor Stage])</f>
        <v>2</v>
      </c>
    </row>
    <row r="1648" spans="1:15" x14ac:dyDescent="0.45">
      <c r="A1648" t="s">
        <v>1683</v>
      </c>
      <c r="B1648">
        <v>64.55</v>
      </c>
      <c r="C1648" t="s">
        <v>16</v>
      </c>
      <c r="D1648" t="s">
        <v>17</v>
      </c>
      <c r="E1648" t="s">
        <v>18</v>
      </c>
      <c r="F1648" t="s">
        <v>19</v>
      </c>
      <c r="G1648" t="s">
        <v>20</v>
      </c>
      <c r="H1648" t="s">
        <v>20</v>
      </c>
      <c r="I1648" t="s">
        <v>20</v>
      </c>
      <c r="J1648" t="s">
        <v>22</v>
      </c>
      <c r="K1648">
        <v>10</v>
      </c>
      <c r="L1648">
        <v>254.933333333333</v>
      </c>
      <c r="M1648" t="s">
        <v>24</v>
      </c>
      <c r="N1648" t="str">
        <f>_xlfn.XLOOKUP(A1648,[1]!brca_metabric_clinical_data__2[Patient ID], [1]!brca_metabric_clinical_data__2[Tumor Size])</f>
        <v>20</v>
      </c>
      <c r="O1648" t="str">
        <f>_xlfn.XLOOKUP(A1648,[1]!brca_metabric_clinical_data__2[Sample ID],[1]!brca_metabric_clinical_data__2[Tumor Stage])</f>
        <v>NA</v>
      </c>
    </row>
    <row r="1649" spans="1:15" x14ac:dyDescent="0.45">
      <c r="A1649" t="s">
        <v>1684</v>
      </c>
      <c r="B1649">
        <v>60.41</v>
      </c>
      <c r="C1649" t="s">
        <v>16</v>
      </c>
      <c r="D1649" t="s">
        <v>17</v>
      </c>
      <c r="E1649" t="s">
        <v>18</v>
      </c>
      <c r="F1649" t="s">
        <v>35</v>
      </c>
      <c r="G1649" t="s">
        <v>20</v>
      </c>
      <c r="H1649" t="s">
        <v>21</v>
      </c>
      <c r="I1649" t="s">
        <v>20</v>
      </c>
      <c r="J1649" t="s">
        <v>29</v>
      </c>
      <c r="K1649">
        <v>7</v>
      </c>
      <c r="L1649">
        <v>34.3333333333333</v>
      </c>
      <c r="M1649" t="s">
        <v>30</v>
      </c>
      <c r="N1649" t="str">
        <f>_xlfn.XLOOKUP(A1649,[1]!brca_metabric_clinical_data__2[Patient ID], [1]!brca_metabric_clinical_data__2[Tumor Size])</f>
        <v>45</v>
      </c>
      <c r="O1649" t="str">
        <f>_xlfn.XLOOKUP(A1649,[1]!brca_metabric_clinical_data__2[Sample ID],[1]!brca_metabric_clinical_data__2[Tumor Stage])</f>
        <v>NA</v>
      </c>
    </row>
    <row r="1650" spans="1:15" x14ac:dyDescent="0.45">
      <c r="A1650" t="s">
        <v>1685</v>
      </c>
      <c r="B1650">
        <v>51.04</v>
      </c>
      <c r="C1650" t="s">
        <v>16</v>
      </c>
      <c r="D1650" t="s">
        <v>17</v>
      </c>
      <c r="E1650" t="s">
        <v>18</v>
      </c>
      <c r="F1650" t="s">
        <v>19</v>
      </c>
      <c r="G1650" t="s">
        <v>20</v>
      </c>
      <c r="H1650" t="s">
        <v>21</v>
      </c>
      <c r="I1650" t="s">
        <v>20</v>
      </c>
      <c r="J1650" t="s">
        <v>45</v>
      </c>
      <c r="K1650" t="s">
        <v>23</v>
      </c>
      <c r="L1650">
        <v>89.6</v>
      </c>
      <c r="M1650" t="s">
        <v>30</v>
      </c>
      <c r="N1650" t="str">
        <f>_xlfn.XLOOKUP(A1650,[1]!brca_metabric_clinical_data__2[Patient ID], [1]!brca_metabric_clinical_data__2[Tumor Size])</f>
        <v>6</v>
      </c>
      <c r="O1650" t="str">
        <f>_xlfn.XLOOKUP(A1650,[1]!brca_metabric_clinical_data__2[Sample ID],[1]!brca_metabric_clinical_data__2[Tumor Stage])</f>
        <v>NA</v>
      </c>
    </row>
    <row r="1651" spans="1:15" x14ac:dyDescent="0.45">
      <c r="A1651" t="s">
        <v>1686</v>
      </c>
      <c r="B1651">
        <v>76.010000000000005</v>
      </c>
      <c r="C1651" t="s">
        <v>16</v>
      </c>
      <c r="D1651" t="s">
        <v>17</v>
      </c>
      <c r="E1651" t="s">
        <v>18</v>
      </c>
      <c r="F1651" t="s">
        <v>19</v>
      </c>
      <c r="G1651" t="s">
        <v>20</v>
      </c>
      <c r="H1651" t="s">
        <v>21</v>
      </c>
      <c r="I1651" t="s">
        <v>20</v>
      </c>
      <c r="J1651" t="s">
        <v>22</v>
      </c>
      <c r="K1651" t="s">
        <v>23</v>
      </c>
      <c r="L1651">
        <v>238.066666666667</v>
      </c>
      <c r="M1651" t="s">
        <v>30</v>
      </c>
      <c r="N1651" t="str">
        <f>_xlfn.XLOOKUP(A1651,[1]!brca_metabric_clinical_data__2[Patient ID], [1]!brca_metabric_clinical_data__2[Tumor Size])</f>
        <v>15</v>
      </c>
      <c r="O1651" t="str">
        <f>_xlfn.XLOOKUP(A1651,[1]!brca_metabric_clinical_data__2[Sample ID],[1]!brca_metabric_clinical_data__2[Tumor Stage])</f>
        <v>NA</v>
      </c>
    </row>
    <row r="1652" spans="1:15" x14ac:dyDescent="0.45">
      <c r="A1652" t="s">
        <v>1687</v>
      </c>
      <c r="B1652">
        <v>70.900000000000006</v>
      </c>
      <c r="C1652" t="s">
        <v>16</v>
      </c>
      <c r="D1652" t="s">
        <v>17</v>
      </c>
      <c r="E1652" t="s">
        <v>18</v>
      </c>
      <c r="F1652" t="s">
        <v>43</v>
      </c>
      <c r="G1652" t="s">
        <v>20</v>
      </c>
      <c r="H1652" t="s">
        <v>20</v>
      </c>
      <c r="I1652" t="s">
        <v>20</v>
      </c>
      <c r="J1652" t="s">
        <v>27</v>
      </c>
      <c r="K1652">
        <v>7</v>
      </c>
      <c r="L1652">
        <v>74.933333333333294</v>
      </c>
      <c r="M1652" t="s">
        <v>30</v>
      </c>
      <c r="N1652" t="str">
        <f>_xlfn.XLOOKUP(A1652,[1]!brca_metabric_clinical_data__2[Patient ID], [1]!brca_metabric_clinical_data__2[Tumor Size])</f>
        <v>26</v>
      </c>
      <c r="O1652" t="str">
        <f>_xlfn.XLOOKUP(A1652,[1]!brca_metabric_clinical_data__2[Sample ID],[1]!brca_metabric_clinical_data__2[Tumor Stage])</f>
        <v>NA</v>
      </c>
    </row>
    <row r="1653" spans="1:15" x14ac:dyDescent="0.45">
      <c r="A1653" t="s">
        <v>1688</v>
      </c>
      <c r="B1653">
        <v>59.47</v>
      </c>
      <c r="C1653" t="s">
        <v>16</v>
      </c>
      <c r="D1653" t="s">
        <v>17</v>
      </c>
      <c r="E1653" t="s">
        <v>18</v>
      </c>
      <c r="F1653" t="s">
        <v>19</v>
      </c>
      <c r="G1653" t="s">
        <v>20</v>
      </c>
      <c r="H1653" t="s">
        <v>20</v>
      </c>
      <c r="I1653" t="s">
        <v>20</v>
      </c>
      <c r="J1653" t="s">
        <v>29</v>
      </c>
      <c r="K1653" t="s">
        <v>23</v>
      </c>
      <c r="L1653">
        <v>77.6666666666667</v>
      </c>
      <c r="M1653" t="s">
        <v>30</v>
      </c>
      <c r="N1653" t="str">
        <f>_xlfn.XLOOKUP(A1653,[1]!brca_metabric_clinical_data__2[Patient ID], [1]!brca_metabric_clinical_data__2[Tumor Size])</f>
        <v>21</v>
      </c>
      <c r="O1653" t="str">
        <f>_xlfn.XLOOKUP(A1653,[1]!brca_metabric_clinical_data__2[Sample ID],[1]!brca_metabric_clinical_data__2[Tumor Stage])</f>
        <v>NA</v>
      </c>
    </row>
    <row r="1654" spans="1:15" x14ac:dyDescent="0.45">
      <c r="A1654" t="s">
        <v>1689</v>
      </c>
      <c r="B1654">
        <v>60.62</v>
      </c>
      <c r="C1654" t="s">
        <v>16</v>
      </c>
      <c r="D1654" t="s">
        <v>17</v>
      </c>
      <c r="E1654" t="s">
        <v>18</v>
      </c>
      <c r="F1654" t="s">
        <v>19</v>
      </c>
      <c r="G1654" t="s">
        <v>20</v>
      </c>
      <c r="H1654" t="s">
        <v>20</v>
      </c>
      <c r="I1654" t="s">
        <v>20</v>
      </c>
      <c r="J1654" t="s">
        <v>58</v>
      </c>
      <c r="K1654">
        <v>10</v>
      </c>
      <c r="L1654">
        <v>228.9</v>
      </c>
      <c r="M1654" t="s">
        <v>24</v>
      </c>
      <c r="N1654" t="str">
        <f>_xlfn.XLOOKUP(A1654,[1]!brca_metabric_clinical_data__2[Patient ID], [1]!brca_metabric_clinical_data__2[Tumor Size])</f>
        <v>17</v>
      </c>
      <c r="O1654" t="str">
        <f>_xlfn.XLOOKUP(A1654,[1]!brca_metabric_clinical_data__2[Sample ID],[1]!brca_metabric_clinical_data__2[Tumor Stage])</f>
        <v>NA</v>
      </c>
    </row>
    <row r="1655" spans="1:15" x14ac:dyDescent="0.45">
      <c r="A1655" t="s">
        <v>1690</v>
      </c>
      <c r="B1655">
        <v>71.739999999999995</v>
      </c>
      <c r="C1655" t="s">
        <v>16</v>
      </c>
      <c r="D1655" t="s">
        <v>17</v>
      </c>
      <c r="E1655" t="s">
        <v>18</v>
      </c>
      <c r="F1655" t="s">
        <v>19</v>
      </c>
      <c r="G1655" t="s">
        <v>20</v>
      </c>
      <c r="H1655" t="s">
        <v>20</v>
      </c>
      <c r="I1655" t="s">
        <v>20</v>
      </c>
      <c r="J1655" t="s">
        <v>29</v>
      </c>
      <c r="K1655">
        <v>8</v>
      </c>
      <c r="L1655">
        <v>195.3</v>
      </c>
      <c r="M1655" t="s">
        <v>24</v>
      </c>
      <c r="N1655" t="str">
        <f>_xlfn.XLOOKUP(A1655,[1]!brca_metabric_clinical_data__2[Patient ID], [1]!brca_metabric_clinical_data__2[Tumor Size])</f>
        <v>25</v>
      </c>
      <c r="O1655" t="str">
        <f>_xlfn.XLOOKUP(A1655,[1]!brca_metabric_clinical_data__2[Sample ID],[1]!brca_metabric_clinical_data__2[Tumor Stage])</f>
        <v>NA</v>
      </c>
    </row>
    <row r="1656" spans="1:15" x14ac:dyDescent="0.45">
      <c r="A1656" t="s">
        <v>1691</v>
      </c>
      <c r="B1656">
        <v>49.5</v>
      </c>
      <c r="C1656" t="s">
        <v>16</v>
      </c>
      <c r="D1656" t="s">
        <v>26</v>
      </c>
      <c r="E1656" t="s">
        <v>18</v>
      </c>
      <c r="F1656" t="s">
        <v>43</v>
      </c>
      <c r="G1656" t="s">
        <v>20</v>
      </c>
      <c r="H1656" t="s">
        <v>20</v>
      </c>
      <c r="I1656" t="s">
        <v>20</v>
      </c>
      <c r="J1656" t="s">
        <v>45</v>
      </c>
      <c r="K1656">
        <v>5</v>
      </c>
      <c r="L1656">
        <v>58.933333333333302</v>
      </c>
      <c r="M1656" t="s">
        <v>30</v>
      </c>
      <c r="N1656" t="str">
        <f>_xlfn.XLOOKUP(A1656,[1]!brca_metabric_clinical_data__2[Patient ID], [1]!brca_metabric_clinical_data__2[Tumor Size])</f>
        <v>25</v>
      </c>
      <c r="O1656" t="str">
        <f>_xlfn.XLOOKUP(A1656,[1]!brca_metabric_clinical_data__2[Sample ID],[1]!brca_metabric_clinical_data__2[Tumor Stage])</f>
        <v>NA</v>
      </c>
    </row>
    <row r="1657" spans="1:15" x14ac:dyDescent="0.45">
      <c r="A1657" t="s">
        <v>1692</v>
      </c>
      <c r="B1657">
        <v>86.29</v>
      </c>
      <c r="C1657" t="s">
        <v>16</v>
      </c>
      <c r="D1657" t="s">
        <v>17</v>
      </c>
      <c r="E1657" t="s">
        <v>18</v>
      </c>
      <c r="F1657" t="s">
        <v>43</v>
      </c>
      <c r="G1657" t="s">
        <v>20</v>
      </c>
      <c r="H1657" t="s">
        <v>21</v>
      </c>
      <c r="I1657" t="s">
        <v>21</v>
      </c>
      <c r="J1657" t="s">
        <v>58</v>
      </c>
      <c r="K1657">
        <v>5</v>
      </c>
      <c r="L1657">
        <v>15.866666666666699</v>
      </c>
      <c r="M1657" t="s">
        <v>30</v>
      </c>
      <c r="N1657" t="str">
        <f>_xlfn.XLOOKUP(A1657,[1]!brca_metabric_clinical_data__2[Patient ID], [1]!brca_metabric_clinical_data__2[Tumor Size])</f>
        <v>35</v>
      </c>
      <c r="O1657" t="str">
        <f>_xlfn.XLOOKUP(A1657,[1]!brca_metabric_clinical_data__2[Sample ID],[1]!brca_metabric_clinical_data__2[Tumor Stage])</f>
        <v>NA</v>
      </c>
    </row>
    <row r="1658" spans="1:15" x14ac:dyDescent="0.45">
      <c r="A1658" t="s">
        <v>1693</v>
      </c>
      <c r="B1658">
        <v>46.23</v>
      </c>
      <c r="C1658" t="s">
        <v>16</v>
      </c>
      <c r="D1658" t="s">
        <v>26</v>
      </c>
      <c r="E1658" t="s">
        <v>37</v>
      </c>
      <c r="F1658" t="s">
        <v>43</v>
      </c>
      <c r="G1658" t="s">
        <v>21</v>
      </c>
      <c r="H1658" t="s">
        <v>20</v>
      </c>
      <c r="I1658" t="s">
        <v>20</v>
      </c>
      <c r="J1658" t="s">
        <v>45</v>
      </c>
      <c r="K1658">
        <v>9</v>
      </c>
      <c r="L1658">
        <v>247.36666666666699</v>
      </c>
      <c r="M1658" t="s">
        <v>24</v>
      </c>
      <c r="N1658" t="str">
        <f>_xlfn.XLOOKUP(A1658,[1]!brca_metabric_clinical_data__2[Patient ID], [1]!brca_metabric_clinical_data__2[Tumor Size])</f>
        <v>NA</v>
      </c>
      <c r="O1658" t="str">
        <f>_xlfn.XLOOKUP(A1658,[1]!brca_metabric_clinical_data__2[Sample ID],[1]!brca_metabric_clinical_data__2[Tumor Stage])</f>
        <v>NA</v>
      </c>
    </row>
    <row r="1659" spans="1:15" x14ac:dyDescent="0.45">
      <c r="A1659" t="s">
        <v>1694</v>
      </c>
      <c r="B1659">
        <v>71.62</v>
      </c>
      <c r="C1659" t="s">
        <v>16</v>
      </c>
      <c r="D1659" t="s">
        <v>17</v>
      </c>
      <c r="E1659" t="s">
        <v>18</v>
      </c>
      <c r="F1659" t="s">
        <v>19</v>
      </c>
      <c r="G1659" t="s">
        <v>20</v>
      </c>
      <c r="H1659" t="s">
        <v>21</v>
      </c>
      <c r="I1659" t="s">
        <v>20</v>
      </c>
      <c r="J1659" t="s">
        <v>27</v>
      </c>
      <c r="K1659">
        <v>8</v>
      </c>
      <c r="L1659">
        <v>88.6666666666667</v>
      </c>
      <c r="M1659" t="s">
        <v>30</v>
      </c>
      <c r="N1659" t="str">
        <f>_xlfn.XLOOKUP(A1659,[1]!brca_metabric_clinical_data__2[Patient ID], [1]!brca_metabric_clinical_data__2[Tumor Size])</f>
        <v>35</v>
      </c>
      <c r="O1659" t="str">
        <f>_xlfn.XLOOKUP(A1659,[1]!brca_metabric_clinical_data__2[Sample ID],[1]!brca_metabric_clinical_data__2[Tumor Stage])</f>
        <v>NA</v>
      </c>
    </row>
    <row r="1660" spans="1:15" x14ac:dyDescent="0.45">
      <c r="A1660" t="s">
        <v>1695</v>
      </c>
      <c r="B1660">
        <v>77.45</v>
      </c>
      <c r="C1660" t="s">
        <v>16</v>
      </c>
      <c r="D1660" t="s">
        <v>17</v>
      </c>
      <c r="E1660" t="s">
        <v>18</v>
      </c>
      <c r="F1660" t="s">
        <v>19</v>
      </c>
      <c r="G1660" t="s">
        <v>20</v>
      </c>
      <c r="H1660" t="s">
        <v>21</v>
      </c>
      <c r="I1660" t="s">
        <v>20</v>
      </c>
      <c r="J1660" t="s">
        <v>29</v>
      </c>
      <c r="K1660">
        <v>3</v>
      </c>
      <c r="L1660">
        <v>205.9</v>
      </c>
      <c r="M1660" t="s">
        <v>24</v>
      </c>
      <c r="N1660" t="str">
        <f>_xlfn.XLOOKUP(A1660,[1]!brca_metabric_clinical_data__2[Patient ID], [1]!brca_metabric_clinical_data__2[Tumor Size])</f>
        <v>13</v>
      </c>
      <c r="O1660" t="str">
        <f>_xlfn.XLOOKUP(A1660,[1]!brca_metabric_clinical_data__2[Sample ID],[1]!brca_metabric_clinical_data__2[Tumor Stage])</f>
        <v>NA</v>
      </c>
    </row>
    <row r="1661" spans="1:15" x14ac:dyDescent="0.45">
      <c r="A1661" t="s">
        <v>1696</v>
      </c>
      <c r="B1661">
        <v>75.02</v>
      </c>
      <c r="C1661" t="s">
        <v>16</v>
      </c>
      <c r="D1661" t="s">
        <v>17</v>
      </c>
      <c r="E1661" t="s">
        <v>18</v>
      </c>
      <c r="F1661" t="s">
        <v>19</v>
      </c>
      <c r="G1661" t="s">
        <v>20</v>
      </c>
      <c r="H1661" t="s">
        <v>21</v>
      </c>
      <c r="I1661" t="s">
        <v>20</v>
      </c>
      <c r="J1661" t="s">
        <v>27</v>
      </c>
      <c r="K1661">
        <v>8</v>
      </c>
      <c r="L1661">
        <v>122.8</v>
      </c>
      <c r="M1661" t="s">
        <v>30</v>
      </c>
      <c r="N1661" t="str">
        <f>_xlfn.XLOOKUP(A1661,[1]!brca_metabric_clinical_data__2[Patient ID], [1]!brca_metabric_clinical_data__2[Tumor Size])</f>
        <v>15</v>
      </c>
      <c r="O1661" t="str">
        <f>_xlfn.XLOOKUP(A1661,[1]!brca_metabric_clinical_data__2[Sample ID],[1]!brca_metabric_clinical_data__2[Tumor Stage])</f>
        <v>NA</v>
      </c>
    </row>
    <row r="1662" spans="1:15" x14ac:dyDescent="0.45">
      <c r="A1662" t="s">
        <v>1697</v>
      </c>
      <c r="B1662">
        <v>64.95</v>
      </c>
      <c r="C1662" t="s">
        <v>16</v>
      </c>
      <c r="D1662" t="s">
        <v>17</v>
      </c>
      <c r="E1662" t="s">
        <v>18</v>
      </c>
      <c r="F1662" t="s">
        <v>19</v>
      </c>
      <c r="G1662" t="s">
        <v>20</v>
      </c>
      <c r="H1662" t="s">
        <v>20</v>
      </c>
      <c r="I1662" t="s">
        <v>20</v>
      </c>
      <c r="J1662" t="s">
        <v>27</v>
      </c>
      <c r="K1662">
        <v>7</v>
      </c>
      <c r="L1662">
        <v>225.7</v>
      </c>
      <c r="M1662" t="s">
        <v>30</v>
      </c>
      <c r="N1662" t="str">
        <f>_xlfn.XLOOKUP(A1662,[1]!brca_metabric_clinical_data__2[Patient ID], [1]!brca_metabric_clinical_data__2[Tumor Size])</f>
        <v>20</v>
      </c>
      <c r="O1662" t="str">
        <f>_xlfn.XLOOKUP(A1662,[1]!brca_metabric_clinical_data__2[Sample ID],[1]!brca_metabric_clinical_data__2[Tumor Stage])</f>
        <v>NA</v>
      </c>
    </row>
    <row r="1663" spans="1:15" x14ac:dyDescent="0.45">
      <c r="A1663" t="s">
        <v>1698</v>
      </c>
      <c r="B1663">
        <v>39.17</v>
      </c>
      <c r="C1663" t="s">
        <v>16</v>
      </c>
      <c r="D1663" t="s">
        <v>26</v>
      </c>
      <c r="E1663" t="s">
        <v>18</v>
      </c>
      <c r="F1663" t="s">
        <v>43</v>
      </c>
      <c r="G1663" t="s">
        <v>20</v>
      </c>
      <c r="H1663" t="s">
        <v>20</v>
      </c>
      <c r="I1663" t="s">
        <v>20</v>
      </c>
      <c r="J1663" t="s">
        <v>58</v>
      </c>
      <c r="K1663" t="s">
        <v>23</v>
      </c>
      <c r="L1663">
        <v>84.733333333333306</v>
      </c>
      <c r="M1663" t="s">
        <v>30</v>
      </c>
      <c r="N1663" t="str">
        <f>_xlfn.XLOOKUP(A1663,[1]!brca_metabric_clinical_data__2[Patient ID], [1]!brca_metabric_clinical_data__2[Tumor Size])</f>
        <v>25</v>
      </c>
      <c r="O1663" t="str">
        <f>_xlfn.XLOOKUP(A1663,[1]!brca_metabric_clinical_data__2[Sample ID],[1]!brca_metabric_clinical_data__2[Tumor Stage])</f>
        <v>NA</v>
      </c>
    </row>
    <row r="1664" spans="1:15" x14ac:dyDescent="0.45">
      <c r="A1664" t="s">
        <v>1699</v>
      </c>
      <c r="B1664">
        <v>70.91</v>
      </c>
      <c r="C1664" t="s">
        <v>16</v>
      </c>
      <c r="D1664" t="s">
        <v>17</v>
      </c>
      <c r="E1664" t="s">
        <v>18</v>
      </c>
      <c r="F1664" t="s">
        <v>19</v>
      </c>
      <c r="G1664" t="s">
        <v>20</v>
      </c>
      <c r="H1664" t="s">
        <v>21</v>
      </c>
      <c r="I1664" t="s">
        <v>20</v>
      </c>
      <c r="J1664" t="s">
        <v>27</v>
      </c>
      <c r="K1664">
        <v>3</v>
      </c>
      <c r="L1664">
        <v>220.3</v>
      </c>
      <c r="M1664" t="s">
        <v>24</v>
      </c>
      <c r="N1664" t="str">
        <f>_xlfn.XLOOKUP(A1664,[1]!brca_metabric_clinical_data__2[Patient ID], [1]!brca_metabric_clinical_data__2[Tumor Size])</f>
        <v>40</v>
      </c>
      <c r="O1664" t="str">
        <f>_xlfn.XLOOKUP(A1664,[1]!brca_metabric_clinical_data__2[Sample ID],[1]!brca_metabric_clinical_data__2[Tumor Stage])</f>
        <v>NA</v>
      </c>
    </row>
    <row r="1665" spans="1:15" x14ac:dyDescent="0.45">
      <c r="A1665" t="s">
        <v>1700</v>
      </c>
      <c r="B1665">
        <v>38.58</v>
      </c>
      <c r="C1665" t="s">
        <v>16</v>
      </c>
      <c r="D1665" t="s">
        <v>26</v>
      </c>
      <c r="E1665" t="s">
        <v>37</v>
      </c>
      <c r="F1665" t="s">
        <v>19</v>
      </c>
      <c r="G1665" t="s">
        <v>20</v>
      </c>
      <c r="H1665" t="s">
        <v>20</v>
      </c>
      <c r="I1665" t="s">
        <v>20</v>
      </c>
      <c r="J1665" t="s">
        <v>58</v>
      </c>
      <c r="K1665">
        <v>10</v>
      </c>
      <c r="L1665">
        <v>33.133333333333297</v>
      </c>
      <c r="M1665" t="s">
        <v>30</v>
      </c>
      <c r="N1665" t="str">
        <f>_xlfn.XLOOKUP(A1665,[1]!brca_metabric_clinical_data__2[Patient ID], [1]!brca_metabric_clinical_data__2[Tumor Size])</f>
        <v>32</v>
      </c>
      <c r="O1665" t="str">
        <f>_xlfn.XLOOKUP(A1665,[1]!brca_metabric_clinical_data__2[Sample ID],[1]!brca_metabric_clinical_data__2[Tumor Stage])</f>
        <v>NA</v>
      </c>
    </row>
    <row r="1666" spans="1:15" x14ac:dyDescent="0.45">
      <c r="A1666" t="s">
        <v>1701</v>
      </c>
      <c r="B1666">
        <v>59.08</v>
      </c>
      <c r="C1666" t="s">
        <v>16</v>
      </c>
      <c r="D1666" t="s">
        <v>17</v>
      </c>
      <c r="E1666" t="s">
        <v>18</v>
      </c>
      <c r="F1666" t="s">
        <v>19</v>
      </c>
      <c r="G1666" t="s">
        <v>20</v>
      </c>
      <c r="H1666" t="s">
        <v>20</v>
      </c>
      <c r="I1666" t="s">
        <v>20</v>
      </c>
      <c r="J1666" t="s">
        <v>27</v>
      </c>
      <c r="K1666">
        <v>8</v>
      </c>
      <c r="L1666">
        <v>58.466666666666697</v>
      </c>
      <c r="M1666" t="s">
        <v>30</v>
      </c>
      <c r="N1666" t="str">
        <f>_xlfn.XLOOKUP(A1666,[1]!brca_metabric_clinical_data__2[Patient ID], [1]!brca_metabric_clinical_data__2[Tumor Size])</f>
        <v>33</v>
      </c>
      <c r="O1666" t="str">
        <f>_xlfn.XLOOKUP(A1666,[1]!brca_metabric_clinical_data__2[Sample ID],[1]!brca_metabric_clinical_data__2[Tumor Stage])</f>
        <v>NA</v>
      </c>
    </row>
    <row r="1667" spans="1:15" x14ac:dyDescent="0.45">
      <c r="A1667" t="s">
        <v>1702</v>
      </c>
      <c r="B1667">
        <v>83.09</v>
      </c>
      <c r="C1667" t="s">
        <v>16</v>
      </c>
      <c r="D1667" t="s">
        <v>17</v>
      </c>
      <c r="E1667" t="s">
        <v>18</v>
      </c>
      <c r="F1667" t="s">
        <v>19</v>
      </c>
      <c r="G1667" t="s">
        <v>20</v>
      </c>
      <c r="H1667" t="s">
        <v>21</v>
      </c>
      <c r="I1667" t="s">
        <v>20</v>
      </c>
      <c r="J1667" t="s">
        <v>27</v>
      </c>
      <c r="K1667">
        <v>8</v>
      </c>
      <c r="L1667">
        <v>54.933333333333302</v>
      </c>
      <c r="M1667" t="s">
        <v>30</v>
      </c>
      <c r="N1667" t="str">
        <f>_xlfn.XLOOKUP(A1667,[1]!brca_metabric_clinical_data__2[Patient ID], [1]!brca_metabric_clinical_data__2[Tumor Size])</f>
        <v>15</v>
      </c>
      <c r="O1667" t="str">
        <f>_xlfn.XLOOKUP(A1667,[1]!brca_metabric_clinical_data__2[Sample ID],[1]!brca_metabric_clinical_data__2[Tumor Stage])</f>
        <v>NA</v>
      </c>
    </row>
    <row r="1668" spans="1:15" x14ac:dyDescent="0.45">
      <c r="A1668" t="s">
        <v>1703</v>
      </c>
      <c r="B1668">
        <v>56.47</v>
      </c>
      <c r="C1668" t="s">
        <v>16</v>
      </c>
      <c r="D1668" t="s">
        <v>17</v>
      </c>
      <c r="E1668" t="s">
        <v>18</v>
      </c>
      <c r="F1668" t="s">
        <v>43</v>
      </c>
      <c r="G1668" t="s">
        <v>20</v>
      </c>
      <c r="H1668" t="s">
        <v>20</v>
      </c>
      <c r="I1668" t="s">
        <v>21</v>
      </c>
      <c r="J1668" t="s">
        <v>45</v>
      </c>
      <c r="K1668">
        <v>1</v>
      </c>
      <c r="L1668">
        <v>208.8</v>
      </c>
      <c r="M1668" t="s">
        <v>24</v>
      </c>
      <c r="N1668" t="str">
        <f>_xlfn.XLOOKUP(A1668,[1]!brca_metabric_clinical_data__2[Patient ID], [1]!brca_metabric_clinical_data__2[Tumor Size])</f>
        <v>21</v>
      </c>
      <c r="O1668" t="str">
        <f>_xlfn.XLOOKUP(A1668,[1]!brca_metabric_clinical_data__2[Sample ID],[1]!brca_metabric_clinical_data__2[Tumor Stage])</f>
        <v>NA</v>
      </c>
    </row>
    <row r="1669" spans="1:15" x14ac:dyDescent="0.45">
      <c r="A1669" t="s">
        <v>1704</v>
      </c>
      <c r="B1669">
        <v>66.239999999999995</v>
      </c>
      <c r="C1669" t="s">
        <v>16</v>
      </c>
      <c r="D1669" t="s">
        <v>17</v>
      </c>
      <c r="E1669" t="s">
        <v>18</v>
      </c>
      <c r="F1669" t="s">
        <v>19</v>
      </c>
      <c r="G1669" t="s">
        <v>20</v>
      </c>
      <c r="H1669" t="s">
        <v>20</v>
      </c>
      <c r="I1669" t="s">
        <v>20</v>
      </c>
      <c r="J1669" t="s">
        <v>29</v>
      </c>
      <c r="K1669">
        <v>8</v>
      </c>
      <c r="L1669">
        <v>79.133333333333297</v>
      </c>
      <c r="M1669" t="s">
        <v>30</v>
      </c>
      <c r="N1669" t="str">
        <f>_xlfn.XLOOKUP(A1669,[1]!brca_metabric_clinical_data__2[Patient ID], [1]!brca_metabric_clinical_data__2[Tumor Size])</f>
        <v>18</v>
      </c>
      <c r="O1669" t="str">
        <f>_xlfn.XLOOKUP(A1669,[1]!brca_metabric_clinical_data__2[Sample ID],[1]!brca_metabric_clinical_data__2[Tumor Stage])</f>
        <v>1</v>
      </c>
    </row>
    <row r="1670" spans="1:15" x14ac:dyDescent="0.45">
      <c r="A1670" t="s">
        <v>1705</v>
      </c>
      <c r="B1670">
        <v>35.020000000000003</v>
      </c>
      <c r="C1670" t="s">
        <v>16</v>
      </c>
      <c r="D1670" t="s">
        <v>26</v>
      </c>
      <c r="E1670" t="s">
        <v>18</v>
      </c>
      <c r="F1670" t="s">
        <v>19</v>
      </c>
      <c r="G1670" t="s">
        <v>21</v>
      </c>
      <c r="H1670" t="s">
        <v>21</v>
      </c>
      <c r="I1670" t="s">
        <v>20</v>
      </c>
      <c r="J1670" t="s">
        <v>45</v>
      </c>
      <c r="K1670">
        <v>2</v>
      </c>
      <c r="L1670">
        <v>185.7</v>
      </c>
      <c r="M1670" t="s">
        <v>30</v>
      </c>
      <c r="N1670" t="str">
        <f>_xlfn.XLOOKUP(A1670,[1]!brca_metabric_clinical_data__2[Patient ID], [1]!brca_metabric_clinical_data__2[Tumor Size])</f>
        <v>50</v>
      </c>
      <c r="O1670" t="str">
        <f>_xlfn.XLOOKUP(A1670,[1]!brca_metabric_clinical_data__2[Sample ID],[1]!brca_metabric_clinical_data__2[Tumor Stage])</f>
        <v>NA</v>
      </c>
    </row>
    <row r="1671" spans="1:15" x14ac:dyDescent="0.45">
      <c r="A1671" t="s">
        <v>1706</v>
      </c>
      <c r="B1671">
        <v>75.44</v>
      </c>
      <c r="C1671" t="s">
        <v>16</v>
      </c>
      <c r="D1671" t="s">
        <v>17</v>
      </c>
      <c r="E1671" t="s">
        <v>18</v>
      </c>
      <c r="F1671" t="s">
        <v>19</v>
      </c>
      <c r="G1671" t="s">
        <v>20</v>
      </c>
      <c r="H1671" t="s">
        <v>20</v>
      </c>
      <c r="I1671" t="s">
        <v>20</v>
      </c>
      <c r="J1671" t="s">
        <v>27</v>
      </c>
      <c r="K1671">
        <v>3</v>
      </c>
      <c r="L1671">
        <v>197.73333333333301</v>
      </c>
      <c r="M1671" t="s">
        <v>30</v>
      </c>
      <c r="N1671" t="str">
        <f>_xlfn.XLOOKUP(A1671,[1]!brca_metabric_clinical_data__2[Patient ID], [1]!brca_metabric_clinical_data__2[Tumor Size])</f>
        <v>16</v>
      </c>
      <c r="O1671" t="str">
        <f>_xlfn.XLOOKUP(A1671,[1]!brca_metabric_clinical_data__2[Sample ID],[1]!brca_metabric_clinical_data__2[Tumor Stage])</f>
        <v>NA</v>
      </c>
    </row>
    <row r="1672" spans="1:15" x14ac:dyDescent="0.45">
      <c r="A1672" t="s">
        <v>1707</v>
      </c>
      <c r="B1672">
        <v>70.349999999999994</v>
      </c>
      <c r="C1672" t="s">
        <v>16</v>
      </c>
      <c r="D1672" t="s">
        <v>17</v>
      </c>
      <c r="E1672" t="s">
        <v>18</v>
      </c>
      <c r="F1672" t="s">
        <v>43</v>
      </c>
      <c r="G1672" t="s">
        <v>20</v>
      </c>
      <c r="H1672" t="s">
        <v>21</v>
      </c>
      <c r="I1672" t="s">
        <v>20</v>
      </c>
      <c r="J1672" t="s">
        <v>22</v>
      </c>
      <c r="K1672" t="s">
        <v>23</v>
      </c>
      <c r="L1672">
        <v>37.766666666666701</v>
      </c>
      <c r="M1672" t="s">
        <v>30</v>
      </c>
      <c r="N1672" t="str">
        <f>_xlfn.XLOOKUP(A1672,[1]!brca_metabric_clinical_data__2[Patient ID], [1]!brca_metabric_clinical_data__2[Tumor Size])</f>
        <v>79</v>
      </c>
      <c r="O1672" t="str">
        <f>_xlfn.XLOOKUP(A1672,[1]!brca_metabric_clinical_data__2[Sample ID],[1]!brca_metabric_clinical_data__2[Tumor Stage])</f>
        <v>NA</v>
      </c>
    </row>
    <row r="1673" spans="1:15" x14ac:dyDescent="0.45">
      <c r="A1673" t="s">
        <v>1708</v>
      </c>
      <c r="B1673">
        <v>41.92</v>
      </c>
      <c r="C1673" t="s">
        <v>16</v>
      </c>
      <c r="D1673" t="s">
        <v>26</v>
      </c>
      <c r="E1673" t="s">
        <v>37</v>
      </c>
      <c r="F1673" t="s">
        <v>43</v>
      </c>
      <c r="G1673" t="s">
        <v>20</v>
      </c>
      <c r="H1673" t="s">
        <v>20</v>
      </c>
      <c r="I1673" t="s">
        <v>20</v>
      </c>
      <c r="J1673" t="s">
        <v>22</v>
      </c>
      <c r="K1673">
        <v>10</v>
      </c>
      <c r="L1673">
        <v>23.766666666666701</v>
      </c>
      <c r="M1673" t="s">
        <v>24</v>
      </c>
      <c r="N1673" t="str">
        <f>_xlfn.XLOOKUP(A1673,[1]!brca_metabric_clinical_data__2[Patient ID], [1]!brca_metabric_clinical_data__2[Tumor Size])</f>
        <v>28</v>
      </c>
      <c r="O1673" t="str">
        <f>_xlfn.XLOOKUP(A1673,[1]!brca_metabric_clinical_data__2[Sample ID],[1]!brca_metabric_clinical_data__2[Tumor Stage])</f>
        <v>NA</v>
      </c>
    </row>
    <row r="1674" spans="1:15" x14ac:dyDescent="0.45">
      <c r="A1674" t="s">
        <v>1709</v>
      </c>
      <c r="B1674">
        <v>56.25</v>
      </c>
      <c r="C1674" t="s">
        <v>16</v>
      </c>
      <c r="D1674" t="s">
        <v>17</v>
      </c>
      <c r="E1674" t="s">
        <v>18</v>
      </c>
      <c r="F1674" t="s">
        <v>19</v>
      </c>
      <c r="G1674" t="s">
        <v>20</v>
      </c>
      <c r="H1674" t="s">
        <v>21</v>
      </c>
      <c r="I1674" t="s">
        <v>21</v>
      </c>
      <c r="J1674" t="s">
        <v>29</v>
      </c>
      <c r="K1674">
        <v>7</v>
      </c>
      <c r="L1674">
        <v>240.2</v>
      </c>
      <c r="M1674" t="s">
        <v>24</v>
      </c>
      <c r="N1674" t="str">
        <f>_xlfn.XLOOKUP(A1674,[1]!brca_metabric_clinical_data__2[Patient ID], [1]!brca_metabric_clinical_data__2[Tumor Size])</f>
        <v>42</v>
      </c>
      <c r="O1674" t="str">
        <f>_xlfn.XLOOKUP(A1674,[1]!brca_metabric_clinical_data__2[Sample ID],[1]!brca_metabric_clinical_data__2[Tumor Stage])</f>
        <v>2</v>
      </c>
    </row>
    <row r="1675" spans="1:15" x14ac:dyDescent="0.45">
      <c r="A1675" t="s">
        <v>1710</v>
      </c>
      <c r="B1675">
        <v>79.239999999999995</v>
      </c>
      <c r="C1675" t="s">
        <v>16</v>
      </c>
      <c r="D1675" t="s">
        <v>17</v>
      </c>
      <c r="E1675" t="s">
        <v>18</v>
      </c>
      <c r="F1675" t="s">
        <v>19</v>
      </c>
      <c r="G1675" t="s">
        <v>20</v>
      </c>
      <c r="H1675" t="s">
        <v>21</v>
      </c>
      <c r="I1675" t="s">
        <v>20</v>
      </c>
      <c r="J1675" t="s">
        <v>27</v>
      </c>
      <c r="K1675" t="s">
        <v>23</v>
      </c>
      <c r="L1675">
        <v>24.633333333333301</v>
      </c>
      <c r="M1675" t="s">
        <v>30</v>
      </c>
      <c r="N1675" t="str">
        <f>_xlfn.XLOOKUP(A1675,[1]!brca_metabric_clinical_data__2[Patient ID], [1]!brca_metabric_clinical_data__2[Tumor Size])</f>
        <v>28</v>
      </c>
      <c r="O1675" t="str">
        <f>_xlfn.XLOOKUP(A1675,[1]!brca_metabric_clinical_data__2[Sample ID],[1]!brca_metabric_clinical_data__2[Tumor Stage])</f>
        <v>NA</v>
      </c>
    </row>
    <row r="1676" spans="1:15" x14ac:dyDescent="0.45">
      <c r="A1676" t="s">
        <v>1711</v>
      </c>
      <c r="B1676">
        <v>78.45</v>
      </c>
      <c r="C1676" t="s">
        <v>16</v>
      </c>
      <c r="D1676" t="s">
        <v>17</v>
      </c>
      <c r="E1676" t="s">
        <v>18</v>
      </c>
      <c r="F1676" t="s">
        <v>19</v>
      </c>
      <c r="G1676" t="s">
        <v>20</v>
      </c>
      <c r="H1676" t="s">
        <v>21</v>
      </c>
      <c r="I1676" t="s">
        <v>20</v>
      </c>
      <c r="J1676" t="s">
        <v>29</v>
      </c>
      <c r="K1676">
        <v>6</v>
      </c>
      <c r="L1676">
        <v>42.633333333333297</v>
      </c>
      <c r="M1676" t="s">
        <v>30</v>
      </c>
      <c r="N1676" t="str">
        <f>_xlfn.XLOOKUP(A1676,[1]!brca_metabric_clinical_data__2[Patient ID], [1]!brca_metabric_clinical_data__2[Tumor Size])</f>
        <v>35</v>
      </c>
      <c r="O1676" t="str">
        <f>_xlfn.XLOOKUP(A1676,[1]!brca_metabric_clinical_data__2[Sample ID],[1]!brca_metabric_clinical_data__2[Tumor Stage])</f>
        <v>NA</v>
      </c>
    </row>
    <row r="1677" spans="1:15" x14ac:dyDescent="0.45">
      <c r="A1677" t="s">
        <v>1712</v>
      </c>
      <c r="B1677">
        <v>44.51</v>
      </c>
      <c r="C1677" t="s">
        <v>16</v>
      </c>
      <c r="D1677" t="s">
        <v>26</v>
      </c>
      <c r="E1677" t="s">
        <v>37</v>
      </c>
      <c r="F1677" t="s">
        <v>19</v>
      </c>
      <c r="G1677" t="s">
        <v>21</v>
      </c>
      <c r="H1677" t="s">
        <v>20</v>
      </c>
      <c r="I1677" t="s">
        <v>21</v>
      </c>
      <c r="J1677" t="s">
        <v>38</v>
      </c>
      <c r="K1677" t="s">
        <v>39</v>
      </c>
      <c r="L1677">
        <v>52.466666666666697</v>
      </c>
      <c r="M1677" t="s">
        <v>30</v>
      </c>
      <c r="N1677" t="str">
        <f>_xlfn.XLOOKUP(A1677,[1]!brca_metabric_clinical_data__2[Patient ID], [1]!brca_metabric_clinical_data__2[Tumor Size])</f>
        <v>25</v>
      </c>
      <c r="O1677" t="str">
        <f>_xlfn.XLOOKUP(A1677,[1]!brca_metabric_clinical_data__2[Sample ID],[1]!brca_metabric_clinical_data__2[Tumor Stage])</f>
        <v>2</v>
      </c>
    </row>
    <row r="1678" spans="1:15" x14ac:dyDescent="0.45">
      <c r="A1678" t="s">
        <v>1713</v>
      </c>
      <c r="B1678">
        <v>66.010000000000005</v>
      </c>
      <c r="C1678" t="s">
        <v>16</v>
      </c>
      <c r="D1678" t="s">
        <v>17</v>
      </c>
      <c r="E1678" t="s">
        <v>18</v>
      </c>
      <c r="F1678" t="s">
        <v>19</v>
      </c>
      <c r="G1678" t="s">
        <v>20</v>
      </c>
      <c r="H1678" t="s">
        <v>21</v>
      </c>
      <c r="I1678" t="s">
        <v>20</v>
      </c>
      <c r="J1678" t="s">
        <v>27</v>
      </c>
      <c r="K1678">
        <v>3</v>
      </c>
      <c r="L1678">
        <v>202.23333333333301</v>
      </c>
      <c r="M1678" t="s">
        <v>24</v>
      </c>
      <c r="N1678" t="str">
        <f>_xlfn.XLOOKUP(A1678,[1]!brca_metabric_clinical_data__2[Patient ID], [1]!brca_metabric_clinical_data__2[Tumor Size])</f>
        <v>23</v>
      </c>
      <c r="O1678" t="str">
        <f>_xlfn.XLOOKUP(A1678,[1]!brca_metabric_clinical_data__2[Sample ID],[1]!brca_metabric_clinical_data__2[Tumor Stage])</f>
        <v>NA</v>
      </c>
    </row>
    <row r="1679" spans="1:15" x14ac:dyDescent="0.45">
      <c r="A1679" t="s">
        <v>1714</v>
      </c>
      <c r="B1679">
        <v>65.52</v>
      </c>
      <c r="C1679" t="s">
        <v>16</v>
      </c>
      <c r="D1679" t="s">
        <v>17</v>
      </c>
      <c r="E1679" t="s">
        <v>18</v>
      </c>
      <c r="F1679" t="s">
        <v>19</v>
      </c>
      <c r="G1679" t="s">
        <v>20</v>
      </c>
      <c r="H1679" t="s">
        <v>21</v>
      </c>
      <c r="I1679" t="s">
        <v>20</v>
      </c>
      <c r="J1679" t="s">
        <v>27</v>
      </c>
      <c r="K1679">
        <v>9</v>
      </c>
      <c r="L1679">
        <v>30.066666666666698</v>
      </c>
      <c r="M1679" t="s">
        <v>30</v>
      </c>
      <c r="N1679" t="str">
        <f>_xlfn.XLOOKUP(A1679,[1]!brca_metabric_clinical_data__2[Patient ID], [1]!brca_metabric_clinical_data__2[Tumor Size])</f>
        <v>30</v>
      </c>
      <c r="O1679" t="str">
        <f>_xlfn.XLOOKUP(A1679,[1]!brca_metabric_clinical_data__2[Sample ID],[1]!brca_metabric_clinical_data__2[Tumor Stage])</f>
        <v>NA</v>
      </c>
    </row>
    <row r="1680" spans="1:15" x14ac:dyDescent="0.45">
      <c r="A1680" t="s">
        <v>1715</v>
      </c>
      <c r="B1680">
        <v>79.2</v>
      </c>
      <c r="C1680" t="s">
        <v>16</v>
      </c>
      <c r="D1680" t="s">
        <v>17</v>
      </c>
      <c r="E1680" t="s">
        <v>18</v>
      </c>
      <c r="F1680" t="s">
        <v>19</v>
      </c>
      <c r="G1680" t="s">
        <v>20</v>
      </c>
      <c r="H1680" t="s">
        <v>20</v>
      </c>
      <c r="I1680" t="s">
        <v>21</v>
      </c>
      <c r="J1680" t="s">
        <v>29</v>
      </c>
      <c r="K1680">
        <v>9</v>
      </c>
      <c r="L1680">
        <v>222.7</v>
      </c>
      <c r="M1680" t="s">
        <v>30</v>
      </c>
      <c r="N1680" t="str">
        <f>_xlfn.XLOOKUP(A1680,[1]!brca_metabric_clinical_data__2[Patient ID], [1]!brca_metabric_clinical_data__2[Tumor Size])</f>
        <v>10</v>
      </c>
      <c r="O1680" t="str">
        <f>_xlfn.XLOOKUP(A1680,[1]!brca_metabric_clinical_data__2[Sample ID],[1]!brca_metabric_clinical_data__2[Tumor Stage])</f>
        <v>1</v>
      </c>
    </row>
    <row r="1681" spans="1:15" x14ac:dyDescent="0.45">
      <c r="A1681" t="s">
        <v>1716</v>
      </c>
      <c r="B1681">
        <v>41.08</v>
      </c>
      <c r="C1681" t="s">
        <v>16</v>
      </c>
      <c r="D1681" t="s">
        <v>26</v>
      </c>
      <c r="E1681" t="s">
        <v>18</v>
      </c>
      <c r="F1681" t="s">
        <v>19</v>
      </c>
      <c r="G1681" t="s">
        <v>20</v>
      </c>
      <c r="H1681" t="s">
        <v>21</v>
      </c>
      <c r="I1681" t="s">
        <v>20</v>
      </c>
      <c r="J1681" t="s">
        <v>38</v>
      </c>
      <c r="K1681" t="s">
        <v>23</v>
      </c>
      <c r="L1681">
        <v>56.766666666666701</v>
      </c>
      <c r="M1681" t="s">
        <v>30</v>
      </c>
      <c r="N1681" t="str">
        <f>_xlfn.XLOOKUP(A1681,[1]!brca_metabric_clinical_data__2[Patient ID], [1]!brca_metabric_clinical_data__2[Tumor Size])</f>
        <v>23</v>
      </c>
      <c r="O1681" t="str">
        <f>_xlfn.XLOOKUP(A1681,[1]!brca_metabric_clinical_data__2[Sample ID],[1]!brca_metabric_clinical_data__2[Tumor Stage])</f>
        <v>NA</v>
      </c>
    </row>
    <row r="1682" spans="1:15" x14ac:dyDescent="0.45">
      <c r="A1682" t="s">
        <v>1717</v>
      </c>
      <c r="B1682">
        <v>65.010000000000005</v>
      </c>
      <c r="C1682" t="s">
        <v>16</v>
      </c>
      <c r="E1682" t="s">
        <v>18</v>
      </c>
      <c r="L1682">
        <v>166.73333333333301</v>
      </c>
      <c r="M1682" t="s">
        <v>30</v>
      </c>
      <c r="N1682" t="str">
        <f>_xlfn.XLOOKUP(A1682,[1]!brca_metabric_clinical_data__2[Patient ID], [1]!brca_metabric_clinical_data__2[Tumor Size])</f>
        <v>18</v>
      </c>
      <c r="O1682" t="str">
        <f>_xlfn.XLOOKUP(A1682,[1]!brca_metabric_clinical_data__2[Sample ID],[1]!brca_metabric_clinical_data__2[Tumor Stage])</f>
        <v>NA</v>
      </c>
    </row>
    <row r="1683" spans="1:15" x14ac:dyDescent="0.45">
      <c r="A1683" t="s">
        <v>1718</v>
      </c>
      <c r="B1683">
        <v>80.760000000000005</v>
      </c>
      <c r="C1683" t="s">
        <v>16</v>
      </c>
      <c r="D1683" t="s">
        <v>17</v>
      </c>
      <c r="E1683" t="s">
        <v>18</v>
      </c>
      <c r="F1683" t="s">
        <v>19</v>
      </c>
      <c r="G1683" t="s">
        <v>20</v>
      </c>
      <c r="H1683" t="s">
        <v>20</v>
      </c>
      <c r="I1683" t="s">
        <v>20</v>
      </c>
      <c r="J1683" t="s">
        <v>27</v>
      </c>
      <c r="K1683">
        <v>8</v>
      </c>
      <c r="L1683">
        <v>118.3</v>
      </c>
      <c r="M1683" t="s">
        <v>30</v>
      </c>
      <c r="N1683" t="str">
        <f>_xlfn.XLOOKUP(A1683,[1]!brca_metabric_clinical_data__2[Patient ID], [1]!brca_metabric_clinical_data__2[Tumor Size])</f>
        <v>15</v>
      </c>
      <c r="O1683" t="str">
        <f>_xlfn.XLOOKUP(A1683,[1]!brca_metabric_clinical_data__2[Sample ID],[1]!brca_metabric_clinical_data__2[Tumor Stage])</f>
        <v>NA</v>
      </c>
    </row>
    <row r="1684" spans="1:15" x14ac:dyDescent="0.45">
      <c r="A1684" t="s">
        <v>1719</v>
      </c>
      <c r="B1684">
        <v>56.93</v>
      </c>
      <c r="C1684" t="s">
        <v>16</v>
      </c>
      <c r="D1684" t="s">
        <v>17</v>
      </c>
      <c r="E1684" t="s">
        <v>18</v>
      </c>
      <c r="F1684" t="s">
        <v>19</v>
      </c>
      <c r="G1684" t="s">
        <v>20</v>
      </c>
      <c r="H1684" t="s">
        <v>21</v>
      </c>
      <c r="I1684" t="s">
        <v>21</v>
      </c>
      <c r="J1684" t="s">
        <v>38</v>
      </c>
      <c r="K1684">
        <v>3</v>
      </c>
      <c r="L1684">
        <v>221.2</v>
      </c>
      <c r="M1684" t="s">
        <v>24</v>
      </c>
      <c r="N1684" t="str">
        <f>_xlfn.XLOOKUP(A1684,[1]!brca_metabric_clinical_data__2[Patient ID], [1]!brca_metabric_clinical_data__2[Tumor Size])</f>
        <v>20</v>
      </c>
      <c r="O1684" t="str">
        <f>_xlfn.XLOOKUP(A1684,[1]!brca_metabric_clinical_data__2[Sample ID],[1]!brca_metabric_clinical_data__2[Tumor Stage])</f>
        <v>2</v>
      </c>
    </row>
    <row r="1685" spans="1:15" x14ac:dyDescent="0.45">
      <c r="A1685" t="s">
        <v>1720</v>
      </c>
      <c r="B1685">
        <v>82.1</v>
      </c>
      <c r="C1685" t="s">
        <v>16</v>
      </c>
      <c r="D1685" t="s">
        <v>17</v>
      </c>
      <c r="E1685" t="s">
        <v>18</v>
      </c>
      <c r="F1685" t="s">
        <v>19</v>
      </c>
      <c r="G1685" t="s">
        <v>20</v>
      </c>
      <c r="H1685" t="s">
        <v>20</v>
      </c>
      <c r="I1685" t="s">
        <v>20</v>
      </c>
      <c r="J1685" t="s">
        <v>27</v>
      </c>
      <c r="K1685">
        <v>8</v>
      </c>
      <c r="L1685">
        <v>42.3</v>
      </c>
      <c r="M1685" t="s">
        <v>30</v>
      </c>
      <c r="N1685" t="str">
        <f>_xlfn.XLOOKUP(A1685,[1]!brca_metabric_clinical_data__2[Patient ID], [1]!brca_metabric_clinical_data__2[Tumor Size])</f>
        <v>23</v>
      </c>
      <c r="O1685" t="str">
        <f>_xlfn.XLOOKUP(A1685,[1]!brca_metabric_clinical_data__2[Sample ID],[1]!brca_metabric_clinical_data__2[Tumor Stage])</f>
        <v>NA</v>
      </c>
    </row>
    <row r="1686" spans="1:15" x14ac:dyDescent="0.45">
      <c r="A1686" t="s">
        <v>1721</v>
      </c>
      <c r="B1686">
        <v>61.81</v>
      </c>
      <c r="C1686" t="s">
        <v>16</v>
      </c>
      <c r="D1686" t="s">
        <v>17</v>
      </c>
      <c r="E1686" t="s">
        <v>18</v>
      </c>
      <c r="F1686" t="s">
        <v>19</v>
      </c>
      <c r="G1686" t="s">
        <v>20</v>
      </c>
      <c r="H1686" t="s">
        <v>20</v>
      </c>
      <c r="I1686" t="s">
        <v>21</v>
      </c>
      <c r="J1686" t="s">
        <v>27</v>
      </c>
      <c r="K1686">
        <v>7</v>
      </c>
      <c r="L1686">
        <v>224.23333333333301</v>
      </c>
      <c r="M1686" t="s">
        <v>24</v>
      </c>
      <c r="N1686" t="str">
        <f>_xlfn.XLOOKUP(A1686,[1]!brca_metabric_clinical_data__2[Patient ID], [1]!brca_metabric_clinical_data__2[Tumor Size])</f>
        <v>15</v>
      </c>
      <c r="O1686" t="str">
        <f>_xlfn.XLOOKUP(A1686,[1]!brca_metabric_clinical_data__2[Sample ID],[1]!brca_metabric_clinical_data__2[Tumor Stage])</f>
        <v>1</v>
      </c>
    </row>
    <row r="1687" spans="1:15" x14ac:dyDescent="0.45">
      <c r="A1687" t="s">
        <v>1722</v>
      </c>
      <c r="B1687">
        <v>60.75</v>
      </c>
      <c r="C1687" t="s">
        <v>16</v>
      </c>
      <c r="D1687" t="s">
        <v>17</v>
      </c>
      <c r="E1687" t="s">
        <v>18</v>
      </c>
      <c r="F1687" t="s">
        <v>19</v>
      </c>
      <c r="G1687" t="s">
        <v>20</v>
      </c>
      <c r="H1687" t="s">
        <v>20</v>
      </c>
      <c r="I1687" t="s">
        <v>20</v>
      </c>
      <c r="J1687" t="s">
        <v>27</v>
      </c>
      <c r="K1687">
        <v>7</v>
      </c>
      <c r="L1687">
        <v>203.53333333333299</v>
      </c>
      <c r="M1687" t="s">
        <v>30</v>
      </c>
      <c r="N1687" t="str">
        <f>_xlfn.XLOOKUP(A1687,[1]!brca_metabric_clinical_data__2[Patient ID], [1]!brca_metabric_clinical_data__2[Tumor Size])</f>
        <v>22</v>
      </c>
      <c r="O1687" t="str">
        <f>_xlfn.XLOOKUP(A1687,[1]!brca_metabric_clinical_data__2[Sample ID],[1]!brca_metabric_clinical_data__2[Tumor Stage])</f>
        <v>NA</v>
      </c>
    </row>
    <row r="1688" spans="1:15" x14ac:dyDescent="0.45">
      <c r="A1688" t="s">
        <v>1723</v>
      </c>
      <c r="B1688">
        <v>74.430000000000007</v>
      </c>
      <c r="C1688" t="s">
        <v>16</v>
      </c>
      <c r="D1688" t="s">
        <v>17</v>
      </c>
      <c r="E1688" t="s">
        <v>18</v>
      </c>
      <c r="F1688" t="s">
        <v>19</v>
      </c>
      <c r="G1688" t="s">
        <v>20</v>
      </c>
      <c r="H1688" t="s">
        <v>21</v>
      </c>
      <c r="I1688" t="s">
        <v>20</v>
      </c>
      <c r="J1688" t="s">
        <v>27</v>
      </c>
      <c r="K1688">
        <v>3</v>
      </c>
      <c r="L1688">
        <v>174.5</v>
      </c>
      <c r="M1688" t="s">
        <v>30</v>
      </c>
      <c r="N1688" t="str">
        <f>_xlfn.XLOOKUP(A1688,[1]!brca_metabric_clinical_data__2[Patient ID], [1]!brca_metabric_clinical_data__2[Tumor Size])</f>
        <v>20</v>
      </c>
      <c r="O1688" t="str">
        <f>_xlfn.XLOOKUP(A1688,[1]!brca_metabric_clinical_data__2[Sample ID],[1]!brca_metabric_clinical_data__2[Tumor Stage])</f>
        <v>NA</v>
      </c>
    </row>
    <row r="1689" spans="1:15" x14ac:dyDescent="0.45">
      <c r="A1689" t="s">
        <v>1724</v>
      </c>
      <c r="B1689">
        <v>47.51</v>
      </c>
      <c r="C1689" t="s">
        <v>16</v>
      </c>
      <c r="D1689" t="s">
        <v>26</v>
      </c>
      <c r="E1689" t="s">
        <v>37</v>
      </c>
      <c r="F1689" t="s">
        <v>43</v>
      </c>
      <c r="G1689" t="s">
        <v>21</v>
      </c>
      <c r="H1689" t="s">
        <v>21</v>
      </c>
      <c r="I1689" t="s">
        <v>20</v>
      </c>
      <c r="J1689" t="s">
        <v>29</v>
      </c>
      <c r="K1689">
        <v>9</v>
      </c>
      <c r="L1689">
        <v>211.53333333333299</v>
      </c>
      <c r="M1689" t="s">
        <v>30</v>
      </c>
      <c r="N1689" t="str">
        <f>_xlfn.XLOOKUP(A1689,[1]!brca_metabric_clinical_data__2[Patient ID], [1]!brca_metabric_clinical_data__2[Tumor Size])</f>
        <v>NA</v>
      </c>
      <c r="O1689" t="str">
        <f>_xlfn.XLOOKUP(A1689,[1]!brca_metabric_clinical_data__2[Sample ID],[1]!brca_metabric_clinical_data__2[Tumor Stage])</f>
        <v>NA</v>
      </c>
    </row>
    <row r="1690" spans="1:15" x14ac:dyDescent="0.45">
      <c r="A1690" t="s">
        <v>1725</v>
      </c>
      <c r="B1690">
        <v>49.67</v>
      </c>
      <c r="C1690" t="s">
        <v>16</v>
      </c>
      <c r="D1690" t="s">
        <v>26</v>
      </c>
      <c r="E1690" t="s">
        <v>18</v>
      </c>
      <c r="F1690" t="s">
        <v>43</v>
      </c>
      <c r="G1690" t="s">
        <v>20</v>
      </c>
      <c r="H1690" t="s">
        <v>20</v>
      </c>
      <c r="I1690" t="s">
        <v>20</v>
      </c>
      <c r="J1690" t="s">
        <v>27</v>
      </c>
      <c r="K1690">
        <v>1</v>
      </c>
      <c r="L1690">
        <v>147.76666666666699</v>
      </c>
      <c r="M1690" t="s">
        <v>30</v>
      </c>
      <c r="N1690" t="str">
        <f>_xlfn.XLOOKUP(A1690,[1]!brca_metabric_clinical_data__2[Patient ID], [1]!brca_metabric_clinical_data__2[Tumor Size])</f>
        <v>22</v>
      </c>
      <c r="O1690" t="str">
        <f>_xlfn.XLOOKUP(A1690,[1]!brca_metabric_clinical_data__2[Sample ID],[1]!brca_metabric_clinical_data__2[Tumor Stage])</f>
        <v>2</v>
      </c>
    </row>
    <row r="1691" spans="1:15" x14ac:dyDescent="0.45">
      <c r="A1691" t="s">
        <v>1726</v>
      </c>
      <c r="B1691">
        <v>58.83</v>
      </c>
      <c r="C1691" t="s">
        <v>16</v>
      </c>
      <c r="D1691" t="s">
        <v>17</v>
      </c>
      <c r="E1691" t="s">
        <v>37</v>
      </c>
      <c r="F1691" t="s">
        <v>19</v>
      </c>
      <c r="G1691" t="s">
        <v>21</v>
      </c>
      <c r="H1691" t="s">
        <v>20</v>
      </c>
      <c r="I1691" t="s">
        <v>21</v>
      </c>
      <c r="J1691" t="s">
        <v>58</v>
      </c>
      <c r="K1691">
        <v>10</v>
      </c>
      <c r="L1691">
        <v>221.933333333333</v>
      </c>
      <c r="M1691" t="s">
        <v>24</v>
      </c>
      <c r="N1691" t="str">
        <f>_xlfn.XLOOKUP(A1691,[1]!brca_metabric_clinical_data__2[Patient ID], [1]!brca_metabric_clinical_data__2[Tumor Size])</f>
        <v>20</v>
      </c>
      <c r="O1691" t="str">
        <f>_xlfn.XLOOKUP(A1691,[1]!brca_metabric_clinical_data__2[Sample ID],[1]!brca_metabric_clinical_data__2[Tumor Stage])</f>
        <v>2</v>
      </c>
    </row>
    <row r="1692" spans="1:15" x14ac:dyDescent="0.45">
      <c r="A1692" t="s">
        <v>1727</v>
      </c>
      <c r="B1692">
        <v>66.94</v>
      </c>
      <c r="C1692" t="s">
        <v>16</v>
      </c>
      <c r="D1692" t="s">
        <v>17</v>
      </c>
      <c r="E1692" t="s">
        <v>37</v>
      </c>
      <c r="F1692" t="s">
        <v>43</v>
      </c>
      <c r="G1692" t="s">
        <v>21</v>
      </c>
      <c r="H1692" t="s">
        <v>20</v>
      </c>
      <c r="I1692" t="s">
        <v>21</v>
      </c>
      <c r="J1692" t="s">
        <v>45</v>
      </c>
      <c r="K1692">
        <v>5</v>
      </c>
      <c r="L1692">
        <v>35.466666666666697</v>
      </c>
      <c r="M1692" t="s">
        <v>30</v>
      </c>
      <c r="N1692" t="str">
        <f>_xlfn.XLOOKUP(A1692,[1]!brca_metabric_clinical_data__2[Patient ID], [1]!brca_metabric_clinical_data__2[Tumor Size])</f>
        <v>10</v>
      </c>
      <c r="O1692" t="str">
        <f>_xlfn.XLOOKUP(A1692,[1]!brca_metabric_clinical_data__2[Sample ID],[1]!brca_metabric_clinical_data__2[Tumor Stage])</f>
        <v>2</v>
      </c>
    </row>
    <row r="1693" spans="1:15" x14ac:dyDescent="0.45">
      <c r="A1693" t="s">
        <v>1728</v>
      </c>
      <c r="B1693">
        <v>68.430000000000007</v>
      </c>
      <c r="C1693" t="s">
        <v>16</v>
      </c>
      <c r="D1693" t="s">
        <v>17</v>
      </c>
      <c r="E1693" t="s">
        <v>18</v>
      </c>
      <c r="F1693" t="s">
        <v>19</v>
      </c>
      <c r="G1693" t="s">
        <v>20</v>
      </c>
      <c r="H1693" t="s">
        <v>20</v>
      </c>
      <c r="I1693" t="s">
        <v>20</v>
      </c>
      <c r="J1693" t="s">
        <v>27</v>
      </c>
      <c r="K1693">
        <v>7</v>
      </c>
      <c r="L1693">
        <v>117.866666666667</v>
      </c>
      <c r="M1693" t="s">
        <v>24</v>
      </c>
      <c r="N1693" t="str">
        <f>_xlfn.XLOOKUP(A1693,[1]!brca_metabric_clinical_data__2[Patient ID], [1]!brca_metabric_clinical_data__2[Tumor Size])</f>
        <v>16</v>
      </c>
      <c r="O1693" t="str">
        <f>_xlfn.XLOOKUP(A1693,[1]!brca_metabric_clinical_data__2[Sample ID],[1]!brca_metabric_clinical_data__2[Tumor Stage])</f>
        <v>1</v>
      </c>
    </row>
    <row r="1694" spans="1:15" x14ac:dyDescent="0.45">
      <c r="A1694" t="s">
        <v>1729</v>
      </c>
      <c r="B1694">
        <v>73.37</v>
      </c>
      <c r="C1694" t="s">
        <v>16</v>
      </c>
      <c r="D1694" t="s">
        <v>17</v>
      </c>
      <c r="E1694" t="s">
        <v>18</v>
      </c>
      <c r="F1694" t="s">
        <v>19</v>
      </c>
      <c r="G1694" t="s">
        <v>20</v>
      </c>
      <c r="H1694" t="s">
        <v>21</v>
      </c>
      <c r="I1694" t="s">
        <v>20</v>
      </c>
      <c r="J1694" t="s">
        <v>38</v>
      </c>
      <c r="K1694">
        <v>8</v>
      </c>
      <c r="L1694">
        <v>35.366666666666703</v>
      </c>
      <c r="M1694" t="s">
        <v>30</v>
      </c>
      <c r="N1694" t="str">
        <f>_xlfn.XLOOKUP(A1694,[1]!brca_metabric_clinical_data__2[Patient ID], [1]!brca_metabric_clinical_data__2[Tumor Size])</f>
        <v>37</v>
      </c>
      <c r="O1694" t="str">
        <f>_xlfn.XLOOKUP(A1694,[1]!brca_metabric_clinical_data__2[Sample ID],[1]!brca_metabric_clinical_data__2[Tumor Stage])</f>
        <v>NA</v>
      </c>
    </row>
    <row r="1695" spans="1:15" x14ac:dyDescent="0.45">
      <c r="A1695" t="s">
        <v>1730</v>
      </c>
      <c r="B1695">
        <v>37.33</v>
      </c>
      <c r="C1695" t="s">
        <v>16</v>
      </c>
      <c r="D1695" t="s">
        <v>26</v>
      </c>
      <c r="E1695" t="s">
        <v>37</v>
      </c>
      <c r="F1695" t="s">
        <v>19</v>
      </c>
      <c r="G1695" t="s">
        <v>20</v>
      </c>
      <c r="H1695" t="s">
        <v>20</v>
      </c>
      <c r="I1695" t="s">
        <v>20</v>
      </c>
      <c r="J1695" t="s">
        <v>22</v>
      </c>
      <c r="K1695" t="s">
        <v>39</v>
      </c>
      <c r="L1695">
        <v>200.1</v>
      </c>
      <c r="M1695" t="s">
        <v>24</v>
      </c>
      <c r="N1695" t="str">
        <f>_xlfn.XLOOKUP(A1695,[1]!brca_metabric_clinical_data__2[Patient ID], [1]!brca_metabric_clinical_data__2[Tumor Size])</f>
        <v>20</v>
      </c>
      <c r="O1695" t="str">
        <f>_xlfn.XLOOKUP(A1695,[1]!brca_metabric_clinical_data__2[Sample ID],[1]!brca_metabric_clinical_data__2[Tumor Stage])</f>
        <v>NA</v>
      </c>
    </row>
    <row r="1696" spans="1:15" x14ac:dyDescent="0.45">
      <c r="A1696" t="s">
        <v>1731</v>
      </c>
      <c r="B1696">
        <v>75.33</v>
      </c>
      <c r="C1696" t="s">
        <v>16</v>
      </c>
      <c r="D1696" t="s">
        <v>17</v>
      </c>
      <c r="E1696" t="s">
        <v>18</v>
      </c>
      <c r="F1696" t="s">
        <v>19</v>
      </c>
      <c r="G1696" t="s">
        <v>20</v>
      </c>
      <c r="H1696" t="s">
        <v>20</v>
      </c>
      <c r="I1696" t="s">
        <v>20</v>
      </c>
      <c r="J1696" t="s">
        <v>27</v>
      </c>
      <c r="K1696">
        <v>8</v>
      </c>
      <c r="L1696">
        <v>0.1</v>
      </c>
      <c r="M1696" t="s">
        <v>30</v>
      </c>
      <c r="N1696" t="str">
        <f>_xlfn.XLOOKUP(A1696,[1]!brca_metabric_clinical_data__2[Patient ID], [1]!brca_metabric_clinical_data__2[Tumor Size])</f>
        <v>15</v>
      </c>
      <c r="O1696" t="str">
        <f>_xlfn.XLOOKUP(A1696,[1]!brca_metabric_clinical_data__2[Sample ID],[1]!brca_metabric_clinical_data__2[Tumor Stage])</f>
        <v>1</v>
      </c>
    </row>
    <row r="1697" spans="1:15" x14ac:dyDescent="0.45">
      <c r="A1697" t="s">
        <v>1732</v>
      </c>
      <c r="B1697">
        <v>52.95</v>
      </c>
      <c r="C1697" t="s">
        <v>16</v>
      </c>
      <c r="D1697" t="s">
        <v>17</v>
      </c>
      <c r="E1697" t="s">
        <v>18</v>
      </c>
      <c r="F1697" t="s">
        <v>19</v>
      </c>
      <c r="G1697" t="s">
        <v>20</v>
      </c>
      <c r="H1697" t="s">
        <v>21</v>
      </c>
      <c r="I1697" t="s">
        <v>20</v>
      </c>
      <c r="J1697" t="s">
        <v>27</v>
      </c>
      <c r="K1697">
        <v>3</v>
      </c>
      <c r="L1697">
        <v>74.8</v>
      </c>
      <c r="M1697" t="s">
        <v>30</v>
      </c>
      <c r="N1697" t="str">
        <f>_xlfn.XLOOKUP(A1697,[1]!brca_metabric_clinical_data__2[Patient ID], [1]!brca_metabric_clinical_data__2[Tumor Size])</f>
        <v>21</v>
      </c>
      <c r="O1697" t="str">
        <f>_xlfn.XLOOKUP(A1697,[1]!brca_metabric_clinical_data__2[Sample ID],[1]!brca_metabric_clinical_data__2[Tumor Stage])</f>
        <v>NA</v>
      </c>
    </row>
    <row r="1698" spans="1:15" x14ac:dyDescent="0.45">
      <c r="A1698" t="s">
        <v>1733</v>
      </c>
      <c r="B1698">
        <v>77.959999999999994</v>
      </c>
      <c r="C1698" t="s">
        <v>16</v>
      </c>
      <c r="D1698" t="s">
        <v>17</v>
      </c>
      <c r="E1698" t="s">
        <v>18</v>
      </c>
      <c r="F1698" t="s">
        <v>35</v>
      </c>
      <c r="G1698" t="s">
        <v>20</v>
      </c>
      <c r="H1698" t="s">
        <v>20</v>
      </c>
      <c r="I1698" t="s">
        <v>20</v>
      </c>
      <c r="J1698" t="s">
        <v>38</v>
      </c>
      <c r="K1698">
        <v>3</v>
      </c>
      <c r="L1698">
        <v>72.566666666666706</v>
      </c>
      <c r="M1698" t="s">
        <v>30</v>
      </c>
      <c r="N1698" t="str">
        <f>_xlfn.XLOOKUP(A1698,[1]!brca_metabric_clinical_data__2[Patient ID], [1]!brca_metabric_clinical_data__2[Tumor Size])</f>
        <v>20</v>
      </c>
      <c r="O1698" t="str">
        <f>_xlfn.XLOOKUP(A1698,[1]!brca_metabric_clinical_data__2[Sample ID],[1]!brca_metabric_clinical_data__2[Tumor Stage])</f>
        <v>NA</v>
      </c>
    </row>
    <row r="1699" spans="1:15" x14ac:dyDescent="0.45">
      <c r="A1699" t="s">
        <v>1734</v>
      </c>
      <c r="B1699">
        <v>71.22</v>
      </c>
      <c r="C1699" t="s">
        <v>16</v>
      </c>
      <c r="D1699" t="s">
        <v>17</v>
      </c>
      <c r="E1699" t="s">
        <v>18</v>
      </c>
      <c r="F1699" t="s">
        <v>19</v>
      </c>
      <c r="G1699" t="s">
        <v>20</v>
      </c>
      <c r="H1699" t="s">
        <v>21</v>
      </c>
      <c r="I1699" t="s">
        <v>20</v>
      </c>
      <c r="J1699" t="s">
        <v>27</v>
      </c>
      <c r="K1699">
        <v>3</v>
      </c>
      <c r="L1699">
        <v>85</v>
      </c>
      <c r="M1699" t="s">
        <v>30</v>
      </c>
      <c r="N1699" t="str">
        <f>_xlfn.XLOOKUP(A1699,[1]!brca_metabric_clinical_data__2[Patient ID], [1]!brca_metabric_clinical_data__2[Tumor Size])</f>
        <v>30</v>
      </c>
      <c r="O1699" t="str">
        <f>_xlfn.XLOOKUP(A1699,[1]!brca_metabric_clinical_data__2[Sample ID],[1]!brca_metabric_clinical_data__2[Tumor Stage])</f>
        <v>2</v>
      </c>
    </row>
    <row r="1700" spans="1:15" x14ac:dyDescent="0.45">
      <c r="A1700" t="s">
        <v>1735</v>
      </c>
      <c r="B1700">
        <v>70.650000000000006</v>
      </c>
      <c r="C1700" t="s">
        <v>16</v>
      </c>
      <c r="D1700" t="s">
        <v>17</v>
      </c>
      <c r="E1700" t="s">
        <v>18</v>
      </c>
      <c r="F1700" t="s">
        <v>19</v>
      </c>
      <c r="G1700" t="s">
        <v>20</v>
      </c>
      <c r="H1700" t="s">
        <v>20</v>
      </c>
      <c r="I1700" t="s">
        <v>21</v>
      </c>
      <c r="J1700" t="s">
        <v>29</v>
      </c>
      <c r="K1700">
        <v>8</v>
      </c>
      <c r="L1700">
        <v>201.166666666667</v>
      </c>
      <c r="M1700" t="s">
        <v>24</v>
      </c>
      <c r="N1700" t="str">
        <f>_xlfn.XLOOKUP(A1700,[1]!brca_metabric_clinical_data__2[Patient ID], [1]!brca_metabric_clinical_data__2[Tumor Size])</f>
        <v>20</v>
      </c>
      <c r="O1700" t="str">
        <f>_xlfn.XLOOKUP(A1700,[1]!brca_metabric_clinical_data__2[Sample ID],[1]!brca_metabric_clinical_data__2[Tumor Stage])</f>
        <v>1</v>
      </c>
    </row>
    <row r="1701" spans="1:15" x14ac:dyDescent="0.45">
      <c r="A1701" t="s">
        <v>1736</v>
      </c>
      <c r="B1701">
        <v>66.349999999999994</v>
      </c>
      <c r="C1701" t="s">
        <v>16</v>
      </c>
      <c r="D1701" t="s">
        <v>17</v>
      </c>
      <c r="E1701" t="s">
        <v>18</v>
      </c>
      <c r="F1701" t="s">
        <v>19</v>
      </c>
      <c r="G1701" t="s">
        <v>20</v>
      </c>
      <c r="H1701" t="s">
        <v>20</v>
      </c>
      <c r="I1701" t="s">
        <v>20</v>
      </c>
      <c r="J1701" t="s">
        <v>38</v>
      </c>
      <c r="K1701" t="s">
        <v>23</v>
      </c>
      <c r="L1701">
        <v>213.36666666666699</v>
      </c>
      <c r="M1701" t="s">
        <v>24</v>
      </c>
      <c r="N1701" t="str">
        <f>_xlfn.XLOOKUP(A1701,[1]!brca_metabric_clinical_data__2[Patient ID], [1]!brca_metabric_clinical_data__2[Tumor Size])</f>
        <v>NA</v>
      </c>
      <c r="O1701" t="str">
        <f>_xlfn.XLOOKUP(A1701,[1]!brca_metabric_clinical_data__2[Sample ID],[1]!brca_metabric_clinical_data__2[Tumor Stage])</f>
        <v>NA</v>
      </c>
    </row>
    <row r="1702" spans="1:15" x14ac:dyDescent="0.45">
      <c r="A1702" t="s">
        <v>1737</v>
      </c>
      <c r="B1702">
        <v>75.62</v>
      </c>
      <c r="C1702" t="s">
        <v>16</v>
      </c>
      <c r="D1702" t="s">
        <v>17</v>
      </c>
      <c r="E1702" t="s">
        <v>37</v>
      </c>
      <c r="F1702" t="s">
        <v>43</v>
      </c>
      <c r="G1702" t="s">
        <v>20</v>
      </c>
      <c r="H1702" t="s">
        <v>20</v>
      </c>
      <c r="I1702" t="s">
        <v>20</v>
      </c>
      <c r="J1702" t="s">
        <v>58</v>
      </c>
      <c r="K1702">
        <v>10</v>
      </c>
      <c r="L1702">
        <v>105.2</v>
      </c>
      <c r="M1702" t="s">
        <v>30</v>
      </c>
      <c r="N1702" t="str">
        <f>_xlfn.XLOOKUP(A1702,[1]!brca_metabric_clinical_data__2[Patient ID], [1]!brca_metabric_clinical_data__2[Tumor Size])</f>
        <v>20</v>
      </c>
      <c r="O1702" t="str">
        <f>_xlfn.XLOOKUP(A1702,[1]!brca_metabric_clinical_data__2[Sample ID],[1]!brca_metabric_clinical_data__2[Tumor Stage])</f>
        <v>1</v>
      </c>
    </row>
    <row r="1703" spans="1:15" x14ac:dyDescent="0.45">
      <c r="A1703" t="s">
        <v>1738</v>
      </c>
      <c r="B1703">
        <v>84.87</v>
      </c>
      <c r="C1703" t="s">
        <v>16</v>
      </c>
      <c r="D1703" t="s">
        <v>17</v>
      </c>
      <c r="E1703" t="s">
        <v>18</v>
      </c>
      <c r="F1703" t="s">
        <v>19</v>
      </c>
      <c r="G1703" t="s">
        <v>20</v>
      </c>
      <c r="H1703" t="s">
        <v>20</v>
      </c>
      <c r="I1703" t="s">
        <v>20</v>
      </c>
      <c r="J1703" t="s">
        <v>27</v>
      </c>
      <c r="K1703">
        <v>7</v>
      </c>
      <c r="L1703">
        <v>172.96666666666701</v>
      </c>
      <c r="M1703" t="s">
        <v>30</v>
      </c>
      <c r="N1703" t="str">
        <f>_xlfn.XLOOKUP(A1703,[1]!brca_metabric_clinical_data__2[Patient ID], [1]!brca_metabric_clinical_data__2[Tumor Size])</f>
        <v>29</v>
      </c>
      <c r="O1703" t="str">
        <f>_xlfn.XLOOKUP(A1703,[1]!brca_metabric_clinical_data__2[Sample ID],[1]!brca_metabric_clinical_data__2[Tumor Stage])</f>
        <v>NA</v>
      </c>
    </row>
    <row r="1704" spans="1:15" x14ac:dyDescent="0.45">
      <c r="A1704" t="s">
        <v>1739</v>
      </c>
      <c r="B1704">
        <v>52.84</v>
      </c>
      <c r="C1704" t="s">
        <v>16</v>
      </c>
      <c r="D1704" t="s">
        <v>17</v>
      </c>
      <c r="E1704" t="s">
        <v>18</v>
      </c>
      <c r="F1704" t="s">
        <v>19</v>
      </c>
      <c r="G1704" t="s">
        <v>21</v>
      </c>
      <c r="H1704" t="s">
        <v>20</v>
      </c>
      <c r="I1704" t="s">
        <v>21</v>
      </c>
      <c r="J1704" t="s">
        <v>38</v>
      </c>
      <c r="K1704">
        <v>8</v>
      </c>
      <c r="L1704">
        <v>200.333333333333</v>
      </c>
      <c r="M1704" t="s">
        <v>24</v>
      </c>
      <c r="N1704" t="str">
        <f>_xlfn.XLOOKUP(A1704,[1]!brca_metabric_clinical_data__2[Patient ID], [1]!brca_metabric_clinical_data__2[Tumor Size])</f>
        <v>20</v>
      </c>
      <c r="O1704" t="str">
        <f>_xlfn.XLOOKUP(A1704,[1]!brca_metabric_clinical_data__2[Sample ID],[1]!brca_metabric_clinical_data__2[Tumor Stage])</f>
        <v>2</v>
      </c>
    </row>
    <row r="1705" spans="1:15" x14ac:dyDescent="0.45">
      <c r="A1705" t="s">
        <v>1740</v>
      </c>
      <c r="B1705">
        <v>41.29</v>
      </c>
      <c r="C1705" t="s">
        <v>16</v>
      </c>
      <c r="D1705" t="s">
        <v>26</v>
      </c>
      <c r="E1705" t="s">
        <v>37</v>
      </c>
      <c r="F1705" t="s">
        <v>19</v>
      </c>
      <c r="G1705" t="s">
        <v>21</v>
      </c>
      <c r="H1705" t="s">
        <v>20</v>
      </c>
      <c r="I1705" t="s">
        <v>21</v>
      </c>
      <c r="J1705" t="s">
        <v>58</v>
      </c>
      <c r="K1705">
        <v>10</v>
      </c>
      <c r="L1705">
        <v>165.433333333333</v>
      </c>
      <c r="M1705" t="s">
        <v>24</v>
      </c>
      <c r="N1705" t="str">
        <f>_xlfn.XLOOKUP(A1705,[1]!brca_metabric_clinical_data__2[Patient ID], [1]!brca_metabric_clinical_data__2[Tumor Size])</f>
        <v>55</v>
      </c>
      <c r="O1705" t="str">
        <f>_xlfn.XLOOKUP(A1705,[1]!brca_metabric_clinical_data__2[Sample ID],[1]!brca_metabric_clinical_data__2[Tumor Stage])</f>
        <v>NA</v>
      </c>
    </row>
    <row r="1706" spans="1:15" x14ac:dyDescent="0.45">
      <c r="A1706" t="s">
        <v>1741</v>
      </c>
      <c r="B1706">
        <v>47.01</v>
      </c>
      <c r="C1706" t="s">
        <v>16</v>
      </c>
      <c r="D1706" t="s">
        <v>26</v>
      </c>
      <c r="E1706" t="s">
        <v>37</v>
      </c>
      <c r="F1706" t="s">
        <v>19</v>
      </c>
      <c r="G1706" t="s">
        <v>20</v>
      </c>
      <c r="H1706" t="s">
        <v>20</v>
      </c>
      <c r="I1706" t="s">
        <v>20</v>
      </c>
      <c r="J1706" t="s">
        <v>58</v>
      </c>
      <c r="K1706">
        <v>10</v>
      </c>
      <c r="L1706">
        <v>177.63333333333301</v>
      </c>
      <c r="M1706" t="s">
        <v>24</v>
      </c>
      <c r="N1706" t="str">
        <f>_xlfn.XLOOKUP(A1706,[1]!brca_metabric_clinical_data__2[Patient ID], [1]!brca_metabric_clinical_data__2[Tumor Size])</f>
        <v>20</v>
      </c>
      <c r="O1706" t="str">
        <f>_xlfn.XLOOKUP(A1706,[1]!brca_metabric_clinical_data__2[Sample ID],[1]!brca_metabric_clinical_data__2[Tumor Stage])</f>
        <v>NA</v>
      </c>
    </row>
    <row r="1707" spans="1:15" x14ac:dyDescent="0.45">
      <c r="A1707" t="s">
        <v>1742</v>
      </c>
      <c r="B1707">
        <v>58.39</v>
      </c>
      <c r="C1707" t="s">
        <v>16</v>
      </c>
      <c r="D1707" t="s">
        <v>17</v>
      </c>
      <c r="E1707" t="s">
        <v>37</v>
      </c>
      <c r="F1707" t="s">
        <v>43</v>
      </c>
      <c r="G1707" t="s">
        <v>21</v>
      </c>
      <c r="H1707" t="s">
        <v>20</v>
      </c>
      <c r="I1707" t="s">
        <v>20</v>
      </c>
      <c r="J1707" t="s">
        <v>45</v>
      </c>
      <c r="K1707">
        <v>5</v>
      </c>
      <c r="L1707">
        <v>52.9</v>
      </c>
      <c r="M1707" t="s">
        <v>30</v>
      </c>
      <c r="N1707" t="str">
        <f>_xlfn.XLOOKUP(A1707,[1]!brca_metabric_clinical_data__2[Patient ID], [1]!brca_metabric_clinical_data__2[Tumor Size])</f>
        <v>30</v>
      </c>
      <c r="O1707" t="str">
        <f>_xlfn.XLOOKUP(A1707,[1]!brca_metabric_clinical_data__2[Sample ID],[1]!brca_metabric_clinical_data__2[Tumor Stage])</f>
        <v>NA</v>
      </c>
    </row>
    <row r="1708" spans="1:15" x14ac:dyDescent="0.45">
      <c r="A1708" t="s">
        <v>1743</v>
      </c>
      <c r="B1708">
        <v>51.22</v>
      </c>
      <c r="C1708" t="s">
        <v>16</v>
      </c>
      <c r="D1708" t="s">
        <v>17</v>
      </c>
      <c r="E1708" t="s">
        <v>37</v>
      </c>
      <c r="F1708" t="s">
        <v>19</v>
      </c>
      <c r="G1708" t="s">
        <v>21</v>
      </c>
      <c r="H1708" t="s">
        <v>21</v>
      </c>
      <c r="I1708" t="s">
        <v>21</v>
      </c>
      <c r="J1708" t="s">
        <v>58</v>
      </c>
      <c r="K1708">
        <v>10</v>
      </c>
      <c r="L1708">
        <v>182.833333333333</v>
      </c>
      <c r="M1708" t="s">
        <v>24</v>
      </c>
      <c r="N1708" t="str">
        <f>_xlfn.XLOOKUP(A1708,[1]!brca_metabric_clinical_data__2[Patient ID], [1]!brca_metabric_clinical_data__2[Tumor Size])</f>
        <v>55</v>
      </c>
      <c r="O1708" t="str">
        <f>_xlfn.XLOOKUP(A1708,[1]!brca_metabric_clinical_data__2[Sample ID],[1]!brca_metabric_clinical_data__2[Tumor Stage])</f>
        <v>NA</v>
      </c>
    </row>
    <row r="1709" spans="1:15" x14ac:dyDescent="0.45">
      <c r="A1709" t="s">
        <v>1744</v>
      </c>
      <c r="B1709">
        <v>48.59</v>
      </c>
      <c r="C1709" t="s">
        <v>16</v>
      </c>
      <c r="D1709" t="s">
        <v>26</v>
      </c>
      <c r="E1709" t="s">
        <v>37</v>
      </c>
      <c r="F1709" t="s">
        <v>35</v>
      </c>
      <c r="G1709" t="s">
        <v>21</v>
      </c>
      <c r="H1709" t="s">
        <v>20</v>
      </c>
      <c r="I1709" t="s">
        <v>21</v>
      </c>
      <c r="J1709" t="s">
        <v>58</v>
      </c>
      <c r="K1709">
        <v>10</v>
      </c>
      <c r="L1709">
        <v>14.7</v>
      </c>
      <c r="M1709" t="s">
        <v>30</v>
      </c>
      <c r="N1709" t="str">
        <f>_xlfn.XLOOKUP(A1709,[1]!brca_metabric_clinical_data__2[Patient ID], [1]!brca_metabric_clinical_data__2[Tumor Size])</f>
        <v>30</v>
      </c>
      <c r="O1709" t="str">
        <f>_xlfn.XLOOKUP(A1709,[1]!brca_metabric_clinical_data__2[Sample ID],[1]!brca_metabric_clinical_data__2[Tumor Stage])</f>
        <v>2</v>
      </c>
    </row>
    <row r="1710" spans="1:15" x14ac:dyDescent="0.45">
      <c r="A1710" t="s">
        <v>1745</v>
      </c>
      <c r="B1710">
        <v>62.9</v>
      </c>
      <c r="C1710" t="s">
        <v>16</v>
      </c>
      <c r="D1710" t="s">
        <v>17</v>
      </c>
      <c r="E1710" t="s">
        <v>18</v>
      </c>
      <c r="F1710" t="s">
        <v>19</v>
      </c>
      <c r="G1710" t="s">
        <v>20</v>
      </c>
      <c r="H1710" t="s">
        <v>20</v>
      </c>
      <c r="I1710" t="s">
        <v>21</v>
      </c>
      <c r="J1710" t="s">
        <v>27</v>
      </c>
      <c r="K1710">
        <v>8</v>
      </c>
      <c r="L1710">
        <v>194.36666666666699</v>
      </c>
      <c r="M1710" t="s">
        <v>24</v>
      </c>
      <c r="N1710" t="str">
        <f>_xlfn.XLOOKUP(A1710,[1]!brca_metabric_clinical_data__2[Patient ID], [1]!brca_metabric_clinical_data__2[Tumor Size])</f>
        <v>11</v>
      </c>
      <c r="O1710" t="str">
        <f>_xlfn.XLOOKUP(A1710,[1]!brca_metabric_clinical_data__2[Sample ID],[1]!brca_metabric_clinical_data__2[Tumor Stage])</f>
        <v>NA</v>
      </c>
    </row>
    <row r="1711" spans="1:15" x14ac:dyDescent="0.45">
      <c r="A1711" t="s">
        <v>1746</v>
      </c>
      <c r="B1711">
        <v>78.69</v>
      </c>
      <c r="C1711" t="s">
        <v>16</v>
      </c>
      <c r="D1711" t="s">
        <v>17</v>
      </c>
      <c r="E1711" t="s">
        <v>18</v>
      </c>
      <c r="F1711" t="s">
        <v>19</v>
      </c>
      <c r="G1711" t="s">
        <v>20</v>
      </c>
      <c r="H1711" t="s">
        <v>21</v>
      </c>
      <c r="I1711" t="s">
        <v>20</v>
      </c>
      <c r="J1711" t="s">
        <v>29</v>
      </c>
      <c r="K1711">
        <v>2</v>
      </c>
      <c r="L1711">
        <v>60.9</v>
      </c>
      <c r="M1711" t="s">
        <v>30</v>
      </c>
      <c r="N1711" t="str">
        <f>_xlfn.XLOOKUP(A1711,[1]!brca_metabric_clinical_data__2[Patient ID], [1]!brca_metabric_clinical_data__2[Tumor Size])</f>
        <v>71</v>
      </c>
      <c r="O1711" t="str">
        <f>_xlfn.XLOOKUP(A1711,[1]!brca_metabric_clinical_data__2[Sample ID],[1]!brca_metabric_clinical_data__2[Tumor Stage])</f>
        <v>NA</v>
      </c>
    </row>
    <row r="1712" spans="1:15" x14ac:dyDescent="0.45">
      <c r="A1712" t="s">
        <v>1747</v>
      </c>
      <c r="B1712">
        <v>67.33</v>
      </c>
      <c r="C1712" t="s">
        <v>16</v>
      </c>
      <c r="D1712" t="s">
        <v>17</v>
      </c>
      <c r="E1712" t="s">
        <v>18</v>
      </c>
      <c r="F1712" t="s">
        <v>19</v>
      </c>
      <c r="G1712" t="s">
        <v>20</v>
      </c>
      <c r="H1712" t="s">
        <v>20</v>
      </c>
      <c r="I1712" t="s">
        <v>21</v>
      </c>
      <c r="J1712" t="s">
        <v>27</v>
      </c>
      <c r="K1712">
        <v>3</v>
      </c>
      <c r="L1712">
        <v>127.833333333333</v>
      </c>
      <c r="M1712" t="s">
        <v>30</v>
      </c>
      <c r="N1712" t="str">
        <f>_xlfn.XLOOKUP(A1712,[1]!brca_metabric_clinical_data__2[Patient ID], [1]!brca_metabric_clinical_data__2[Tumor Size])</f>
        <v>14</v>
      </c>
      <c r="O1712" t="str">
        <f>_xlfn.XLOOKUP(A1712,[1]!brca_metabric_clinical_data__2[Sample ID],[1]!brca_metabric_clinical_data__2[Tumor Stage])</f>
        <v>NA</v>
      </c>
    </row>
    <row r="1713" spans="1:15" x14ac:dyDescent="0.45">
      <c r="A1713" t="s">
        <v>1748</v>
      </c>
      <c r="B1713">
        <v>49.38</v>
      </c>
      <c r="C1713" t="s">
        <v>16</v>
      </c>
      <c r="D1713" t="s">
        <v>26</v>
      </c>
      <c r="E1713" t="s">
        <v>18</v>
      </c>
      <c r="F1713" t="s">
        <v>19</v>
      </c>
      <c r="G1713" t="s">
        <v>20</v>
      </c>
      <c r="H1713" t="s">
        <v>21</v>
      </c>
      <c r="I1713" t="s">
        <v>21</v>
      </c>
      <c r="J1713" t="s">
        <v>29</v>
      </c>
      <c r="K1713">
        <v>8</v>
      </c>
      <c r="L1713">
        <v>91</v>
      </c>
      <c r="M1713" t="s">
        <v>24</v>
      </c>
      <c r="N1713" t="str">
        <f>_xlfn.XLOOKUP(A1713,[1]!brca_metabric_clinical_data__2[Patient ID], [1]!brca_metabric_clinical_data__2[Tumor Size])</f>
        <v>16</v>
      </c>
      <c r="O1713" t="str">
        <f>_xlfn.XLOOKUP(A1713,[1]!brca_metabric_clinical_data__2[Sample ID],[1]!brca_metabric_clinical_data__2[Tumor Stage])</f>
        <v>NA</v>
      </c>
    </row>
    <row r="1714" spans="1:15" x14ac:dyDescent="0.45">
      <c r="A1714" t="s">
        <v>1749</v>
      </c>
      <c r="B1714">
        <v>79.42</v>
      </c>
      <c r="C1714" t="s">
        <v>16</v>
      </c>
      <c r="D1714" t="s">
        <v>17</v>
      </c>
      <c r="E1714" t="s">
        <v>18</v>
      </c>
      <c r="F1714" t="s">
        <v>19</v>
      </c>
      <c r="G1714" t="s">
        <v>20</v>
      </c>
      <c r="H1714" t="s">
        <v>21</v>
      </c>
      <c r="I1714" t="s">
        <v>20</v>
      </c>
      <c r="J1714" t="s">
        <v>27</v>
      </c>
      <c r="K1714" t="s">
        <v>23</v>
      </c>
      <c r="L1714">
        <v>75.866666666666703</v>
      </c>
      <c r="M1714" t="s">
        <v>24</v>
      </c>
      <c r="N1714" t="str">
        <f>_xlfn.XLOOKUP(A1714,[1]!brca_metabric_clinical_data__2[Patient ID], [1]!brca_metabric_clinical_data__2[Tumor Size])</f>
        <v>24</v>
      </c>
      <c r="O1714" t="str">
        <f>_xlfn.XLOOKUP(A1714,[1]!brca_metabric_clinical_data__2[Sample ID],[1]!brca_metabric_clinical_data__2[Tumor Stage])</f>
        <v>NA</v>
      </c>
    </row>
    <row r="1715" spans="1:15" x14ac:dyDescent="0.45">
      <c r="A1715" t="s">
        <v>1750</v>
      </c>
      <c r="B1715">
        <v>64.400000000000006</v>
      </c>
      <c r="C1715" t="s">
        <v>16</v>
      </c>
      <c r="D1715" t="s">
        <v>17</v>
      </c>
      <c r="E1715" t="s">
        <v>18</v>
      </c>
      <c r="F1715" t="s">
        <v>35</v>
      </c>
      <c r="G1715" t="s">
        <v>20</v>
      </c>
      <c r="H1715" t="s">
        <v>20</v>
      </c>
      <c r="I1715" t="s">
        <v>20</v>
      </c>
      <c r="J1715" t="s">
        <v>27</v>
      </c>
      <c r="K1715">
        <v>7</v>
      </c>
      <c r="L1715">
        <v>157.73333333333301</v>
      </c>
      <c r="M1715" t="s">
        <v>24</v>
      </c>
      <c r="N1715" t="str">
        <f>_xlfn.XLOOKUP(A1715,[1]!brca_metabric_clinical_data__2[Patient ID], [1]!brca_metabric_clinical_data__2[Tumor Size])</f>
        <v>25</v>
      </c>
      <c r="O1715" t="str">
        <f>_xlfn.XLOOKUP(A1715,[1]!brca_metabric_clinical_data__2[Sample ID],[1]!brca_metabric_clinical_data__2[Tumor Stage])</f>
        <v>NA</v>
      </c>
    </row>
    <row r="1716" spans="1:15" x14ac:dyDescent="0.45">
      <c r="A1716" t="s">
        <v>1751</v>
      </c>
      <c r="B1716">
        <v>36.93</v>
      </c>
      <c r="C1716" t="s">
        <v>16</v>
      </c>
      <c r="D1716" t="s">
        <v>26</v>
      </c>
      <c r="E1716" t="s">
        <v>37</v>
      </c>
      <c r="F1716" t="s">
        <v>19</v>
      </c>
      <c r="G1716" t="s">
        <v>21</v>
      </c>
      <c r="H1716" t="s">
        <v>20</v>
      </c>
      <c r="I1716" t="s">
        <v>21</v>
      </c>
      <c r="J1716" t="s">
        <v>22</v>
      </c>
      <c r="K1716">
        <v>10</v>
      </c>
      <c r="L1716">
        <v>22.4</v>
      </c>
      <c r="M1716" t="s">
        <v>30</v>
      </c>
      <c r="N1716" t="str">
        <f>_xlfn.XLOOKUP(A1716,[1]!brca_metabric_clinical_data__2[Patient ID], [1]!brca_metabric_clinical_data__2[Tumor Size])</f>
        <v>NA</v>
      </c>
      <c r="O1716" t="str">
        <f>_xlfn.XLOOKUP(A1716,[1]!brca_metabric_clinical_data__2[Sample ID],[1]!brca_metabric_clinical_data__2[Tumor Stage])</f>
        <v>NA</v>
      </c>
    </row>
    <row r="1717" spans="1:15" x14ac:dyDescent="0.45">
      <c r="A1717" t="s">
        <v>1752</v>
      </c>
      <c r="B1717">
        <v>43.08</v>
      </c>
      <c r="C1717" t="s">
        <v>16</v>
      </c>
      <c r="D1717" t="s">
        <v>26</v>
      </c>
      <c r="E1717" t="s">
        <v>37</v>
      </c>
      <c r="F1717" t="s">
        <v>19</v>
      </c>
      <c r="G1717" t="s">
        <v>21</v>
      </c>
      <c r="H1717" t="s">
        <v>20</v>
      </c>
      <c r="I1717" t="s">
        <v>20</v>
      </c>
      <c r="J1717" t="s">
        <v>27</v>
      </c>
      <c r="K1717">
        <v>3</v>
      </c>
      <c r="L1717">
        <v>189.433333333333</v>
      </c>
      <c r="M1717" t="s">
        <v>24</v>
      </c>
      <c r="N1717" t="str">
        <f>_xlfn.XLOOKUP(A1717,[1]!brca_metabric_clinical_data__2[Patient ID], [1]!brca_metabric_clinical_data__2[Tumor Size])</f>
        <v>16</v>
      </c>
      <c r="O1717" t="str">
        <f>_xlfn.XLOOKUP(A1717,[1]!brca_metabric_clinical_data__2[Sample ID],[1]!brca_metabric_clinical_data__2[Tumor Stage])</f>
        <v>NA</v>
      </c>
    </row>
    <row r="1718" spans="1:15" x14ac:dyDescent="0.45">
      <c r="A1718" t="s">
        <v>1753</v>
      </c>
      <c r="B1718">
        <v>53.68</v>
      </c>
      <c r="C1718" t="s">
        <v>16</v>
      </c>
      <c r="D1718" t="s">
        <v>17</v>
      </c>
      <c r="E1718" t="s">
        <v>37</v>
      </c>
      <c r="F1718" t="s">
        <v>19</v>
      </c>
      <c r="G1718" t="s">
        <v>21</v>
      </c>
      <c r="H1718" t="s">
        <v>20</v>
      </c>
      <c r="I1718" t="s">
        <v>21</v>
      </c>
      <c r="J1718" t="s">
        <v>58</v>
      </c>
      <c r="K1718">
        <v>10</v>
      </c>
      <c r="L1718">
        <v>27.866666666666699</v>
      </c>
      <c r="M1718" t="s">
        <v>30</v>
      </c>
      <c r="N1718" t="str">
        <f>_xlfn.XLOOKUP(A1718,[1]!brca_metabric_clinical_data__2[Patient ID], [1]!brca_metabric_clinical_data__2[Tumor Size])</f>
        <v>44</v>
      </c>
      <c r="O1718" t="str">
        <f>_xlfn.XLOOKUP(A1718,[1]!brca_metabric_clinical_data__2[Sample ID],[1]!brca_metabric_clinical_data__2[Tumor Stage])</f>
        <v>NA</v>
      </c>
    </row>
    <row r="1719" spans="1:15" x14ac:dyDescent="0.45">
      <c r="A1719" t="s">
        <v>1754</v>
      </c>
      <c r="B1719">
        <v>75.099999999999994</v>
      </c>
      <c r="C1719" t="s">
        <v>16</v>
      </c>
      <c r="D1719" t="s">
        <v>17</v>
      </c>
      <c r="E1719" t="s">
        <v>18</v>
      </c>
      <c r="F1719" t="s">
        <v>19</v>
      </c>
      <c r="G1719" t="s">
        <v>20</v>
      </c>
      <c r="H1719" t="s">
        <v>21</v>
      </c>
      <c r="I1719" t="s">
        <v>20</v>
      </c>
      <c r="J1719" t="s">
        <v>29</v>
      </c>
      <c r="K1719">
        <v>6</v>
      </c>
      <c r="L1719">
        <v>3.5</v>
      </c>
      <c r="M1719" t="s">
        <v>30</v>
      </c>
      <c r="N1719" t="str">
        <f>_xlfn.XLOOKUP(A1719,[1]!brca_metabric_clinical_data__2[Patient ID], [1]!brca_metabric_clinical_data__2[Tumor Size])</f>
        <v>5</v>
      </c>
      <c r="O1719" t="str">
        <f>_xlfn.XLOOKUP(A1719,[1]!brca_metabric_clinical_data__2[Sample ID],[1]!brca_metabric_clinical_data__2[Tumor Stage])</f>
        <v>NA</v>
      </c>
    </row>
    <row r="1720" spans="1:15" x14ac:dyDescent="0.45">
      <c r="A1720" t="s">
        <v>1755</v>
      </c>
      <c r="B1720">
        <v>73.069999999999993</v>
      </c>
      <c r="C1720" t="s">
        <v>16</v>
      </c>
      <c r="D1720" t="s">
        <v>17</v>
      </c>
      <c r="E1720" t="s">
        <v>18</v>
      </c>
      <c r="F1720" t="s">
        <v>19</v>
      </c>
      <c r="G1720" t="s">
        <v>20</v>
      </c>
      <c r="H1720" t="s">
        <v>21</v>
      </c>
      <c r="I1720" t="s">
        <v>20</v>
      </c>
      <c r="J1720" t="s">
        <v>27</v>
      </c>
      <c r="K1720">
        <v>7</v>
      </c>
      <c r="L1720">
        <v>92.4</v>
      </c>
      <c r="M1720" t="s">
        <v>30</v>
      </c>
      <c r="N1720" t="str">
        <f>_xlfn.XLOOKUP(A1720,[1]!brca_metabric_clinical_data__2[Patient ID], [1]!brca_metabric_clinical_data__2[Tumor Size])</f>
        <v>25</v>
      </c>
      <c r="O1720" t="str">
        <f>_xlfn.XLOOKUP(A1720,[1]!brca_metabric_clinical_data__2[Sample ID],[1]!brca_metabric_clinical_data__2[Tumor Stage])</f>
        <v>NA</v>
      </c>
    </row>
    <row r="1721" spans="1:15" x14ac:dyDescent="0.45">
      <c r="A1721" t="s">
        <v>1756</v>
      </c>
      <c r="B1721">
        <v>67.81</v>
      </c>
      <c r="C1721" t="s">
        <v>16</v>
      </c>
      <c r="D1721" t="s">
        <v>17</v>
      </c>
      <c r="E1721" t="s">
        <v>18</v>
      </c>
      <c r="F1721" t="s">
        <v>35</v>
      </c>
      <c r="G1721" t="s">
        <v>20</v>
      </c>
      <c r="H1721" t="s">
        <v>21</v>
      </c>
      <c r="I1721" t="s">
        <v>21</v>
      </c>
      <c r="J1721" t="s">
        <v>29</v>
      </c>
      <c r="K1721">
        <v>9</v>
      </c>
      <c r="L1721">
        <v>88.3333333333333</v>
      </c>
      <c r="M1721" t="s">
        <v>30</v>
      </c>
      <c r="N1721" t="str">
        <f>_xlfn.XLOOKUP(A1721,[1]!brca_metabric_clinical_data__2[Patient ID], [1]!brca_metabric_clinical_data__2[Tumor Size])</f>
        <v>30</v>
      </c>
      <c r="O1721" t="str">
        <f>_xlfn.XLOOKUP(A1721,[1]!brca_metabric_clinical_data__2[Sample ID],[1]!brca_metabric_clinical_data__2[Tumor Stage])</f>
        <v>NA</v>
      </c>
    </row>
    <row r="1722" spans="1:15" x14ac:dyDescent="0.45">
      <c r="A1722" t="s">
        <v>1757</v>
      </c>
      <c r="B1722">
        <v>85.17</v>
      </c>
      <c r="C1722" t="s">
        <v>16</v>
      </c>
      <c r="D1722" t="s">
        <v>17</v>
      </c>
      <c r="E1722" t="s">
        <v>18</v>
      </c>
      <c r="F1722" t="s">
        <v>19</v>
      </c>
      <c r="G1722" t="s">
        <v>20</v>
      </c>
      <c r="H1722" t="s">
        <v>20</v>
      </c>
      <c r="I1722" t="s">
        <v>20</v>
      </c>
      <c r="J1722" t="s">
        <v>27</v>
      </c>
      <c r="K1722">
        <v>3</v>
      </c>
      <c r="L1722">
        <v>49.533333333333303</v>
      </c>
      <c r="M1722" t="s">
        <v>30</v>
      </c>
      <c r="N1722" t="str">
        <f>_xlfn.XLOOKUP(A1722,[1]!brca_metabric_clinical_data__2[Patient ID], [1]!brca_metabric_clinical_data__2[Tumor Size])</f>
        <v>20</v>
      </c>
      <c r="O1722" t="str">
        <f>_xlfn.XLOOKUP(A1722,[1]!brca_metabric_clinical_data__2[Sample ID],[1]!brca_metabric_clinical_data__2[Tumor Stage])</f>
        <v>NA</v>
      </c>
    </row>
    <row r="1723" spans="1:15" x14ac:dyDescent="0.45">
      <c r="A1723" t="s">
        <v>1758</v>
      </c>
      <c r="B1723">
        <v>58.08</v>
      </c>
      <c r="C1723" t="s">
        <v>16</v>
      </c>
      <c r="D1723" t="s">
        <v>17</v>
      </c>
      <c r="E1723" t="s">
        <v>37</v>
      </c>
      <c r="F1723" t="s">
        <v>35</v>
      </c>
      <c r="G1723" t="s">
        <v>21</v>
      </c>
      <c r="H1723" t="s">
        <v>20</v>
      </c>
      <c r="I1723" t="s">
        <v>21</v>
      </c>
      <c r="J1723" t="s">
        <v>29</v>
      </c>
      <c r="K1723">
        <v>1</v>
      </c>
      <c r="L1723">
        <v>35.200000000000003</v>
      </c>
      <c r="M1723" t="s">
        <v>30</v>
      </c>
      <c r="N1723" t="str">
        <f>_xlfn.XLOOKUP(A1723,[1]!brca_metabric_clinical_data__2[Patient ID], [1]!brca_metabric_clinical_data__2[Tumor Size])</f>
        <v>35</v>
      </c>
      <c r="O1723" t="str">
        <f>_xlfn.XLOOKUP(A1723,[1]!brca_metabric_clinical_data__2[Sample ID],[1]!brca_metabric_clinical_data__2[Tumor Stage])</f>
        <v>NA</v>
      </c>
    </row>
    <row r="1724" spans="1:15" x14ac:dyDescent="0.45">
      <c r="A1724" t="s">
        <v>1759</v>
      </c>
      <c r="B1724">
        <v>74.33</v>
      </c>
      <c r="C1724" t="s">
        <v>16</v>
      </c>
      <c r="D1724" t="s">
        <v>17</v>
      </c>
      <c r="E1724" t="s">
        <v>18</v>
      </c>
      <c r="F1724" t="s">
        <v>19</v>
      </c>
      <c r="G1724" t="s">
        <v>20</v>
      </c>
      <c r="H1724" t="s">
        <v>21</v>
      </c>
      <c r="I1724" t="s">
        <v>21</v>
      </c>
      <c r="J1724" t="s">
        <v>29</v>
      </c>
      <c r="K1724">
        <v>6</v>
      </c>
      <c r="L1724">
        <v>100.3</v>
      </c>
      <c r="M1724" t="s">
        <v>30</v>
      </c>
      <c r="N1724" t="str">
        <f>_xlfn.XLOOKUP(A1724,[1]!brca_metabric_clinical_data__2[Patient ID], [1]!brca_metabric_clinical_data__2[Tumor Size])</f>
        <v>23</v>
      </c>
      <c r="O1724" t="str">
        <f>_xlfn.XLOOKUP(A1724,[1]!brca_metabric_clinical_data__2[Sample ID],[1]!brca_metabric_clinical_data__2[Tumor Stage])</f>
        <v>NA</v>
      </c>
    </row>
    <row r="1725" spans="1:15" x14ac:dyDescent="0.45">
      <c r="A1725" t="s">
        <v>1760</v>
      </c>
      <c r="B1725">
        <v>52.55</v>
      </c>
      <c r="C1725" t="s">
        <v>16</v>
      </c>
      <c r="D1725" t="s">
        <v>17</v>
      </c>
      <c r="E1725" t="s">
        <v>18</v>
      </c>
      <c r="F1725" t="s">
        <v>43</v>
      </c>
      <c r="G1725" t="s">
        <v>20</v>
      </c>
      <c r="H1725" t="s">
        <v>21</v>
      </c>
      <c r="I1725" t="s">
        <v>21</v>
      </c>
      <c r="J1725" t="s">
        <v>27</v>
      </c>
      <c r="K1725">
        <v>8</v>
      </c>
      <c r="L1725">
        <v>170.86666666666699</v>
      </c>
      <c r="M1725" t="s">
        <v>24</v>
      </c>
      <c r="N1725" t="str">
        <f>_xlfn.XLOOKUP(A1725,[1]!brca_metabric_clinical_data__2[Patient ID], [1]!brca_metabric_clinical_data__2[Tumor Size])</f>
        <v>30</v>
      </c>
      <c r="O1725" t="str">
        <f>_xlfn.XLOOKUP(A1725,[1]!brca_metabric_clinical_data__2[Sample ID],[1]!brca_metabric_clinical_data__2[Tumor Stage])</f>
        <v>NA</v>
      </c>
    </row>
    <row r="1726" spans="1:15" x14ac:dyDescent="0.45">
      <c r="A1726" t="s">
        <v>1761</v>
      </c>
      <c r="B1726">
        <v>62.92</v>
      </c>
      <c r="C1726" t="s">
        <v>16</v>
      </c>
      <c r="D1726" t="s">
        <v>17</v>
      </c>
      <c r="E1726" t="s">
        <v>18</v>
      </c>
      <c r="F1726" t="s">
        <v>19</v>
      </c>
      <c r="G1726" t="s">
        <v>20</v>
      </c>
      <c r="H1726" t="s">
        <v>21</v>
      </c>
      <c r="I1726" t="s">
        <v>20</v>
      </c>
      <c r="J1726" t="s">
        <v>29</v>
      </c>
      <c r="K1726">
        <v>3</v>
      </c>
      <c r="L1726">
        <v>63.8333333333333</v>
      </c>
      <c r="M1726" t="s">
        <v>30</v>
      </c>
      <c r="N1726" t="str">
        <f>_xlfn.XLOOKUP(A1726,[1]!brca_metabric_clinical_data__2[Patient ID], [1]!brca_metabric_clinical_data__2[Tumor Size])</f>
        <v>15</v>
      </c>
      <c r="O1726" t="str">
        <f>_xlfn.XLOOKUP(A1726,[1]!brca_metabric_clinical_data__2[Sample ID],[1]!brca_metabric_clinical_data__2[Tumor Stage])</f>
        <v>NA</v>
      </c>
    </row>
    <row r="1727" spans="1:15" x14ac:dyDescent="0.45">
      <c r="A1727" t="s">
        <v>1762</v>
      </c>
      <c r="B1727">
        <v>67.78</v>
      </c>
      <c r="C1727" t="s">
        <v>16</v>
      </c>
      <c r="D1727" t="s">
        <v>17</v>
      </c>
      <c r="E1727" t="s">
        <v>18</v>
      </c>
      <c r="F1727" t="s">
        <v>19</v>
      </c>
      <c r="G1727" t="s">
        <v>20</v>
      </c>
      <c r="H1727" t="s">
        <v>21</v>
      </c>
      <c r="I1727" t="s">
        <v>21</v>
      </c>
      <c r="J1727" t="s">
        <v>29</v>
      </c>
      <c r="K1727">
        <v>9</v>
      </c>
      <c r="L1727">
        <v>125.866666666667</v>
      </c>
      <c r="M1727" t="s">
        <v>30</v>
      </c>
      <c r="N1727" t="str">
        <f>_xlfn.XLOOKUP(A1727,[1]!brca_metabric_clinical_data__2[Patient ID], [1]!brca_metabric_clinical_data__2[Tumor Size])</f>
        <v>27</v>
      </c>
      <c r="O1727" t="str">
        <f>_xlfn.XLOOKUP(A1727,[1]!brca_metabric_clinical_data__2[Sample ID],[1]!brca_metabric_clinical_data__2[Tumor Stage])</f>
        <v>NA</v>
      </c>
    </row>
    <row r="1728" spans="1:15" x14ac:dyDescent="0.45">
      <c r="A1728" t="s">
        <v>1763</v>
      </c>
      <c r="B1728">
        <v>52.85</v>
      </c>
      <c r="C1728" t="s">
        <v>16</v>
      </c>
      <c r="D1728" t="s">
        <v>17</v>
      </c>
      <c r="E1728" t="s">
        <v>37</v>
      </c>
      <c r="F1728" t="s">
        <v>43</v>
      </c>
      <c r="G1728" t="s">
        <v>21</v>
      </c>
      <c r="H1728" t="s">
        <v>20</v>
      </c>
      <c r="I1728" t="s">
        <v>21</v>
      </c>
      <c r="J1728" t="s">
        <v>22</v>
      </c>
      <c r="K1728">
        <v>10</v>
      </c>
      <c r="L1728">
        <v>89.533333333333303</v>
      </c>
      <c r="M1728" t="s">
        <v>30</v>
      </c>
      <c r="N1728" t="str">
        <f>_xlfn.XLOOKUP(A1728,[1]!brca_metabric_clinical_data__2[Patient ID], [1]!brca_metabric_clinical_data__2[Tumor Size])</f>
        <v>30</v>
      </c>
      <c r="O1728" t="str">
        <f>_xlfn.XLOOKUP(A1728,[1]!brca_metabric_clinical_data__2[Sample ID],[1]!brca_metabric_clinical_data__2[Tumor Stage])</f>
        <v>NA</v>
      </c>
    </row>
    <row r="1729" spans="1:15" x14ac:dyDescent="0.45">
      <c r="A1729" t="s">
        <v>1764</v>
      </c>
      <c r="B1729">
        <v>78.22</v>
      </c>
      <c r="C1729" t="s">
        <v>16</v>
      </c>
      <c r="D1729" t="s">
        <v>17</v>
      </c>
      <c r="E1729" t="s">
        <v>18</v>
      </c>
      <c r="F1729" t="s">
        <v>43</v>
      </c>
      <c r="G1729" t="s">
        <v>20</v>
      </c>
      <c r="H1729" t="s">
        <v>21</v>
      </c>
      <c r="I1729" t="s">
        <v>21</v>
      </c>
      <c r="J1729" t="s">
        <v>29</v>
      </c>
      <c r="K1729">
        <v>1</v>
      </c>
      <c r="L1729">
        <v>64.599999999999994</v>
      </c>
      <c r="M1729" t="s">
        <v>30</v>
      </c>
      <c r="N1729" t="str">
        <f>_xlfn.XLOOKUP(A1729,[1]!brca_metabric_clinical_data__2[Patient ID], [1]!brca_metabric_clinical_data__2[Tumor Size])</f>
        <v>29</v>
      </c>
      <c r="O1729" t="str">
        <f>_xlfn.XLOOKUP(A1729,[1]!brca_metabric_clinical_data__2[Sample ID],[1]!brca_metabric_clinical_data__2[Tumor Stage])</f>
        <v>NA</v>
      </c>
    </row>
    <row r="1730" spans="1:15" x14ac:dyDescent="0.45">
      <c r="A1730" t="s">
        <v>1765</v>
      </c>
      <c r="B1730">
        <v>81.75</v>
      </c>
      <c r="C1730" t="s">
        <v>16</v>
      </c>
      <c r="D1730" t="s">
        <v>17</v>
      </c>
      <c r="E1730" t="s">
        <v>18</v>
      </c>
      <c r="F1730" t="s">
        <v>19</v>
      </c>
      <c r="G1730" t="s">
        <v>20</v>
      </c>
      <c r="H1730" t="s">
        <v>21</v>
      </c>
      <c r="I1730" t="s">
        <v>21</v>
      </c>
      <c r="J1730" t="s">
        <v>27</v>
      </c>
      <c r="K1730">
        <v>8</v>
      </c>
      <c r="L1730">
        <v>151.933333333333</v>
      </c>
      <c r="M1730" t="s">
        <v>30</v>
      </c>
      <c r="N1730" t="str">
        <f>_xlfn.XLOOKUP(A1730,[1]!brca_metabric_clinical_data__2[Patient ID], [1]!brca_metabric_clinical_data__2[Tumor Size])</f>
        <v>23</v>
      </c>
      <c r="O1730" t="str">
        <f>_xlfn.XLOOKUP(A1730,[1]!brca_metabric_clinical_data__2[Sample ID],[1]!brca_metabric_clinical_data__2[Tumor Stage])</f>
        <v>NA</v>
      </c>
    </row>
    <row r="1731" spans="1:15" x14ac:dyDescent="0.45">
      <c r="A1731" t="s">
        <v>1766</v>
      </c>
      <c r="B1731">
        <v>85.02</v>
      </c>
      <c r="C1731" t="s">
        <v>16</v>
      </c>
      <c r="D1731" t="s">
        <v>17</v>
      </c>
      <c r="E1731" t="s">
        <v>18</v>
      </c>
      <c r="F1731" t="s">
        <v>19</v>
      </c>
      <c r="G1731" t="s">
        <v>20</v>
      </c>
      <c r="H1731" t="s">
        <v>21</v>
      </c>
      <c r="I1731" t="s">
        <v>20</v>
      </c>
      <c r="J1731" t="s">
        <v>29</v>
      </c>
      <c r="K1731">
        <v>9</v>
      </c>
      <c r="L1731">
        <v>162.76666666666699</v>
      </c>
      <c r="M1731" t="s">
        <v>24</v>
      </c>
      <c r="N1731" t="str">
        <f>_xlfn.XLOOKUP(A1731,[1]!brca_metabric_clinical_data__2[Patient ID], [1]!brca_metabric_clinical_data__2[Tumor Size])</f>
        <v>39</v>
      </c>
      <c r="O1731" t="str">
        <f>_xlfn.XLOOKUP(A1731,[1]!brca_metabric_clinical_data__2[Sample ID],[1]!brca_metabric_clinical_data__2[Tumor Stage])</f>
        <v>NA</v>
      </c>
    </row>
    <row r="1732" spans="1:15" x14ac:dyDescent="0.45">
      <c r="A1732" t="s">
        <v>1767</v>
      </c>
      <c r="B1732">
        <v>68.569999999999993</v>
      </c>
      <c r="C1732" t="s">
        <v>16</v>
      </c>
      <c r="D1732" t="s">
        <v>17</v>
      </c>
      <c r="E1732" t="s">
        <v>18</v>
      </c>
      <c r="F1732" t="s">
        <v>43</v>
      </c>
      <c r="G1732" t="s">
        <v>20</v>
      </c>
      <c r="H1732" t="s">
        <v>20</v>
      </c>
      <c r="I1732" t="s">
        <v>20</v>
      </c>
      <c r="J1732" t="s">
        <v>45</v>
      </c>
      <c r="K1732">
        <v>1</v>
      </c>
      <c r="L1732">
        <v>134.833333333333</v>
      </c>
      <c r="M1732" t="s">
        <v>24</v>
      </c>
      <c r="N1732" t="str">
        <f>_xlfn.XLOOKUP(A1732,[1]!brca_metabric_clinical_data__2[Patient ID], [1]!brca_metabric_clinical_data__2[Tumor Size])</f>
        <v>14</v>
      </c>
      <c r="O1732" t="str">
        <f>_xlfn.XLOOKUP(A1732,[1]!brca_metabric_clinical_data__2[Sample ID],[1]!brca_metabric_clinical_data__2[Tumor Stage])</f>
        <v>NA</v>
      </c>
    </row>
    <row r="1733" spans="1:15" x14ac:dyDescent="0.45">
      <c r="A1733" t="s">
        <v>1768</v>
      </c>
      <c r="B1733">
        <v>86.9</v>
      </c>
      <c r="C1733" t="s">
        <v>16</v>
      </c>
      <c r="D1733" t="s">
        <v>17</v>
      </c>
      <c r="E1733" t="s">
        <v>18</v>
      </c>
      <c r="F1733" t="s">
        <v>43</v>
      </c>
      <c r="G1733" t="s">
        <v>20</v>
      </c>
      <c r="H1733" t="s">
        <v>21</v>
      </c>
      <c r="I1733" t="s">
        <v>20</v>
      </c>
      <c r="J1733" t="s">
        <v>29</v>
      </c>
      <c r="K1733">
        <v>2</v>
      </c>
      <c r="L1733">
        <v>29.233333333333299</v>
      </c>
      <c r="M1733" t="s">
        <v>30</v>
      </c>
      <c r="N1733" t="str">
        <f>_xlfn.XLOOKUP(A1733,[1]!brca_metabric_clinical_data__2[Patient ID], [1]!brca_metabric_clinical_data__2[Tumor Size])</f>
        <v>53</v>
      </c>
      <c r="O1733" t="str">
        <f>_xlfn.XLOOKUP(A1733,[1]!brca_metabric_clinical_data__2[Sample ID],[1]!brca_metabric_clinical_data__2[Tumor Stage])</f>
        <v>NA</v>
      </c>
    </row>
    <row r="1734" spans="1:15" x14ac:dyDescent="0.45">
      <c r="A1734" t="s">
        <v>1769</v>
      </c>
      <c r="B1734">
        <v>81.37</v>
      </c>
      <c r="C1734" t="s">
        <v>16</v>
      </c>
      <c r="D1734" t="s">
        <v>17</v>
      </c>
      <c r="E1734" t="s">
        <v>18</v>
      </c>
      <c r="F1734" t="s">
        <v>19</v>
      </c>
      <c r="G1734" t="s">
        <v>20</v>
      </c>
      <c r="H1734" t="s">
        <v>20</v>
      </c>
      <c r="I1734" t="s">
        <v>20</v>
      </c>
      <c r="J1734" t="s">
        <v>45</v>
      </c>
      <c r="K1734">
        <v>10</v>
      </c>
      <c r="L1734">
        <v>109.23333333333299</v>
      </c>
      <c r="M1734" t="s">
        <v>30</v>
      </c>
      <c r="N1734" t="str">
        <f>_xlfn.XLOOKUP(A1734,[1]!brca_metabric_clinical_data__2[Patient ID], [1]!brca_metabric_clinical_data__2[Tumor Size])</f>
        <v>35</v>
      </c>
      <c r="O1734" t="str">
        <f>_xlfn.XLOOKUP(A1734,[1]!brca_metabric_clinical_data__2[Sample ID],[1]!brca_metabric_clinical_data__2[Tumor Stage])</f>
        <v>NA</v>
      </c>
    </row>
    <row r="1735" spans="1:15" x14ac:dyDescent="0.45">
      <c r="A1735" t="s">
        <v>1770</v>
      </c>
      <c r="B1735">
        <v>57.9</v>
      </c>
      <c r="C1735" t="s">
        <v>16</v>
      </c>
      <c r="D1735" t="s">
        <v>17</v>
      </c>
      <c r="E1735" t="s">
        <v>37</v>
      </c>
      <c r="F1735" t="s">
        <v>19</v>
      </c>
      <c r="G1735" t="s">
        <v>21</v>
      </c>
      <c r="H1735" t="s">
        <v>21</v>
      </c>
      <c r="I1735" t="s">
        <v>21</v>
      </c>
      <c r="J1735" t="s">
        <v>38</v>
      </c>
      <c r="K1735">
        <v>3</v>
      </c>
      <c r="L1735">
        <v>154.69999999999999</v>
      </c>
      <c r="M1735" t="s">
        <v>24</v>
      </c>
      <c r="N1735" t="str">
        <f>_xlfn.XLOOKUP(A1735,[1]!brca_metabric_clinical_data__2[Patient ID], [1]!brca_metabric_clinical_data__2[Tumor Size])</f>
        <v>62</v>
      </c>
      <c r="O1735" t="str">
        <f>_xlfn.XLOOKUP(A1735,[1]!brca_metabric_clinical_data__2[Sample ID],[1]!brca_metabric_clinical_data__2[Tumor Stage])</f>
        <v>NA</v>
      </c>
    </row>
    <row r="1736" spans="1:15" x14ac:dyDescent="0.45">
      <c r="A1736" t="s">
        <v>1771</v>
      </c>
      <c r="B1736">
        <v>80.930000000000007</v>
      </c>
      <c r="C1736" t="s">
        <v>16</v>
      </c>
      <c r="D1736" t="s">
        <v>17</v>
      </c>
      <c r="E1736" t="s">
        <v>18</v>
      </c>
      <c r="F1736" t="s">
        <v>19</v>
      </c>
      <c r="G1736" t="s">
        <v>20</v>
      </c>
      <c r="H1736" t="s">
        <v>21</v>
      </c>
      <c r="I1736" t="s">
        <v>21</v>
      </c>
      <c r="J1736" t="s">
        <v>29</v>
      </c>
      <c r="K1736" t="s">
        <v>23</v>
      </c>
      <c r="L1736">
        <v>80.366666666666703</v>
      </c>
      <c r="M1736" t="s">
        <v>30</v>
      </c>
      <c r="N1736" t="str">
        <f>_xlfn.XLOOKUP(A1736,[1]!brca_metabric_clinical_data__2[Patient ID], [1]!brca_metabric_clinical_data__2[Tumor Size])</f>
        <v>25</v>
      </c>
      <c r="O1736" t="str">
        <f>_xlfn.XLOOKUP(A1736,[1]!brca_metabric_clinical_data__2[Sample ID],[1]!brca_metabric_clinical_data__2[Tumor Stage])</f>
        <v>NA</v>
      </c>
    </row>
    <row r="1737" spans="1:15" x14ac:dyDescent="0.45">
      <c r="A1737" t="s">
        <v>1772</v>
      </c>
      <c r="B1737">
        <v>76.56</v>
      </c>
      <c r="C1737" t="s">
        <v>16</v>
      </c>
      <c r="D1737" t="s">
        <v>17</v>
      </c>
      <c r="E1737" t="s">
        <v>18</v>
      </c>
      <c r="F1737" t="s">
        <v>19</v>
      </c>
      <c r="G1737" t="s">
        <v>20</v>
      </c>
      <c r="H1737" t="s">
        <v>21</v>
      </c>
      <c r="I1737" t="s">
        <v>21</v>
      </c>
      <c r="J1737" t="s">
        <v>29</v>
      </c>
      <c r="K1737">
        <v>7</v>
      </c>
      <c r="L1737">
        <v>18.266666666666701</v>
      </c>
      <c r="M1737" t="s">
        <v>30</v>
      </c>
      <c r="N1737" t="str">
        <f>_xlfn.XLOOKUP(A1737,[1]!brca_metabric_clinical_data__2[Patient ID], [1]!brca_metabric_clinical_data__2[Tumor Size])</f>
        <v>60</v>
      </c>
      <c r="O1737" t="str">
        <f>_xlfn.XLOOKUP(A1737,[1]!brca_metabric_clinical_data__2[Sample ID],[1]!brca_metabric_clinical_data__2[Tumor Stage])</f>
        <v>NA</v>
      </c>
    </row>
    <row r="1738" spans="1:15" x14ac:dyDescent="0.45">
      <c r="A1738" t="s">
        <v>1773</v>
      </c>
      <c r="B1738">
        <v>75.89</v>
      </c>
      <c r="C1738" t="s">
        <v>16</v>
      </c>
      <c r="D1738" t="s">
        <v>17</v>
      </c>
      <c r="E1738" t="s">
        <v>18</v>
      </c>
      <c r="F1738" t="s">
        <v>19</v>
      </c>
      <c r="G1738" t="s">
        <v>20</v>
      </c>
      <c r="H1738" t="s">
        <v>21</v>
      </c>
      <c r="I1738" t="s">
        <v>20</v>
      </c>
      <c r="J1738" t="s">
        <v>27</v>
      </c>
      <c r="K1738">
        <v>2</v>
      </c>
      <c r="L1738">
        <v>126.666666666667</v>
      </c>
      <c r="M1738" t="s">
        <v>24</v>
      </c>
      <c r="N1738" t="str">
        <f>_xlfn.XLOOKUP(A1738,[1]!brca_metabric_clinical_data__2[Patient ID], [1]!brca_metabric_clinical_data__2[Tumor Size])</f>
        <v>30</v>
      </c>
      <c r="O1738" t="str">
        <f>_xlfn.XLOOKUP(A1738,[1]!brca_metabric_clinical_data__2[Sample ID],[1]!brca_metabric_clinical_data__2[Tumor Stage])</f>
        <v>NA</v>
      </c>
    </row>
    <row r="1739" spans="1:15" x14ac:dyDescent="0.45">
      <c r="A1739" t="s">
        <v>1774</v>
      </c>
      <c r="B1739">
        <v>68.48</v>
      </c>
      <c r="C1739" t="s">
        <v>16</v>
      </c>
      <c r="D1739" t="s">
        <v>17</v>
      </c>
      <c r="E1739" t="s">
        <v>37</v>
      </c>
      <c r="F1739" t="s">
        <v>19</v>
      </c>
      <c r="G1739" t="s">
        <v>20</v>
      </c>
      <c r="H1739" t="s">
        <v>21</v>
      </c>
      <c r="I1739" t="s">
        <v>20</v>
      </c>
      <c r="J1739" t="s">
        <v>29</v>
      </c>
      <c r="K1739">
        <v>9</v>
      </c>
      <c r="L1739">
        <v>81.5</v>
      </c>
      <c r="M1739" t="s">
        <v>30</v>
      </c>
      <c r="N1739" t="str">
        <f>_xlfn.XLOOKUP(A1739,[1]!brca_metabric_clinical_data__2[Patient ID], [1]!brca_metabric_clinical_data__2[Tumor Size])</f>
        <v>23</v>
      </c>
      <c r="O1739" t="str">
        <f>_xlfn.XLOOKUP(A1739,[1]!brca_metabric_clinical_data__2[Sample ID],[1]!brca_metabric_clinical_data__2[Tumor Stage])</f>
        <v>NA</v>
      </c>
    </row>
    <row r="1740" spans="1:15" x14ac:dyDescent="0.45">
      <c r="A1740" t="s">
        <v>1775</v>
      </c>
      <c r="B1740">
        <v>36.81</v>
      </c>
      <c r="C1740" t="s">
        <v>16</v>
      </c>
      <c r="D1740" t="s">
        <v>26</v>
      </c>
      <c r="E1740" t="s">
        <v>37</v>
      </c>
      <c r="F1740" t="s">
        <v>43</v>
      </c>
      <c r="G1740" t="s">
        <v>21</v>
      </c>
      <c r="H1740" t="s">
        <v>21</v>
      </c>
      <c r="I1740" t="s">
        <v>21</v>
      </c>
      <c r="J1740" t="s">
        <v>45</v>
      </c>
      <c r="K1740" t="s">
        <v>39</v>
      </c>
      <c r="L1740">
        <v>140.333333333333</v>
      </c>
      <c r="M1740" t="s">
        <v>24</v>
      </c>
      <c r="N1740" t="str">
        <f>_xlfn.XLOOKUP(A1740,[1]!brca_metabric_clinical_data__2[Patient ID], [1]!brca_metabric_clinical_data__2[Tumor Size])</f>
        <v>20</v>
      </c>
      <c r="O1740" t="str">
        <f>_xlfn.XLOOKUP(A1740,[1]!brca_metabric_clinical_data__2[Sample ID],[1]!brca_metabric_clinical_data__2[Tumor Stage])</f>
        <v>NA</v>
      </c>
    </row>
    <row r="1741" spans="1:15" x14ac:dyDescent="0.45">
      <c r="A1741" t="s">
        <v>1776</v>
      </c>
      <c r="B1741">
        <v>60.12</v>
      </c>
      <c r="C1741" t="s">
        <v>16</v>
      </c>
      <c r="D1741" t="s">
        <v>17</v>
      </c>
      <c r="E1741" t="s">
        <v>37</v>
      </c>
      <c r="F1741" t="s">
        <v>43</v>
      </c>
      <c r="G1741" t="s">
        <v>20</v>
      </c>
      <c r="H1741" t="s">
        <v>21</v>
      </c>
      <c r="I1741" t="s">
        <v>20</v>
      </c>
      <c r="J1741" t="s">
        <v>45</v>
      </c>
      <c r="K1741">
        <v>9</v>
      </c>
      <c r="L1741">
        <v>128.1</v>
      </c>
      <c r="M1741" t="s">
        <v>24</v>
      </c>
      <c r="N1741" t="str">
        <f>_xlfn.XLOOKUP(A1741,[1]!brca_metabric_clinical_data__2[Patient ID], [1]!brca_metabric_clinical_data__2[Tumor Size])</f>
        <v>21</v>
      </c>
      <c r="O1741" t="str">
        <f>_xlfn.XLOOKUP(A1741,[1]!brca_metabric_clinical_data__2[Sample ID],[1]!brca_metabric_clinical_data__2[Tumor Stage])</f>
        <v>NA</v>
      </c>
    </row>
    <row r="1742" spans="1:15" x14ac:dyDescent="0.45">
      <c r="A1742" t="s">
        <v>1777</v>
      </c>
      <c r="B1742">
        <v>63.22</v>
      </c>
      <c r="C1742" t="s">
        <v>16</v>
      </c>
      <c r="D1742" t="s">
        <v>17</v>
      </c>
      <c r="E1742" t="s">
        <v>37</v>
      </c>
      <c r="F1742" t="s">
        <v>19</v>
      </c>
      <c r="G1742" t="s">
        <v>21</v>
      </c>
      <c r="H1742" t="s">
        <v>20</v>
      </c>
      <c r="I1742" t="s">
        <v>21</v>
      </c>
      <c r="J1742" t="s">
        <v>58</v>
      </c>
      <c r="K1742">
        <v>2</v>
      </c>
      <c r="L1742">
        <v>17.2</v>
      </c>
      <c r="M1742" t="s">
        <v>30</v>
      </c>
      <c r="N1742" t="str">
        <f>_xlfn.XLOOKUP(A1742,[1]!brca_metabric_clinical_data__2[Patient ID], [1]!brca_metabric_clinical_data__2[Tumor Size])</f>
        <v>25</v>
      </c>
      <c r="O1742" t="str">
        <f>_xlfn.XLOOKUP(A1742,[1]!brca_metabric_clinical_data__2[Sample ID],[1]!brca_metabric_clinical_data__2[Tumor Stage])</f>
        <v>NA</v>
      </c>
    </row>
    <row r="1743" spans="1:15" x14ac:dyDescent="0.45">
      <c r="A1743" t="s">
        <v>1778</v>
      </c>
      <c r="B1743">
        <v>58.25</v>
      </c>
      <c r="C1743" t="s">
        <v>16</v>
      </c>
      <c r="D1743" t="s">
        <v>17</v>
      </c>
      <c r="E1743" t="s">
        <v>37</v>
      </c>
      <c r="F1743" t="s">
        <v>43</v>
      </c>
      <c r="G1743" t="s">
        <v>21</v>
      </c>
      <c r="H1743" t="s">
        <v>20</v>
      </c>
      <c r="I1743" t="s">
        <v>21</v>
      </c>
      <c r="J1743" t="s">
        <v>58</v>
      </c>
      <c r="K1743">
        <v>5</v>
      </c>
      <c r="L1743">
        <v>110.866666666667</v>
      </c>
      <c r="M1743" t="s">
        <v>30</v>
      </c>
      <c r="N1743" t="str">
        <f>_xlfn.XLOOKUP(A1743,[1]!brca_metabric_clinical_data__2[Patient ID], [1]!brca_metabric_clinical_data__2[Tumor Size])</f>
        <v>55</v>
      </c>
      <c r="O1743" t="str">
        <f>_xlfn.XLOOKUP(A1743,[1]!brca_metabric_clinical_data__2[Sample ID],[1]!brca_metabric_clinical_data__2[Tumor Stage])</f>
        <v>NA</v>
      </c>
    </row>
    <row r="1744" spans="1:15" x14ac:dyDescent="0.45">
      <c r="A1744" t="s">
        <v>1779</v>
      </c>
      <c r="B1744">
        <v>82</v>
      </c>
      <c r="C1744" t="s">
        <v>16</v>
      </c>
      <c r="D1744" t="s">
        <v>17</v>
      </c>
      <c r="E1744" t="s">
        <v>18</v>
      </c>
      <c r="F1744" t="s">
        <v>19</v>
      </c>
      <c r="G1744" t="s">
        <v>20</v>
      </c>
      <c r="H1744" t="s">
        <v>20</v>
      </c>
      <c r="I1744" t="s">
        <v>20</v>
      </c>
      <c r="J1744" t="s">
        <v>29</v>
      </c>
      <c r="K1744">
        <v>1</v>
      </c>
      <c r="L1744">
        <v>152.933333333333</v>
      </c>
      <c r="M1744" t="s">
        <v>30</v>
      </c>
      <c r="N1744" t="str">
        <f>_xlfn.XLOOKUP(A1744,[1]!brca_metabric_clinical_data__2[Patient ID], [1]!brca_metabric_clinical_data__2[Tumor Size])</f>
        <v>60</v>
      </c>
      <c r="O1744" t="str">
        <f>_xlfn.XLOOKUP(A1744,[1]!brca_metabric_clinical_data__2[Sample ID],[1]!brca_metabric_clinical_data__2[Tumor Stage])</f>
        <v>NA</v>
      </c>
    </row>
    <row r="1745" spans="1:15" x14ac:dyDescent="0.45">
      <c r="A1745" t="s">
        <v>1780</v>
      </c>
      <c r="B1745">
        <v>63.2</v>
      </c>
      <c r="C1745" t="s">
        <v>16</v>
      </c>
      <c r="D1745" t="s">
        <v>17</v>
      </c>
      <c r="E1745" t="s">
        <v>18</v>
      </c>
      <c r="F1745" t="s">
        <v>19</v>
      </c>
      <c r="G1745" t="s">
        <v>20</v>
      </c>
      <c r="H1745" t="s">
        <v>20</v>
      </c>
      <c r="I1745" t="s">
        <v>21</v>
      </c>
      <c r="J1745" t="s">
        <v>29</v>
      </c>
      <c r="K1745">
        <v>8</v>
      </c>
      <c r="L1745">
        <v>281.5</v>
      </c>
      <c r="M1745" t="s">
        <v>24</v>
      </c>
      <c r="N1745" t="str">
        <f>_xlfn.XLOOKUP(A1745,[1]!brca_metabric_clinical_data__2[Patient ID], [1]!brca_metabric_clinical_data__2[Tumor Size])</f>
        <v>22</v>
      </c>
      <c r="O1745" t="str">
        <f>_xlfn.XLOOKUP(A1745,[1]!brca_metabric_clinical_data__2[Sample ID],[1]!brca_metabric_clinical_data__2[Tumor Stage])</f>
        <v>2</v>
      </c>
    </row>
    <row r="1746" spans="1:15" x14ac:dyDescent="0.45">
      <c r="A1746" t="s">
        <v>1781</v>
      </c>
      <c r="B1746">
        <v>57.77</v>
      </c>
      <c r="C1746" t="s">
        <v>16</v>
      </c>
      <c r="D1746" t="s">
        <v>17</v>
      </c>
      <c r="E1746" t="s">
        <v>18</v>
      </c>
      <c r="F1746" t="s">
        <v>43</v>
      </c>
      <c r="G1746" t="s">
        <v>20</v>
      </c>
      <c r="H1746" t="s">
        <v>20</v>
      </c>
      <c r="I1746" t="s">
        <v>20</v>
      </c>
      <c r="J1746" t="s">
        <v>45</v>
      </c>
      <c r="K1746">
        <v>5</v>
      </c>
      <c r="L1746">
        <v>37.866666666666703</v>
      </c>
      <c r="M1746" t="s">
        <v>30</v>
      </c>
      <c r="N1746" t="str">
        <f>_xlfn.XLOOKUP(A1746,[1]!brca_metabric_clinical_data__2[Patient ID], [1]!brca_metabric_clinical_data__2[Tumor Size])</f>
        <v>25</v>
      </c>
      <c r="O1746" t="str">
        <f>_xlfn.XLOOKUP(A1746,[1]!brca_metabric_clinical_data__2[Sample ID],[1]!brca_metabric_clinical_data__2[Tumor Stage])</f>
        <v>NA</v>
      </c>
    </row>
    <row r="1747" spans="1:15" x14ac:dyDescent="0.45">
      <c r="A1747" t="s">
        <v>1782</v>
      </c>
      <c r="B1747">
        <v>73.42</v>
      </c>
      <c r="C1747" t="s">
        <v>16</v>
      </c>
      <c r="D1747" t="s">
        <v>17</v>
      </c>
      <c r="E1747" t="s">
        <v>18</v>
      </c>
      <c r="F1747" t="s">
        <v>19</v>
      </c>
      <c r="G1747" t="s">
        <v>20</v>
      </c>
      <c r="H1747" t="s">
        <v>20</v>
      </c>
      <c r="I1747" t="s">
        <v>20</v>
      </c>
      <c r="J1747" t="s">
        <v>45</v>
      </c>
      <c r="K1747">
        <v>6</v>
      </c>
      <c r="L1747">
        <v>85.033333333333303</v>
      </c>
      <c r="M1747" t="s">
        <v>30</v>
      </c>
      <c r="N1747" t="str">
        <f>_xlfn.XLOOKUP(A1747,[1]!brca_metabric_clinical_data__2[Patient ID], [1]!brca_metabric_clinical_data__2[Tumor Size])</f>
        <v>22</v>
      </c>
      <c r="O1747" t="str">
        <f>_xlfn.XLOOKUP(A1747,[1]!brca_metabric_clinical_data__2[Sample ID],[1]!brca_metabric_clinical_data__2[Tumor Stage])</f>
        <v>NA</v>
      </c>
    </row>
    <row r="1748" spans="1:15" x14ac:dyDescent="0.45">
      <c r="A1748" t="s">
        <v>1783</v>
      </c>
      <c r="B1748">
        <v>60.77</v>
      </c>
      <c r="C1748" t="s">
        <v>16</v>
      </c>
      <c r="D1748" t="s">
        <v>17</v>
      </c>
      <c r="E1748" t="s">
        <v>37</v>
      </c>
      <c r="F1748" t="s">
        <v>43</v>
      </c>
      <c r="G1748" t="s">
        <v>21</v>
      </c>
      <c r="H1748" t="s">
        <v>20</v>
      </c>
      <c r="I1748" t="s">
        <v>21</v>
      </c>
      <c r="J1748" t="s">
        <v>58</v>
      </c>
      <c r="K1748">
        <v>5</v>
      </c>
      <c r="L1748">
        <v>16.7</v>
      </c>
      <c r="M1748" t="s">
        <v>30</v>
      </c>
      <c r="N1748" t="str">
        <f>_xlfn.XLOOKUP(A1748,[1]!brca_metabric_clinical_data__2[Patient ID], [1]!brca_metabric_clinical_data__2[Tumor Size])</f>
        <v>25</v>
      </c>
      <c r="O1748" t="str">
        <f>_xlfn.XLOOKUP(A1748,[1]!brca_metabric_clinical_data__2[Sample ID],[1]!brca_metabric_clinical_data__2[Tumor Stage])</f>
        <v>NA</v>
      </c>
    </row>
    <row r="1749" spans="1:15" x14ac:dyDescent="0.45">
      <c r="A1749" t="s">
        <v>1784</v>
      </c>
      <c r="B1749">
        <v>69.28</v>
      </c>
      <c r="C1749" t="s">
        <v>16</v>
      </c>
      <c r="D1749" t="s">
        <v>17</v>
      </c>
      <c r="E1749" t="s">
        <v>18</v>
      </c>
      <c r="F1749" t="s">
        <v>43</v>
      </c>
      <c r="G1749" t="s">
        <v>20</v>
      </c>
      <c r="H1749" t="s">
        <v>21</v>
      </c>
      <c r="I1749" t="s">
        <v>20</v>
      </c>
      <c r="J1749" t="s">
        <v>29</v>
      </c>
      <c r="K1749">
        <v>1</v>
      </c>
      <c r="L1749">
        <v>97.4</v>
      </c>
      <c r="M1749" t="s">
        <v>24</v>
      </c>
      <c r="N1749" t="str">
        <f>_xlfn.XLOOKUP(A1749,[1]!brca_metabric_clinical_data__2[Patient ID], [1]!brca_metabric_clinical_data__2[Tumor Size])</f>
        <v>11</v>
      </c>
      <c r="O1749" t="str">
        <f>_xlfn.XLOOKUP(A1749,[1]!brca_metabric_clinical_data__2[Sample ID],[1]!brca_metabric_clinical_data__2[Tumor Stage])</f>
        <v>NA</v>
      </c>
    </row>
    <row r="1750" spans="1:15" x14ac:dyDescent="0.45">
      <c r="A1750" t="s">
        <v>1785</v>
      </c>
      <c r="B1750">
        <v>72.709999999999994</v>
      </c>
      <c r="C1750" t="s">
        <v>16</v>
      </c>
      <c r="D1750" t="s">
        <v>17</v>
      </c>
      <c r="E1750" t="s">
        <v>18</v>
      </c>
      <c r="F1750" t="s">
        <v>43</v>
      </c>
      <c r="G1750" t="s">
        <v>20</v>
      </c>
      <c r="H1750" t="s">
        <v>21</v>
      </c>
      <c r="I1750" t="s">
        <v>21</v>
      </c>
      <c r="J1750" t="s">
        <v>27</v>
      </c>
      <c r="K1750">
        <v>5</v>
      </c>
      <c r="L1750">
        <v>102.7</v>
      </c>
      <c r="M1750" t="s">
        <v>24</v>
      </c>
      <c r="N1750" t="str">
        <f>_xlfn.XLOOKUP(A1750,[1]!brca_metabric_clinical_data__2[Patient ID], [1]!brca_metabric_clinical_data__2[Tumor Size])</f>
        <v>10</v>
      </c>
      <c r="O1750" t="str">
        <f>_xlfn.XLOOKUP(A1750,[1]!brca_metabric_clinical_data__2[Sample ID],[1]!brca_metabric_clinical_data__2[Tumor Stage])</f>
        <v>NA</v>
      </c>
    </row>
    <row r="1751" spans="1:15" x14ac:dyDescent="0.45">
      <c r="A1751" t="s">
        <v>1786</v>
      </c>
      <c r="B1751">
        <v>74.52</v>
      </c>
      <c r="C1751" t="s">
        <v>16</v>
      </c>
      <c r="D1751" t="s">
        <v>17</v>
      </c>
      <c r="E1751" t="s">
        <v>18</v>
      </c>
      <c r="F1751" t="s">
        <v>35</v>
      </c>
      <c r="G1751" t="s">
        <v>20</v>
      </c>
      <c r="H1751" t="s">
        <v>21</v>
      </c>
      <c r="I1751" t="s">
        <v>20</v>
      </c>
      <c r="J1751" t="s">
        <v>29</v>
      </c>
      <c r="K1751" t="s">
        <v>23</v>
      </c>
      <c r="L1751">
        <v>57.933333333333302</v>
      </c>
      <c r="M1751" t="s">
        <v>24</v>
      </c>
      <c r="N1751" t="str">
        <f>_xlfn.XLOOKUP(A1751,[1]!brca_metabric_clinical_data__2[Patient ID], [1]!brca_metabric_clinical_data__2[Tumor Size])</f>
        <v>16</v>
      </c>
      <c r="O1751" t="str">
        <f>_xlfn.XLOOKUP(A1751,[1]!brca_metabric_clinical_data__2[Sample ID],[1]!brca_metabric_clinical_data__2[Tumor Stage])</f>
        <v>NA</v>
      </c>
    </row>
    <row r="1752" spans="1:15" x14ac:dyDescent="0.45">
      <c r="A1752" t="s">
        <v>1787</v>
      </c>
      <c r="B1752">
        <v>50.44</v>
      </c>
      <c r="C1752" t="s">
        <v>16</v>
      </c>
      <c r="D1752" t="s">
        <v>17</v>
      </c>
      <c r="E1752" t="s">
        <v>18</v>
      </c>
      <c r="F1752" t="s">
        <v>19</v>
      </c>
      <c r="G1752" t="s">
        <v>20</v>
      </c>
      <c r="H1752" t="s">
        <v>21</v>
      </c>
      <c r="I1752" t="s">
        <v>20</v>
      </c>
      <c r="J1752" t="s">
        <v>38</v>
      </c>
      <c r="K1752">
        <v>3</v>
      </c>
      <c r="L1752">
        <v>91.233333333333306</v>
      </c>
      <c r="M1752" t="s">
        <v>30</v>
      </c>
      <c r="N1752" t="str">
        <f>_xlfn.XLOOKUP(A1752,[1]!brca_metabric_clinical_data__2[Patient ID], [1]!brca_metabric_clinical_data__2[Tumor Size])</f>
        <v>27</v>
      </c>
      <c r="O1752" t="str">
        <f>_xlfn.XLOOKUP(A1752,[1]!brca_metabric_clinical_data__2[Sample ID],[1]!brca_metabric_clinical_data__2[Tumor Stage])</f>
        <v>NA</v>
      </c>
    </row>
    <row r="1753" spans="1:15" x14ac:dyDescent="0.45">
      <c r="A1753" t="s">
        <v>1788</v>
      </c>
      <c r="B1753">
        <v>74.2</v>
      </c>
      <c r="C1753" t="s">
        <v>16</v>
      </c>
      <c r="D1753" t="s">
        <v>17</v>
      </c>
      <c r="E1753" t="s">
        <v>18</v>
      </c>
      <c r="F1753" t="s">
        <v>19</v>
      </c>
      <c r="G1753" t="s">
        <v>20</v>
      </c>
      <c r="H1753" t="s">
        <v>21</v>
      </c>
      <c r="I1753" t="s">
        <v>21</v>
      </c>
      <c r="J1753" t="s">
        <v>27</v>
      </c>
      <c r="K1753">
        <v>8</v>
      </c>
      <c r="L1753">
        <v>50.466666666666697</v>
      </c>
      <c r="M1753" t="s">
        <v>24</v>
      </c>
      <c r="N1753" t="str">
        <f>_xlfn.XLOOKUP(A1753,[1]!brca_metabric_clinical_data__2[Patient ID], [1]!brca_metabric_clinical_data__2[Tumor Size])</f>
        <v>30</v>
      </c>
      <c r="O1753" t="str">
        <f>_xlfn.XLOOKUP(A1753,[1]!brca_metabric_clinical_data__2[Sample ID],[1]!brca_metabric_clinical_data__2[Tumor Stage])</f>
        <v>NA</v>
      </c>
    </row>
    <row r="1754" spans="1:15" x14ac:dyDescent="0.45">
      <c r="A1754" t="s">
        <v>1789</v>
      </c>
      <c r="B1754">
        <v>70.84</v>
      </c>
      <c r="C1754" t="s">
        <v>16</v>
      </c>
      <c r="D1754" t="s">
        <v>17</v>
      </c>
      <c r="E1754" t="s">
        <v>18</v>
      </c>
      <c r="F1754" t="s">
        <v>19</v>
      </c>
      <c r="G1754" t="s">
        <v>20</v>
      </c>
      <c r="H1754" t="s">
        <v>21</v>
      </c>
      <c r="I1754" t="s">
        <v>21</v>
      </c>
      <c r="J1754" t="s">
        <v>29</v>
      </c>
      <c r="K1754">
        <v>8</v>
      </c>
      <c r="L1754">
        <v>45.3333333333333</v>
      </c>
      <c r="M1754" t="s">
        <v>24</v>
      </c>
      <c r="N1754" t="str">
        <f>_xlfn.XLOOKUP(A1754,[1]!brca_metabric_clinical_data__2[Patient ID], [1]!brca_metabric_clinical_data__2[Tumor Size])</f>
        <v>26</v>
      </c>
      <c r="O1754" t="str">
        <f>_xlfn.XLOOKUP(A1754,[1]!brca_metabric_clinical_data__2[Sample ID],[1]!brca_metabric_clinical_data__2[Tumor Stage])</f>
        <v>NA</v>
      </c>
    </row>
    <row r="1755" spans="1:15" x14ac:dyDescent="0.45">
      <c r="A1755" t="s">
        <v>1790</v>
      </c>
      <c r="B1755">
        <v>58.8</v>
      </c>
      <c r="C1755" t="s">
        <v>16</v>
      </c>
      <c r="D1755" t="s">
        <v>17</v>
      </c>
      <c r="E1755" t="s">
        <v>18</v>
      </c>
      <c r="F1755" t="s">
        <v>19</v>
      </c>
      <c r="G1755" t="s">
        <v>20</v>
      </c>
      <c r="H1755" t="s">
        <v>21</v>
      </c>
      <c r="I1755" t="s">
        <v>21</v>
      </c>
      <c r="J1755" t="s">
        <v>27</v>
      </c>
      <c r="K1755">
        <v>3</v>
      </c>
      <c r="L1755">
        <v>109.933333333333</v>
      </c>
      <c r="M1755" t="s">
        <v>24</v>
      </c>
      <c r="N1755" t="str">
        <f>_xlfn.XLOOKUP(A1755,[1]!brca_metabric_clinical_data__2[Patient ID], [1]!brca_metabric_clinical_data__2[Tumor Size])</f>
        <v>19</v>
      </c>
      <c r="O1755" t="str">
        <f>_xlfn.XLOOKUP(A1755,[1]!brca_metabric_clinical_data__2[Sample ID],[1]!brca_metabric_clinical_data__2[Tumor Stage])</f>
        <v>NA</v>
      </c>
    </row>
    <row r="1756" spans="1:15" x14ac:dyDescent="0.45">
      <c r="A1756" t="s">
        <v>1791</v>
      </c>
      <c r="B1756">
        <v>54.44</v>
      </c>
      <c r="C1756" t="s">
        <v>16</v>
      </c>
      <c r="D1756" t="s">
        <v>17</v>
      </c>
      <c r="E1756" t="s">
        <v>37</v>
      </c>
      <c r="F1756" t="s">
        <v>43</v>
      </c>
      <c r="G1756" t="s">
        <v>21</v>
      </c>
      <c r="H1756" t="s">
        <v>20</v>
      </c>
      <c r="I1756" t="s">
        <v>21</v>
      </c>
      <c r="J1756" t="s">
        <v>58</v>
      </c>
      <c r="K1756">
        <v>10</v>
      </c>
      <c r="L1756">
        <v>58.6</v>
      </c>
      <c r="M1756" t="s">
        <v>24</v>
      </c>
      <c r="N1756" t="str">
        <f>_xlfn.XLOOKUP(A1756,[1]!brca_metabric_clinical_data__2[Patient ID], [1]!brca_metabric_clinical_data__2[Tumor Size])</f>
        <v>17</v>
      </c>
      <c r="O1756" t="str">
        <f>_xlfn.XLOOKUP(A1756,[1]!brca_metabric_clinical_data__2[Sample ID],[1]!brca_metabric_clinical_data__2[Tumor Stage])</f>
        <v>NA</v>
      </c>
    </row>
    <row r="1757" spans="1:15" x14ac:dyDescent="0.45">
      <c r="A1757" t="s">
        <v>1792</v>
      </c>
      <c r="B1757">
        <v>69.94</v>
      </c>
      <c r="C1757" t="s">
        <v>16</v>
      </c>
      <c r="D1757" t="s">
        <v>17</v>
      </c>
      <c r="E1757" t="s">
        <v>37</v>
      </c>
      <c r="F1757" t="s">
        <v>19</v>
      </c>
      <c r="G1757" t="s">
        <v>20</v>
      </c>
      <c r="H1757" t="s">
        <v>20</v>
      </c>
      <c r="I1757" t="s">
        <v>20</v>
      </c>
      <c r="J1757" t="s">
        <v>22</v>
      </c>
      <c r="K1757" t="s">
        <v>39</v>
      </c>
      <c r="L1757">
        <v>50.9</v>
      </c>
      <c r="M1757" t="s">
        <v>30</v>
      </c>
      <c r="N1757" t="str">
        <f>_xlfn.XLOOKUP(A1757,[1]!brca_metabric_clinical_data__2[Patient ID], [1]!brca_metabric_clinical_data__2[Tumor Size])</f>
        <v>24</v>
      </c>
      <c r="O1757" t="str">
        <f>_xlfn.XLOOKUP(A1757,[1]!brca_metabric_clinical_data__2[Sample ID],[1]!brca_metabric_clinical_data__2[Tumor Stage])</f>
        <v>NA</v>
      </c>
    </row>
    <row r="1758" spans="1:15" x14ac:dyDescent="0.45">
      <c r="A1758" t="s">
        <v>1793</v>
      </c>
      <c r="B1758">
        <v>68.28</v>
      </c>
      <c r="C1758" t="s">
        <v>16</v>
      </c>
      <c r="D1758" t="s">
        <v>17</v>
      </c>
      <c r="E1758" t="s">
        <v>37</v>
      </c>
      <c r="F1758" t="s">
        <v>19</v>
      </c>
      <c r="G1758" t="s">
        <v>21</v>
      </c>
      <c r="H1758" t="s">
        <v>20</v>
      </c>
      <c r="I1758" t="s">
        <v>21</v>
      </c>
      <c r="J1758" t="s">
        <v>58</v>
      </c>
      <c r="K1758">
        <v>10</v>
      </c>
      <c r="L1758">
        <v>54.766666666666701</v>
      </c>
      <c r="M1758" t="s">
        <v>30</v>
      </c>
      <c r="N1758" t="str">
        <f>_xlfn.XLOOKUP(A1758,[1]!brca_metabric_clinical_data__2[Patient ID], [1]!brca_metabric_clinical_data__2[Tumor Size])</f>
        <v>27</v>
      </c>
      <c r="O1758" t="str">
        <f>_xlfn.XLOOKUP(A1758,[1]!brca_metabric_clinical_data__2[Sample ID],[1]!brca_metabric_clinical_data__2[Tumor Stage])</f>
        <v>NA</v>
      </c>
    </row>
    <row r="1759" spans="1:15" x14ac:dyDescent="0.45">
      <c r="A1759" t="s">
        <v>1794</v>
      </c>
      <c r="B1759">
        <v>70.25</v>
      </c>
      <c r="C1759" t="s">
        <v>16</v>
      </c>
      <c r="D1759" t="s">
        <v>17</v>
      </c>
      <c r="E1759" t="s">
        <v>18</v>
      </c>
      <c r="F1759" t="s">
        <v>19</v>
      </c>
      <c r="G1759" t="s">
        <v>20</v>
      </c>
      <c r="H1759" t="s">
        <v>21</v>
      </c>
      <c r="I1759" t="s">
        <v>20</v>
      </c>
      <c r="J1759" t="s">
        <v>27</v>
      </c>
      <c r="K1759">
        <v>7</v>
      </c>
      <c r="L1759">
        <v>74.033333333333303</v>
      </c>
      <c r="M1759" t="s">
        <v>24</v>
      </c>
      <c r="N1759" t="str">
        <f>_xlfn.XLOOKUP(A1759,[1]!brca_metabric_clinical_data__2[Patient ID], [1]!brca_metabric_clinical_data__2[Tumor Size])</f>
        <v>23</v>
      </c>
      <c r="O1759" t="str">
        <f>_xlfn.XLOOKUP(A1759,[1]!brca_metabric_clinical_data__2[Sample ID],[1]!brca_metabric_clinical_data__2[Tumor Stage])</f>
        <v>NA</v>
      </c>
    </row>
    <row r="1760" spans="1:15" x14ac:dyDescent="0.45">
      <c r="A1760" t="s">
        <v>1795</v>
      </c>
      <c r="B1760">
        <v>68.900000000000006</v>
      </c>
      <c r="C1760" t="s">
        <v>16</v>
      </c>
      <c r="D1760" t="s">
        <v>17</v>
      </c>
      <c r="E1760" t="s">
        <v>18</v>
      </c>
      <c r="F1760" t="s">
        <v>43</v>
      </c>
      <c r="G1760" t="s">
        <v>20</v>
      </c>
      <c r="H1760" t="s">
        <v>21</v>
      </c>
      <c r="I1760" t="s">
        <v>21</v>
      </c>
      <c r="J1760" t="s">
        <v>29</v>
      </c>
      <c r="K1760">
        <v>9</v>
      </c>
      <c r="L1760">
        <v>70.066666666666706</v>
      </c>
      <c r="M1760" t="s">
        <v>30</v>
      </c>
      <c r="N1760" t="str">
        <f>_xlfn.XLOOKUP(A1760,[1]!brca_metabric_clinical_data__2[Patient ID], [1]!brca_metabric_clinical_data__2[Tumor Size])</f>
        <v>40</v>
      </c>
      <c r="O1760" t="str">
        <f>_xlfn.XLOOKUP(A1760,[1]!brca_metabric_clinical_data__2[Sample ID],[1]!brca_metabric_clinical_data__2[Tumor Stage])</f>
        <v>NA</v>
      </c>
    </row>
    <row r="1761" spans="1:15" x14ac:dyDescent="0.45">
      <c r="A1761" t="s">
        <v>1796</v>
      </c>
      <c r="B1761">
        <v>60.96</v>
      </c>
      <c r="C1761" t="s">
        <v>16</v>
      </c>
      <c r="D1761" t="s">
        <v>17</v>
      </c>
      <c r="E1761" t="s">
        <v>37</v>
      </c>
      <c r="F1761" t="s">
        <v>19</v>
      </c>
      <c r="G1761" t="s">
        <v>21</v>
      </c>
      <c r="H1761" t="s">
        <v>20</v>
      </c>
      <c r="I1761" t="s">
        <v>21</v>
      </c>
      <c r="J1761" t="s">
        <v>58</v>
      </c>
      <c r="K1761">
        <v>10</v>
      </c>
      <c r="L1761">
        <v>19.8333333333333</v>
      </c>
      <c r="M1761" t="s">
        <v>30</v>
      </c>
      <c r="N1761" t="str">
        <f>_xlfn.XLOOKUP(A1761,[1]!brca_metabric_clinical_data__2[Patient ID], [1]!brca_metabric_clinical_data__2[Tumor Size])</f>
        <v>20</v>
      </c>
      <c r="O1761" t="str">
        <f>_xlfn.XLOOKUP(A1761,[1]!brca_metabric_clinical_data__2[Sample ID],[1]!brca_metabric_clinical_data__2[Tumor Stage])</f>
        <v>NA</v>
      </c>
    </row>
    <row r="1762" spans="1:15" x14ac:dyDescent="0.45">
      <c r="A1762" t="s">
        <v>1797</v>
      </c>
      <c r="B1762">
        <v>30.53</v>
      </c>
      <c r="C1762" t="s">
        <v>16</v>
      </c>
      <c r="D1762" t="s">
        <v>26</v>
      </c>
      <c r="E1762" t="s">
        <v>18</v>
      </c>
      <c r="F1762" t="s">
        <v>19</v>
      </c>
      <c r="G1762" t="s">
        <v>20</v>
      </c>
      <c r="H1762" t="s">
        <v>21</v>
      </c>
      <c r="I1762" t="s">
        <v>21</v>
      </c>
      <c r="J1762" t="s">
        <v>27</v>
      </c>
      <c r="K1762">
        <v>8</v>
      </c>
      <c r="L1762">
        <v>46.433333333333302</v>
      </c>
      <c r="M1762" t="s">
        <v>24</v>
      </c>
      <c r="N1762" t="str">
        <f>_xlfn.XLOOKUP(A1762,[1]!brca_metabric_clinical_data__2[Patient ID], [1]!brca_metabric_clinical_data__2[Tumor Size])</f>
        <v>18</v>
      </c>
      <c r="O1762" t="str">
        <f>_xlfn.XLOOKUP(A1762,[1]!brca_metabric_clinical_data__2[Sample ID],[1]!brca_metabric_clinical_data__2[Tumor Stage])</f>
        <v>NA</v>
      </c>
    </row>
    <row r="1763" spans="1:15" x14ac:dyDescent="0.45">
      <c r="A1763" t="s">
        <v>1798</v>
      </c>
      <c r="B1763">
        <v>67.569999999999993</v>
      </c>
      <c r="C1763" t="s">
        <v>16</v>
      </c>
      <c r="D1763" t="s">
        <v>17</v>
      </c>
      <c r="E1763" t="s">
        <v>18</v>
      </c>
      <c r="F1763" t="s">
        <v>19</v>
      </c>
      <c r="G1763" t="s">
        <v>20</v>
      </c>
      <c r="H1763" t="s">
        <v>21</v>
      </c>
      <c r="I1763" t="s">
        <v>21</v>
      </c>
      <c r="J1763" t="s">
        <v>58</v>
      </c>
      <c r="K1763">
        <v>1</v>
      </c>
      <c r="L1763">
        <v>68.7</v>
      </c>
      <c r="M1763" t="s">
        <v>24</v>
      </c>
      <c r="N1763" t="str">
        <f>_xlfn.XLOOKUP(A1763,[1]!brca_metabric_clinical_data__2[Patient ID], [1]!brca_metabric_clinical_data__2[Tumor Size])</f>
        <v>19</v>
      </c>
      <c r="O1763" t="str">
        <f>_xlfn.XLOOKUP(A1763,[1]!brca_metabric_clinical_data__2[Sample ID],[1]!brca_metabric_clinical_data__2[Tumor Stage])</f>
        <v>NA</v>
      </c>
    </row>
    <row r="1764" spans="1:15" x14ac:dyDescent="0.45">
      <c r="A1764" t="s">
        <v>1799</v>
      </c>
      <c r="B1764">
        <v>63.79</v>
      </c>
      <c r="C1764" t="s">
        <v>16</v>
      </c>
      <c r="D1764" t="s">
        <v>17</v>
      </c>
      <c r="E1764" t="s">
        <v>18</v>
      </c>
      <c r="F1764" t="s">
        <v>19</v>
      </c>
      <c r="G1764" t="s">
        <v>20</v>
      </c>
      <c r="H1764" t="s">
        <v>21</v>
      </c>
      <c r="I1764" t="s">
        <v>21</v>
      </c>
      <c r="J1764" t="s">
        <v>29</v>
      </c>
      <c r="K1764">
        <v>8</v>
      </c>
      <c r="L1764">
        <v>78.1666666666667</v>
      </c>
      <c r="M1764" t="s">
        <v>24</v>
      </c>
      <c r="N1764" t="str">
        <f>_xlfn.XLOOKUP(A1764,[1]!brca_metabric_clinical_data__2[Patient ID], [1]!brca_metabric_clinical_data__2[Tumor Size])</f>
        <v>25</v>
      </c>
      <c r="O1764" t="str">
        <f>_xlfn.XLOOKUP(A1764,[1]!brca_metabric_clinical_data__2[Sample ID],[1]!brca_metabric_clinical_data__2[Tumor Stage])</f>
        <v>NA</v>
      </c>
    </row>
    <row r="1765" spans="1:15" x14ac:dyDescent="0.45">
      <c r="A1765" t="s">
        <v>1800</v>
      </c>
      <c r="B1765">
        <v>36.630000000000003</v>
      </c>
      <c r="C1765" t="s">
        <v>16</v>
      </c>
      <c r="D1765" t="s">
        <v>26</v>
      </c>
      <c r="E1765" t="s">
        <v>37</v>
      </c>
      <c r="F1765" t="s">
        <v>19</v>
      </c>
      <c r="G1765" t="s">
        <v>21</v>
      </c>
      <c r="H1765" t="s">
        <v>20</v>
      </c>
      <c r="I1765" t="s">
        <v>21</v>
      </c>
      <c r="J1765" t="s">
        <v>22</v>
      </c>
      <c r="K1765">
        <v>10</v>
      </c>
      <c r="L1765">
        <v>135.333333333333</v>
      </c>
      <c r="M1765" t="s">
        <v>24</v>
      </c>
      <c r="N1765" t="str">
        <f>_xlfn.XLOOKUP(A1765,[1]!brca_metabric_clinical_data__2[Patient ID], [1]!brca_metabric_clinical_data__2[Tumor Size])</f>
        <v>27</v>
      </c>
      <c r="O1765" t="str">
        <f>_xlfn.XLOOKUP(A1765,[1]!brca_metabric_clinical_data__2[Sample ID],[1]!brca_metabric_clinical_data__2[Tumor Stage])</f>
        <v>NA</v>
      </c>
    </row>
    <row r="1766" spans="1:15" x14ac:dyDescent="0.45">
      <c r="A1766" t="s">
        <v>1801</v>
      </c>
      <c r="B1766">
        <v>72.12</v>
      </c>
      <c r="C1766" t="s">
        <v>16</v>
      </c>
      <c r="D1766" t="s">
        <v>17</v>
      </c>
      <c r="E1766" t="s">
        <v>37</v>
      </c>
      <c r="F1766" t="s">
        <v>19</v>
      </c>
      <c r="G1766" t="s">
        <v>21</v>
      </c>
      <c r="H1766" t="s">
        <v>20</v>
      </c>
      <c r="I1766" t="s">
        <v>21</v>
      </c>
      <c r="J1766" t="s">
        <v>45</v>
      </c>
      <c r="K1766">
        <v>9</v>
      </c>
      <c r="L1766">
        <v>86.533333333333303</v>
      </c>
      <c r="M1766" t="s">
        <v>30</v>
      </c>
      <c r="N1766" t="str">
        <f>_xlfn.XLOOKUP(A1766,[1]!brca_metabric_clinical_data__2[Patient ID], [1]!brca_metabric_clinical_data__2[Tumor Size])</f>
        <v>40</v>
      </c>
      <c r="O1766" t="str">
        <f>_xlfn.XLOOKUP(A1766,[1]!brca_metabric_clinical_data__2[Sample ID],[1]!brca_metabric_clinical_data__2[Tumor Stage])</f>
        <v>NA</v>
      </c>
    </row>
    <row r="1767" spans="1:15" x14ac:dyDescent="0.45">
      <c r="A1767" t="s">
        <v>1802</v>
      </c>
      <c r="B1767">
        <v>68.44</v>
      </c>
      <c r="C1767" t="s">
        <v>16</v>
      </c>
      <c r="D1767" t="s">
        <v>17</v>
      </c>
      <c r="E1767" t="s">
        <v>18</v>
      </c>
      <c r="F1767" t="s">
        <v>19</v>
      </c>
      <c r="G1767" t="s">
        <v>20</v>
      </c>
      <c r="H1767" t="s">
        <v>21</v>
      </c>
      <c r="I1767" t="s">
        <v>20</v>
      </c>
      <c r="J1767" t="s">
        <v>29</v>
      </c>
      <c r="K1767">
        <v>3</v>
      </c>
      <c r="L1767">
        <v>80.733333333333306</v>
      </c>
      <c r="M1767" t="s">
        <v>30</v>
      </c>
      <c r="N1767" t="str">
        <f>_xlfn.XLOOKUP(A1767,[1]!brca_metabric_clinical_data__2[Patient ID], [1]!brca_metabric_clinical_data__2[Tumor Size])</f>
        <v>21</v>
      </c>
      <c r="O1767" t="str">
        <f>_xlfn.XLOOKUP(A1767,[1]!brca_metabric_clinical_data__2[Sample ID],[1]!brca_metabric_clinical_data__2[Tumor Stage])</f>
        <v>NA</v>
      </c>
    </row>
    <row r="1768" spans="1:15" x14ac:dyDescent="0.45">
      <c r="A1768" t="s">
        <v>1803</v>
      </c>
      <c r="B1768">
        <v>44.47</v>
      </c>
      <c r="C1768" t="s">
        <v>16</v>
      </c>
      <c r="D1768" t="s">
        <v>26</v>
      </c>
      <c r="E1768" t="s">
        <v>37</v>
      </c>
      <c r="F1768" t="s">
        <v>43</v>
      </c>
      <c r="G1768" t="s">
        <v>21</v>
      </c>
      <c r="H1768" t="s">
        <v>20</v>
      </c>
      <c r="I1768" t="s">
        <v>20</v>
      </c>
      <c r="J1768" t="s">
        <v>45</v>
      </c>
      <c r="K1768">
        <v>5</v>
      </c>
      <c r="L1768">
        <v>71.633333333333297</v>
      </c>
      <c r="M1768" t="s">
        <v>30</v>
      </c>
      <c r="N1768" t="str">
        <f>_xlfn.XLOOKUP(A1768,[1]!brca_metabric_clinical_data__2[Patient ID], [1]!brca_metabric_clinical_data__2[Tumor Size])</f>
        <v>27</v>
      </c>
      <c r="O1768" t="str">
        <f>_xlfn.XLOOKUP(A1768,[1]!brca_metabric_clinical_data__2[Sample ID],[1]!brca_metabric_clinical_data__2[Tumor Stage])</f>
        <v>NA</v>
      </c>
    </row>
    <row r="1769" spans="1:15" x14ac:dyDescent="0.45">
      <c r="A1769" t="s">
        <v>1804</v>
      </c>
      <c r="B1769">
        <v>70.61</v>
      </c>
      <c r="C1769" t="s">
        <v>16</v>
      </c>
      <c r="D1769" t="s">
        <v>17</v>
      </c>
      <c r="E1769" t="s">
        <v>18</v>
      </c>
      <c r="F1769" t="s">
        <v>19</v>
      </c>
      <c r="G1769" t="s">
        <v>20</v>
      </c>
      <c r="H1769" t="s">
        <v>21</v>
      </c>
      <c r="I1769" t="s">
        <v>20</v>
      </c>
      <c r="J1769" t="s">
        <v>29</v>
      </c>
      <c r="K1769">
        <v>8</v>
      </c>
      <c r="L1769">
        <v>85.5</v>
      </c>
      <c r="M1769" t="s">
        <v>24</v>
      </c>
      <c r="N1769" t="str">
        <f>_xlfn.XLOOKUP(A1769,[1]!brca_metabric_clinical_data__2[Patient ID], [1]!brca_metabric_clinical_data__2[Tumor Size])</f>
        <v>34</v>
      </c>
      <c r="O1769" t="str">
        <f>_xlfn.XLOOKUP(A1769,[1]!brca_metabric_clinical_data__2[Sample ID],[1]!brca_metabric_clinical_data__2[Tumor Stage])</f>
        <v>NA</v>
      </c>
    </row>
    <row r="1770" spans="1:15" x14ac:dyDescent="0.45">
      <c r="A1770" t="s">
        <v>1805</v>
      </c>
      <c r="B1770">
        <v>66.66</v>
      </c>
      <c r="C1770" t="s">
        <v>16</v>
      </c>
      <c r="D1770" t="s">
        <v>17</v>
      </c>
      <c r="E1770" t="s">
        <v>37</v>
      </c>
      <c r="F1770" t="s">
        <v>19</v>
      </c>
      <c r="G1770" t="s">
        <v>21</v>
      </c>
      <c r="H1770" t="s">
        <v>20</v>
      </c>
      <c r="I1770" t="s">
        <v>21</v>
      </c>
      <c r="J1770" t="s">
        <v>22</v>
      </c>
      <c r="K1770">
        <v>10</v>
      </c>
      <c r="L1770">
        <v>27.966666666666701</v>
      </c>
      <c r="M1770" t="s">
        <v>30</v>
      </c>
      <c r="N1770" t="str">
        <f>_xlfn.XLOOKUP(A1770,[1]!brca_metabric_clinical_data__2[Patient ID], [1]!brca_metabric_clinical_data__2[Tumor Size])</f>
        <v>40</v>
      </c>
      <c r="O1770" t="str">
        <f>_xlfn.XLOOKUP(A1770,[1]!brca_metabric_clinical_data__2[Sample ID],[1]!brca_metabric_clinical_data__2[Tumor Stage])</f>
        <v>NA</v>
      </c>
    </row>
    <row r="1771" spans="1:15" x14ac:dyDescent="0.45">
      <c r="A1771" t="s">
        <v>1806</v>
      </c>
      <c r="B1771">
        <v>54.92</v>
      </c>
      <c r="C1771" t="s">
        <v>16</v>
      </c>
      <c r="D1771" t="s">
        <v>17</v>
      </c>
      <c r="E1771" t="s">
        <v>18</v>
      </c>
      <c r="F1771" t="s">
        <v>19</v>
      </c>
      <c r="G1771" t="s">
        <v>20</v>
      </c>
      <c r="H1771" t="s">
        <v>21</v>
      </c>
      <c r="I1771" t="s">
        <v>20</v>
      </c>
      <c r="J1771" t="s">
        <v>29</v>
      </c>
      <c r="K1771">
        <v>1</v>
      </c>
      <c r="L1771">
        <v>70.266666666666694</v>
      </c>
      <c r="M1771" t="s">
        <v>24</v>
      </c>
      <c r="N1771" t="str">
        <f>_xlfn.XLOOKUP(A1771,[1]!brca_metabric_clinical_data__2[Patient ID], [1]!brca_metabric_clinical_data__2[Tumor Size])</f>
        <v>18</v>
      </c>
      <c r="O1771" t="str">
        <f>_xlfn.XLOOKUP(A1771,[1]!brca_metabric_clinical_data__2[Sample ID],[1]!brca_metabric_clinical_data__2[Tumor Stage])</f>
        <v>NA</v>
      </c>
    </row>
    <row r="1772" spans="1:15" x14ac:dyDescent="0.45">
      <c r="A1772" t="s">
        <v>1807</v>
      </c>
      <c r="B1772">
        <v>65.22</v>
      </c>
      <c r="C1772" t="s">
        <v>16</v>
      </c>
      <c r="D1772" t="s">
        <v>17</v>
      </c>
      <c r="E1772" t="s">
        <v>37</v>
      </c>
      <c r="F1772" t="s">
        <v>19</v>
      </c>
      <c r="G1772" t="s">
        <v>20</v>
      </c>
      <c r="H1772" t="s">
        <v>20</v>
      </c>
      <c r="I1772" t="s">
        <v>21</v>
      </c>
      <c r="J1772" t="s">
        <v>22</v>
      </c>
      <c r="K1772" t="s">
        <v>39</v>
      </c>
      <c r="L1772">
        <v>80.233333333333306</v>
      </c>
      <c r="M1772" t="s">
        <v>24</v>
      </c>
      <c r="N1772" t="str">
        <f>_xlfn.XLOOKUP(A1772,[1]!brca_metabric_clinical_data__2[Patient ID], [1]!brca_metabric_clinical_data__2[Tumor Size])</f>
        <v>13</v>
      </c>
      <c r="O1772" t="str">
        <f>_xlfn.XLOOKUP(A1772,[1]!brca_metabric_clinical_data__2[Sample ID],[1]!brca_metabric_clinical_data__2[Tumor Stage])</f>
        <v>NA</v>
      </c>
    </row>
    <row r="1773" spans="1:15" x14ac:dyDescent="0.45">
      <c r="A1773" t="s">
        <v>1808</v>
      </c>
      <c r="B1773">
        <v>35.270000000000003</v>
      </c>
      <c r="C1773" t="s">
        <v>16</v>
      </c>
      <c r="D1773" t="s">
        <v>26</v>
      </c>
      <c r="E1773" t="s">
        <v>18</v>
      </c>
      <c r="F1773" t="s">
        <v>43</v>
      </c>
      <c r="G1773" t="s">
        <v>20</v>
      </c>
      <c r="H1773" t="s">
        <v>21</v>
      </c>
      <c r="I1773" t="s">
        <v>21</v>
      </c>
      <c r="J1773" t="s">
        <v>29</v>
      </c>
      <c r="K1773">
        <v>3</v>
      </c>
      <c r="L1773">
        <v>111.7</v>
      </c>
      <c r="M1773" t="s">
        <v>30</v>
      </c>
      <c r="N1773" t="str">
        <f>_xlfn.XLOOKUP(A1773,[1]!brca_metabric_clinical_data__2[Patient ID], [1]!brca_metabric_clinical_data__2[Tumor Size])</f>
        <v>26</v>
      </c>
      <c r="O1773" t="str">
        <f>_xlfn.XLOOKUP(A1773,[1]!brca_metabric_clinical_data__2[Sample ID],[1]!brca_metabric_clinical_data__2[Tumor Stage])</f>
        <v>NA</v>
      </c>
    </row>
    <row r="1774" spans="1:15" x14ac:dyDescent="0.45">
      <c r="A1774" t="s">
        <v>1809</v>
      </c>
      <c r="B1774">
        <v>60.56</v>
      </c>
      <c r="C1774" t="s">
        <v>16</v>
      </c>
      <c r="D1774" t="s">
        <v>17</v>
      </c>
      <c r="E1774" t="s">
        <v>37</v>
      </c>
      <c r="F1774" t="s">
        <v>43</v>
      </c>
      <c r="G1774" t="s">
        <v>21</v>
      </c>
      <c r="H1774" t="s">
        <v>20</v>
      </c>
      <c r="I1774" t="s">
        <v>21</v>
      </c>
      <c r="J1774" t="s">
        <v>45</v>
      </c>
      <c r="K1774">
        <v>5</v>
      </c>
      <c r="L1774">
        <v>36.966666666666697</v>
      </c>
      <c r="M1774" t="s">
        <v>30</v>
      </c>
      <c r="N1774" t="str">
        <f>_xlfn.XLOOKUP(A1774,[1]!brca_metabric_clinical_data__2[Patient ID], [1]!brca_metabric_clinical_data__2[Tumor Size])</f>
        <v>15</v>
      </c>
      <c r="O1774" t="str">
        <f>_xlfn.XLOOKUP(A1774,[1]!brca_metabric_clinical_data__2[Sample ID],[1]!brca_metabric_clinical_data__2[Tumor Stage])</f>
        <v>NA</v>
      </c>
    </row>
    <row r="1775" spans="1:15" x14ac:dyDescent="0.45">
      <c r="A1775" t="s">
        <v>1810</v>
      </c>
      <c r="B1775">
        <v>65.94</v>
      </c>
      <c r="C1775" t="s">
        <v>16</v>
      </c>
      <c r="D1775" t="s">
        <v>17</v>
      </c>
      <c r="E1775" t="s">
        <v>18</v>
      </c>
      <c r="F1775" t="s">
        <v>19</v>
      </c>
      <c r="G1775" t="s">
        <v>20</v>
      </c>
      <c r="H1775" t="s">
        <v>21</v>
      </c>
      <c r="I1775" t="s">
        <v>21</v>
      </c>
      <c r="J1775" t="s">
        <v>29</v>
      </c>
      <c r="K1775">
        <v>1</v>
      </c>
      <c r="L1775">
        <v>89.8</v>
      </c>
      <c r="M1775" t="s">
        <v>24</v>
      </c>
      <c r="N1775" t="str">
        <f>_xlfn.XLOOKUP(A1775,[1]!brca_metabric_clinical_data__2[Patient ID], [1]!brca_metabric_clinical_data__2[Tumor Size])</f>
        <v>28</v>
      </c>
      <c r="O1775" t="str">
        <f>_xlfn.XLOOKUP(A1775,[1]!brca_metabric_clinical_data__2[Sample ID],[1]!brca_metabric_clinical_data__2[Tumor Stage])</f>
        <v>NA</v>
      </c>
    </row>
    <row r="1776" spans="1:15" x14ac:dyDescent="0.45">
      <c r="A1776" t="s">
        <v>1811</v>
      </c>
      <c r="B1776">
        <v>43.45</v>
      </c>
      <c r="C1776" t="s">
        <v>16</v>
      </c>
      <c r="D1776" t="s">
        <v>26</v>
      </c>
      <c r="E1776" t="s">
        <v>18</v>
      </c>
      <c r="F1776" t="s">
        <v>35</v>
      </c>
      <c r="G1776" t="s">
        <v>20</v>
      </c>
      <c r="H1776" t="s">
        <v>21</v>
      </c>
      <c r="I1776" t="s">
        <v>21</v>
      </c>
      <c r="J1776" t="s">
        <v>27</v>
      </c>
      <c r="K1776" t="s">
        <v>23</v>
      </c>
      <c r="L1776">
        <v>76.866666666666703</v>
      </c>
      <c r="M1776" t="s">
        <v>24</v>
      </c>
      <c r="N1776" t="str">
        <f>_xlfn.XLOOKUP(A1776,[1]!brca_metabric_clinical_data__2[Patient ID], [1]!brca_metabric_clinical_data__2[Tumor Size])</f>
        <v>23</v>
      </c>
      <c r="O1776" t="str">
        <f>_xlfn.XLOOKUP(A1776,[1]!brca_metabric_clinical_data__2[Sample ID],[1]!brca_metabric_clinical_data__2[Tumor Stage])</f>
        <v>NA</v>
      </c>
    </row>
    <row r="1777" spans="1:15" x14ac:dyDescent="0.45">
      <c r="A1777" t="s">
        <v>1812</v>
      </c>
      <c r="B1777">
        <v>74.209999999999994</v>
      </c>
      <c r="C1777" t="s">
        <v>16</v>
      </c>
      <c r="D1777" t="s">
        <v>17</v>
      </c>
      <c r="E1777" t="s">
        <v>18</v>
      </c>
      <c r="F1777" t="s">
        <v>19</v>
      </c>
      <c r="G1777" t="s">
        <v>20</v>
      </c>
      <c r="H1777" t="s">
        <v>21</v>
      </c>
      <c r="I1777" t="s">
        <v>21</v>
      </c>
      <c r="J1777" t="s">
        <v>58</v>
      </c>
      <c r="K1777" t="s">
        <v>23</v>
      </c>
      <c r="L1777">
        <v>31.3333333333333</v>
      </c>
      <c r="M1777" t="s">
        <v>30</v>
      </c>
      <c r="N1777" t="str">
        <f>_xlfn.XLOOKUP(A1777,[1]!brca_metabric_clinical_data__2[Patient ID], [1]!brca_metabric_clinical_data__2[Tumor Size])</f>
        <v>50</v>
      </c>
      <c r="O1777" t="str">
        <f>_xlfn.XLOOKUP(A1777,[1]!brca_metabric_clinical_data__2[Sample ID],[1]!brca_metabric_clinical_data__2[Tumor Stage])</f>
        <v>NA</v>
      </c>
    </row>
    <row r="1778" spans="1:15" x14ac:dyDescent="0.45">
      <c r="A1778" t="s">
        <v>1813</v>
      </c>
      <c r="B1778">
        <v>60.58</v>
      </c>
      <c r="C1778" t="s">
        <v>16</v>
      </c>
      <c r="D1778" t="s">
        <v>17</v>
      </c>
      <c r="E1778" t="s">
        <v>37</v>
      </c>
      <c r="F1778" t="s">
        <v>19</v>
      </c>
      <c r="G1778" t="s">
        <v>21</v>
      </c>
      <c r="H1778" t="s">
        <v>20</v>
      </c>
      <c r="I1778" t="s">
        <v>21</v>
      </c>
      <c r="J1778" t="s">
        <v>58</v>
      </c>
      <c r="K1778">
        <v>10</v>
      </c>
      <c r="L1778">
        <v>85.366666666666703</v>
      </c>
      <c r="M1778" t="s">
        <v>24</v>
      </c>
      <c r="N1778" t="str">
        <f>_xlfn.XLOOKUP(A1778,[1]!brca_metabric_clinical_data__2[Patient ID], [1]!brca_metabric_clinical_data__2[Tumor Size])</f>
        <v>40</v>
      </c>
      <c r="O1778" t="str">
        <f>_xlfn.XLOOKUP(A1778,[1]!brca_metabric_clinical_data__2[Sample ID],[1]!brca_metabric_clinical_data__2[Tumor Stage])</f>
        <v>NA</v>
      </c>
    </row>
    <row r="1779" spans="1:15" x14ac:dyDescent="0.45">
      <c r="A1779" t="s">
        <v>1814</v>
      </c>
      <c r="B1779">
        <v>79.36</v>
      </c>
      <c r="C1779" t="s">
        <v>16</v>
      </c>
      <c r="D1779" t="s">
        <v>17</v>
      </c>
      <c r="E1779" t="s">
        <v>18</v>
      </c>
      <c r="F1779" t="s">
        <v>19</v>
      </c>
      <c r="G1779" t="s">
        <v>20</v>
      </c>
      <c r="H1779" t="s">
        <v>21</v>
      </c>
      <c r="I1779" t="s">
        <v>20</v>
      </c>
      <c r="J1779" t="s">
        <v>27</v>
      </c>
      <c r="K1779">
        <v>3</v>
      </c>
      <c r="L1779">
        <v>71.466666666666697</v>
      </c>
      <c r="M1779" t="s">
        <v>24</v>
      </c>
      <c r="N1779" t="str">
        <f>_xlfn.XLOOKUP(A1779,[1]!brca_metabric_clinical_data__2[Patient ID], [1]!brca_metabric_clinical_data__2[Tumor Size])</f>
        <v>23</v>
      </c>
      <c r="O1779" t="str">
        <f>_xlfn.XLOOKUP(A1779,[1]!brca_metabric_clinical_data__2[Sample ID],[1]!brca_metabric_clinical_data__2[Tumor Stage])</f>
        <v>NA</v>
      </c>
    </row>
    <row r="1780" spans="1:15" x14ac:dyDescent="0.45">
      <c r="A1780" t="s">
        <v>1815</v>
      </c>
      <c r="B1780">
        <v>78.73</v>
      </c>
      <c r="C1780" t="s">
        <v>16</v>
      </c>
      <c r="D1780" t="s">
        <v>17</v>
      </c>
      <c r="E1780" t="s">
        <v>18</v>
      </c>
      <c r="F1780" t="s">
        <v>19</v>
      </c>
      <c r="G1780" t="s">
        <v>20</v>
      </c>
      <c r="H1780" t="s">
        <v>21</v>
      </c>
      <c r="I1780" t="s">
        <v>20</v>
      </c>
      <c r="J1780" t="s">
        <v>27</v>
      </c>
      <c r="K1780">
        <v>3</v>
      </c>
      <c r="L1780">
        <v>75.099999999999994</v>
      </c>
      <c r="M1780" t="s">
        <v>24</v>
      </c>
      <c r="N1780" t="str">
        <f>_xlfn.XLOOKUP(A1780,[1]!brca_metabric_clinical_data__2[Patient ID], [1]!brca_metabric_clinical_data__2[Tumor Size])</f>
        <v>43</v>
      </c>
      <c r="O1780" t="str">
        <f>_xlfn.XLOOKUP(A1780,[1]!brca_metabric_clinical_data__2[Sample ID],[1]!brca_metabric_clinical_data__2[Tumor Stage])</f>
        <v>NA</v>
      </c>
    </row>
    <row r="1781" spans="1:15" x14ac:dyDescent="0.45">
      <c r="A1781" t="s">
        <v>1816</v>
      </c>
      <c r="B1781">
        <v>45.3</v>
      </c>
      <c r="C1781" t="s">
        <v>16</v>
      </c>
      <c r="D1781" t="s">
        <v>26</v>
      </c>
      <c r="E1781" t="s">
        <v>37</v>
      </c>
      <c r="F1781" t="s">
        <v>43</v>
      </c>
      <c r="G1781" t="s">
        <v>21</v>
      </c>
      <c r="H1781" t="s">
        <v>20</v>
      </c>
      <c r="I1781" t="s">
        <v>21</v>
      </c>
      <c r="J1781" t="s">
        <v>45</v>
      </c>
      <c r="K1781">
        <v>5</v>
      </c>
      <c r="L1781">
        <v>32.066666666666698</v>
      </c>
      <c r="M1781" t="s">
        <v>30</v>
      </c>
      <c r="N1781" t="str">
        <f>_xlfn.XLOOKUP(A1781,[1]!brca_metabric_clinical_data__2[Patient ID], [1]!brca_metabric_clinical_data__2[Tumor Size])</f>
        <v>50</v>
      </c>
      <c r="O1781" t="str">
        <f>_xlfn.XLOOKUP(A1781,[1]!brca_metabric_clinical_data__2[Sample ID],[1]!brca_metabric_clinical_data__2[Tumor Stage])</f>
        <v>NA</v>
      </c>
    </row>
    <row r="1782" spans="1:15" x14ac:dyDescent="0.45">
      <c r="A1782" t="s">
        <v>1817</v>
      </c>
      <c r="B1782">
        <v>54.48</v>
      </c>
      <c r="C1782" t="s">
        <v>16</v>
      </c>
      <c r="D1782" t="s">
        <v>17</v>
      </c>
      <c r="E1782" t="s">
        <v>37</v>
      </c>
      <c r="F1782" t="s">
        <v>19</v>
      </c>
      <c r="G1782" t="s">
        <v>21</v>
      </c>
      <c r="H1782" t="s">
        <v>20</v>
      </c>
      <c r="I1782" t="s">
        <v>21</v>
      </c>
      <c r="J1782" t="s">
        <v>58</v>
      </c>
      <c r="K1782">
        <v>10</v>
      </c>
      <c r="L1782">
        <v>120.433333333333</v>
      </c>
      <c r="M1782" t="s">
        <v>24</v>
      </c>
      <c r="N1782" t="str">
        <f>_xlfn.XLOOKUP(A1782,[1]!brca_metabric_clinical_data__2[Patient ID], [1]!brca_metabric_clinical_data__2[Tumor Size])</f>
        <v>18</v>
      </c>
      <c r="O1782" t="str">
        <f>_xlfn.XLOOKUP(A1782,[1]!brca_metabric_clinical_data__2[Sample ID],[1]!brca_metabric_clinical_data__2[Tumor Stage])</f>
        <v>NA</v>
      </c>
    </row>
    <row r="1783" spans="1:15" x14ac:dyDescent="0.45">
      <c r="A1783" t="s">
        <v>1818</v>
      </c>
      <c r="B1783">
        <v>68.739999999999995</v>
      </c>
      <c r="C1783" t="s">
        <v>16</v>
      </c>
      <c r="D1783" t="s">
        <v>17</v>
      </c>
      <c r="E1783" t="s">
        <v>18</v>
      </c>
      <c r="F1783" t="s">
        <v>19</v>
      </c>
      <c r="G1783" t="s">
        <v>20</v>
      </c>
      <c r="H1783" t="s">
        <v>20</v>
      </c>
      <c r="I1783" t="s">
        <v>21</v>
      </c>
      <c r="J1783" t="s">
        <v>27</v>
      </c>
      <c r="K1783">
        <v>8</v>
      </c>
      <c r="L1783">
        <v>86.4</v>
      </c>
      <c r="M1783" t="s">
        <v>24</v>
      </c>
      <c r="N1783" t="str">
        <f>_xlfn.XLOOKUP(A1783,[1]!brca_metabric_clinical_data__2[Patient ID], [1]!brca_metabric_clinical_data__2[Tumor Size])</f>
        <v>15</v>
      </c>
      <c r="O1783" t="str">
        <f>_xlfn.XLOOKUP(A1783,[1]!brca_metabric_clinical_data__2[Sample ID],[1]!brca_metabric_clinical_data__2[Tumor Stage])</f>
        <v>NA</v>
      </c>
    </row>
    <row r="1784" spans="1:15" x14ac:dyDescent="0.45">
      <c r="A1784" t="s">
        <v>1819</v>
      </c>
      <c r="B1784">
        <v>57.62</v>
      </c>
      <c r="C1784" t="s">
        <v>16</v>
      </c>
      <c r="D1784" t="s">
        <v>17</v>
      </c>
      <c r="E1784" t="s">
        <v>37</v>
      </c>
      <c r="F1784" t="s">
        <v>19</v>
      </c>
      <c r="G1784" t="s">
        <v>21</v>
      </c>
      <c r="H1784" t="s">
        <v>20</v>
      </c>
      <c r="I1784" t="s">
        <v>21</v>
      </c>
      <c r="J1784" t="s">
        <v>58</v>
      </c>
      <c r="K1784">
        <v>10</v>
      </c>
      <c r="L1784">
        <v>81.033333333333303</v>
      </c>
      <c r="M1784" t="s">
        <v>24</v>
      </c>
      <c r="N1784" t="str">
        <f>_xlfn.XLOOKUP(A1784,[1]!brca_metabric_clinical_data__2[Patient ID], [1]!brca_metabric_clinical_data__2[Tumor Size])</f>
        <v>22</v>
      </c>
      <c r="O1784" t="str">
        <f>_xlfn.XLOOKUP(A1784,[1]!brca_metabric_clinical_data__2[Sample ID],[1]!brca_metabric_clinical_data__2[Tumor Stage])</f>
        <v>NA</v>
      </c>
    </row>
    <row r="1785" spans="1:15" x14ac:dyDescent="0.45">
      <c r="A1785" t="s">
        <v>1820</v>
      </c>
      <c r="B1785">
        <v>78.19</v>
      </c>
      <c r="C1785" t="s">
        <v>16</v>
      </c>
      <c r="D1785" t="s">
        <v>17</v>
      </c>
      <c r="E1785" t="s">
        <v>18</v>
      </c>
      <c r="F1785" t="s">
        <v>19</v>
      </c>
      <c r="G1785" t="s">
        <v>20</v>
      </c>
      <c r="H1785" t="s">
        <v>21</v>
      </c>
      <c r="I1785" t="s">
        <v>20</v>
      </c>
      <c r="J1785" t="s">
        <v>58</v>
      </c>
      <c r="K1785" t="s">
        <v>23</v>
      </c>
      <c r="L1785">
        <v>49.2</v>
      </c>
      <c r="M1785" t="s">
        <v>30</v>
      </c>
      <c r="N1785" t="str">
        <f>_xlfn.XLOOKUP(A1785,[1]!brca_metabric_clinical_data__2[Patient ID], [1]!brca_metabric_clinical_data__2[Tumor Size])</f>
        <v>62</v>
      </c>
      <c r="O1785" t="str">
        <f>_xlfn.XLOOKUP(A1785,[1]!brca_metabric_clinical_data__2[Sample ID],[1]!brca_metabric_clinical_data__2[Tumor Stage])</f>
        <v>NA</v>
      </c>
    </row>
    <row r="1786" spans="1:15" x14ac:dyDescent="0.45">
      <c r="A1786" t="s">
        <v>1821</v>
      </c>
      <c r="B1786">
        <v>81.319999999999993</v>
      </c>
      <c r="C1786" t="s">
        <v>16</v>
      </c>
      <c r="D1786" t="s">
        <v>17</v>
      </c>
      <c r="E1786" t="s">
        <v>18</v>
      </c>
      <c r="F1786" t="s">
        <v>19</v>
      </c>
      <c r="G1786" t="s">
        <v>20</v>
      </c>
      <c r="H1786" t="s">
        <v>21</v>
      </c>
      <c r="I1786" t="s">
        <v>20</v>
      </c>
      <c r="J1786" t="s">
        <v>27</v>
      </c>
      <c r="K1786" t="s">
        <v>23</v>
      </c>
      <c r="L1786">
        <v>71.8333333333333</v>
      </c>
      <c r="M1786" t="s">
        <v>24</v>
      </c>
      <c r="N1786" t="str">
        <f>_xlfn.XLOOKUP(A1786,[1]!brca_metabric_clinical_data__2[Patient ID], [1]!brca_metabric_clinical_data__2[Tumor Size])</f>
        <v>22</v>
      </c>
      <c r="O1786" t="str">
        <f>_xlfn.XLOOKUP(A1786,[1]!brca_metabric_clinical_data__2[Sample ID],[1]!brca_metabric_clinical_data__2[Tumor Stage])</f>
        <v>NA</v>
      </c>
    </row>
    <row r="1787" spans="1:15" x14ac:dyDescent="0.45">
      <c r="A1787" t="s">
        <v>1822</v>
      </c>
      <c r="B1787">
        <v>79.48</v>
      </c>
      <c r="C1787" t="s">
        <v>16</v>
      </c>
      <c r="D1787" t="s">
        <v>17</v>
      </c>
      <c r="E1787" t="s">
        <v>18</v>
      </c>
      <c r="F1787" t="s">
        <v>19</v>
      </c>
      <c r="G1787" t="s">
        <v>20</v>
      </c>
      <c r="H1787" t="s">
        <v>21</v>
      </c>
      <c r="I1787" t="s">
        <v>20</v>
      </c>
      <c r="J1787" t="s">
        <v>27</v>
      </c>
      <c r="K1787">
        <v>3</v>
      </c>
      <c r="L1787">
        <v>101.966666666667</v>
      </c>
      <c r="M1787" t="s">
        <v>30</v>
      </c>
      <c r="N1787" t="str">
        <f>_xlfn.XLOOKUP(A1787,[1]!brca_metabric_clinical_data__2[Patient ID], [1]!brca_metabric_clinical_data__2[Tumor Size])</f>
        <v>25</v>
      </c>
      <c r="O1787" t="str">
        <f>_xlfn.XLOOKUP(A1787,[1]!brca_metabric_clinical_data__2[Sample ID],[1]!brca_metabric_clinical_data__2[Tumor Stage])</f>
        <v>NA</v>
      </c>
    </row>
    <row r="1788" spans="1:15" x14ac:dyDescent="0.45">
      <c r="A1788" t="s">
        <v>1823</v>
      </c>
      <c r="B1788">
        <v>61.72</v>
      </c>
      <c r="C1788" t="s">
        <v>16</v>
      </c>
      <c r="D1788" t="s">
        <v>17</v>
      </c>
      <c r="E1788" t="s">
        <v>18</v>
      </c>
      <c r="F1788" t="s">
        <v>19</v>
      </c>
      <c r="G1788" t="s">
        <v>20</v>
      </c>
      <c r="H1788" t="s">
        <v>21</v>
      </c>
      <c r="I1788" t="s">
        <v>21</v>
      </c>
      <c r="J1788" t="s">
        <v>29</v>
      </c>
      <c r="K1788">
        <v>8</v>
      </c>
      <c r="L1788">
        <v>88.5</v>
      </c>
      <c r="M1788" t="s">
        <v>24</v>
      </c>
      <c r="N1788" t="str">
        <f>_xlfn.XLOOKUP(A1788,[1]!brca_metabric_clinical_data__2[Patient ID], [1]!brca_metabric_clinical_data__2[Tumor Size])</f>
        <v>26</v>
      </c>
      <c r="O1788" t="str">
        <f>_xlfn.XLOOKUP(A1788,[1]!brca_metabric_clinical_data__2[Sample ID],[1]!brca_metabric_clinical_data__2[Tumor Stage])</f>
        <v>NA</v>
      </c>
    </row>
    <row r="1789" spans="1:15" x14ac:dyDescent="0.45">
      <c r="A1789" t="s">
        <v>1824</v>
      </c>
      <c r="B1789">
        <v>72.650000000000006</v>
      </c>
      <c r="C1789" t="s">
        <v>16</v>
      </c>
      <c r="D1789" t="s">
        <v>17</v>
      </c>
      <c r="E1789" t="s">
        <v>18</v>
      </c>
      <c r="F1789" t="s">
        <v>19</v>
      </c>
      <c r="G1789" t="s">
        <v>20</v>
      </c>
      <c r="H1789" t="s">
        <v>21</v>
      </c>
      <c r="I1789" t="s">
        <v>21</v>
      </c>
      <c r="J1789" t="s">
        <v>22</v>
      </c>
      <c r="K1789" t="s">
        <v>23</v>
      </c>
      <c r="L1789">
        <v>91.533333333333303</v>
      </c>
      <c r="M1789" t="s">
        <v>24</v>
      </c>
      <c r="N1789" t="str">
        <f>_xlfn.XLOOKUP(A1789,[1]!brca_metabric_clinical_data__2[Patient ID], [1]!brca_metabric_clinical_data__2[Tumor Size])</f>
        <v>18</v>
      </c>
      <c r="O1789" t="str">
        <f>_xlfn.XLOOKUP(A1789,[1]!brca_metabric_clinical_data__2[Sample ID],[1]!brca_metabric_clinical_data__2[Tumor Stage])</f>
        <v>NA</v>
      </c>
    </row>
    <row r="1790" spans="1:15" x14ac:dyDescent="0.45">
      <c r="A1790" t="s">
        <v>1825</v>
      </c>
      <c r="B1790">
        <v>67.239999999999995</v>
      </c>
      <c r="C1790" t="s">
        <v>16</v>
      </c>
      <c r="D1790" t="s">
        <v>17</v>
      </c>
      <c r="E1790" t="s">
        <v>18</v>
      </c>
      <c r="F1790" t="s">
        <v>19</v>
      </c>
      <c r="G1790" t="s">
        <v>20</v>
      </c>
      <c r="H1790" t="s">
        <v>21</v>
      </c>
      <c r="I1790" t="s">
        <v>21</v>
      </c>
      <c r="J1790" t="s">
        <v>22</v>
      </c>
      <c r="K1790" t="s">
        <v>23</v>
      </c>
      <c r="L1790">
        <v>86.8333333333333</v>
      </c>
      <c r="M1790" t="s">
        <v>24</v>
      </c>
      <c r="N1790" t="str">
        <f>_xlfn.XLOOKUP(A1790,[1]!brca_metabric_clinical_data__2[Patient ID], [1]!brca_metabric_clinical_data__2[Tumor Size])</f>
        <v>15</v>
      </c>
      <c r="O1790" t="str">
        <f>_xlfn.XLOOKUP(A1790,[1]!brca_metabric_clinical_data__2[Sample ID],[1]!brca_metabric_clinical_data__2[Tumor Stage])</f>
        <v>NA</v>
      </c>
    </row>
    <row r="1791" spans="1:15" x14ac:dyDescent="0.45">
      <c r="A1791" t="s">
        <v>1826</v>
      </c>
      <c r="B1791">
        <v>61.39</v>
      </c>
      <c r="C1791" t="s">
        <v>16</v>
      </c>
      <c r="D1791" t="s">
        <v>17</v>
      </c>
      <c r="E1791" t="s">
        <v>37</v>
      </c>
      <c r="F1791" t="s">
        <v>19</v>
      </c>
      <c r="G1791" t="s">
        <v>20</v>
      </c>
      <c r="H1791" t="s">
        <v>21</v>
      </c>
      <c r="I1791" t="s">
        <v>21</v>
      </c>
      <c r="J1791" t="s">
        <v>45</v>
      </c>
      <c r="K1791" t="s">
        <v>39</v>
      </c>
      <c r="L1791">
        <v>94.933333333333294</v>
      </c>
      <c r="M1791" t="s">
        <v>30</v>
      </c>
      <c r="N1791" t="str">
        <f>_xlfn.XLOOKUP(A1791,[1]!brca_metabric_clinical_data__2[Patient ID], [1]!brca_metabric_clinical_data__2[Tumor Size])</f>
        <v>20</v>
      </c>
      <c r="O1791" t="str">
        <f>_xlfn.XLOOKUP(A1791,[1]!brca_metabric_clinical_data__2[Sample ID],[1]!brca_metabric_clinical_data__2[Tumor Stage])</f>
        <v>NA</v>
      </c>
    </row>
    <row r="1792" spans="1:15" x14ac:dyDescent="0.45">
      <c r="A1792" t="s">
        <v>1827</v>
      </c>
      <c r="B1792">
        <v>76.02</v>
      </c>
      <c r="C1792" t="s">
        <v>16</v>
      </c>
      <c r="D1792" t="s">
        <v>17</v>
      </c>
      <c r="E1792" t="s">
        <v>18</v>
      </c>
      <c r="F1792" t="s">
        <v>43</v>
      </c>
      <c r="G1792" t="s">
        <v>20</v>
      </c>
      <c r="H1792" t="s">
        <v>21</v>
      </c>
      <c r="I1792" t="s">
        <v>21</v>
      </c>
      <c r="J1792" t="s">
        <v>45</v>
      </c>
      <c r="K1792">
        <v>6</v>
      </c>
      <c r="L1792">
        <v>146.4</v>
      </c>
      <c r="M1792" t="s">
        <v>30</v>
      </c>
      <c r="N1792" t="str">
        <f>_xlfn.XLOOKUP(A1792,[1]!brca_metabric_clinical_data__2[Patient ID], [1]!brca_metabric_clinical_data__2[Tumor Size])</f>
        <v>23</v>
      </c>
      <c r="O1792" t="str">
        <f>_xlfn.XLOOKUP(A1792,[1]!brca_metabric_clinical_data__2[Sample ID],[1]!brca_metabric_clinical_data__2[Tumor Stage])</f>
        <v>NA</v>
      </c>
    </row>
    <row r="1793" spans="1:15" x14ac:dyDescent="0.45">
      <c r="A1793" t="s">
        <v>1828</v>
      </c>
      <c r="B1793">
        <v>36.270000000000003</v>
      </c>
      <c r="C1793" t="s">
        <v>16</v>
      </c>
      <c r="D1793" t="s">
        <v>26</v>
      </c>
      <c r="E1793" t="s">
        <v>18</v>
      </c>
      <c r="F1793" t="s">
        <v>19</v>
      </c>
      <c r="G1793" t="s">
        <v>20</v>
      </c>
      <c r="H1793" t="s">
        <v>21</v>
      </c>
      <c r="I1793" t="s">
        <v>21</v>
      </c>
      <c r="J1793" t="s">
        <v>45</v>
      </c>
      <c r="K1793">
        <v>1</v>
      </c>
      <c r="L1793">
        <v>88.466666666666697</v>
      </c>
      <c r="M1793" t="s">
        <v>24</v>
      </c>
      <c r="N1793" t="str">
        <f>_xlfn.XLOOKUP(A1793,[1]!brca_metabric_clinical_data__2[Patient ID], [1]!brca_metabric_clinical_data__2[Tumor Size])</f>
        <v>14</v>
      </c>
      <c r="O1793" t="str">
        <f>_xlfn.XLOOKUP(A1793,[1]!brca_metabric_clinical_data__2[Sample ID],[1]!brca_metabric_clinical_data__2[Tumor Stage])</f>
        <v>NA</v>
      </c>
    </row>
    <row r="1794" spans="1:15" x14ac:dyDescent="0.45">
      <c r="A1794" t="s">
        <v>1829</v>
      </c>
      <c r="B1794">
        <v>48.75</v>
      </c>
      <c r="C1794" t="s">
        <v>16</v>
      </c>
      <c r="D1794" t="s">
        <v>26</v>
      </c>
      <c r="E1794" t="s">
        <v>37</v>
      </c>
      <c r="F1794" t="s">
        <v>19</v>
      </c>
      <c r="G1794" t="s">
        <v>20</v>
      </c>
      <c r="H1794" t="s">
        <v>20</v>
      </c>
      <c r="I1794" t="s">
        <v>21</v>
      </c>
      <c r="J1794" t="s">
        <v>58</v>
      </c>
      <c r="K1794" t="s">
        <v>39</v>
      </c>
      <c r="L1794">
        <v>102.033333333333</v>
      </c>
      <c r="M1794" t="s">
        <v>24</v>
      </c>
      <c r="N1794" t="str">
        <f>_xlfn.XLOOKUP(A1794,[1]!brca_metabric_clinical_data__2[Patient ID], [1]!brca_metabric_clinical_data__2[Tumor Size])</f>
        <v>18</v>
      </c>
      <c r="O1794" t="str">
        <f>_xlfn.XLOOKUP(A1794,[1]!brca_metabric_clinical_data__2[Sample ID],[1]!brca_metabric_clinical_data__2[Tumor Stage])</f>
        <v>NA</v>
      </c>
    </row>
    <row r="1795" spans="1:15" x14ac:dyDescent="0.45">
      <c r="A1795" t="s">
        <v>1830</v>
      </c>
      <c r="B1795">
        <v>64.989999999999995</v>
      </c>
      <c r="C1795" t="s">
        <v>16</v>
      </c>
      <c r="D1795" t="s">
        <v>17</v>
      </c>
      <c r="E1795" t="s">
        <v>18</v>
      </c>
      <c r="F1795" t="s">
        <v>43</v>
      </c>
      <c r="G1795" t="s">
        <v>21</v>
      </c>
      <c r="H1795" t="s">
        <v>21</v>
      </c>
      <c r="I1795" t="s">
        <v>21</v>
      </c>
      <c r="J1795" t="s">
        <v>45</v>
      </c>
      <c r="K1795">
        <v>5</v>
      </c>
      <c r="L1795">
        <v>65.133333333333297</v>
      </c>
      <c r="M1795" t="s">
        <v>30</v>
      </c>
      <c r="N1795" t="str">
        <f>_xlfn.XLOOKUP(A1795,[1]!brca_metabric_clinical_data__2[Patient ID], [1]!brca_metabric_clinical_data__2[Tumor Size])</f>
        <v>22.5</v>
      </c>
      <c r="O1795" t="str">
        <f>_xlfn.XLOOKUP(A1795,[1]!brca_metabric_clinical_data__2[Sample ID],[1]!brca_metabric_clinical_data__2[Tumor Stage])</f>
        <v>NA</v>
      </c>
    </row>
    <row r="1796" spans="1:15" x14ac:dyDescent="0.45">
      <c r="A1796" t="s">
        <v>1831</v>
      </c>
      <c r="B1796">
        <v>63.44</v>
      </c>
      <c r="C1796" t="s">
        <v>16</v>
      </c>
      <c r="D1796" t="s">
        <v>17</v>
      </c>
      <c r="E1796" t="s">
        <v>18</v>
      </c>
      <c r="F1796" t="s">
        <v>19</v>
      </c>
      <c r="G1796" t="s">
        <v>20</v>
      </c>
      <c r="H1796" t="s">
        <v>21</v>
      </c>
      <c r="I1796" t="s">
        <v>21</v>
      </c>
      <c r="J1796" t="s">
        <v>45</v>
      </c>
      <c r="K1796">
        <v>6</v>
      </c>
      <c r="L1796">
        <v>85.933333333333294</v>
      </c>
      <c r="M1796" t="s">
        <v>30</v>
      </c>
      <c r="N1796" t="str">
        <f>_xlfn.XLOOKUP(A1796,[1]!brca_metabric_clinical_data__2[Patient ID], [1]!brca_metabric_clinical_data__2[Tumor Size])</f>
        <v>20</v>
      </c>
      <c r="O1796" t="str">
        <f>_xlfn.XLOOKUP(A1796,[1]!brca_metabric_clinical_data__2[Sample ID],[1]!brca_metabric_clinical_data__2[Tumor Stage])</f>
        <v>NA</v>
      </c>
    </row>
    <row r="1797" spans="1:15" x14ac:dyDescent="0.45">
      <c r="A1797" t="s">
        <v>1832</v>
      </c>
      <c r="B1797">
        <v>45.45</v>
      </c>
      <c r="C1797" t="s">
        <v>16</v>
      </c>
      <c r="D1797" t="s">
        <v>26</v>
      </c>
      <c r="E1797" t="s">
        <v>37</v>
      </c>
      <c r="F1797" t="s">
        <v>19</v>
      </c>
      <c r="G1797" t="s">
        <v>20</v>
      </c>
      <c r="H1797" t="s">
        <v>20</v>
      </c>
      <c r="I1797" t="s">
        <v>21</v>
      </c>
      <c r="J1797" t="s">
        <v>22</v>
      </c>
      <c r="K1797">
        <v>9</v>
      </c>
      <c r="L1797">
        <v>106.133333333333</v>
      </c>
      <c r="M1797" t="s">
        <v>24</v>
      </c>
      <c r="N1797" t="str">
        <f>_xlfn.XLOOKUP(A1797,[1]!brca_metabric_clinical_data__2[Patient ID], [1]!brca_metabric_clinical_data__2[Tumor Size])</f>
        <v>17.9</v>
      </c>
      <c r="O1797" t="str">
        <f>_xlfn.XLOOKUP(A1797,[1]!brca_metabric_clinical_data__2[Sample ID],[1]!brca_metabric_clinical_data__2[Tumor Stage])</f>
        <v>NA</v>
      </c>
    </row>
    <row r="1798" spans="1:15" x14ac:dyDescent="0.45">
      <c r="A1798" t="s">
        <v>1833</v>
      </c>
      <c r="B1798">
        <v>45.64</v>
      </c>
      <c r="C1798" t="s">
        <v>16</v>
      </c>
      <c r="D1798" t="s">
        <v>26</v>
      </c>
      <c r="E1798" t="s">
        <v>18</v>
      </c>
      <c r="F1798" t="s">
        <v>19</v>
      </c>
      <c r="G1798" t="s">
        <v>20</v>
      </c>
      <c r="H1798" t="s">
        <v>20</v>
      </c>
      <c r="I1798" t="s">
        <v>21</v>
      </c>
      <c r="J1798" t="s">
        <v>27</v>
      </c>
      <c r="K1798" t="s">
        <v>23</v>
      </c>
      <c r="L1798">
        <v>122.133333333333</v>
      </c>
      <c r="M1798" t="s">
        <v>24</v>
      </c>
      <c r="N1798" t="str">
        <f>_xlfn.XLOOKUP(A1798,[1]!brca_metabric_clinical_data__2[Patient ID], [1]!brca_metabric_clinical_data__2[Tumor Size])</f>
        <v>14.5</v>
      </c>
      <c r="O1798" t="str">
        <f>_xlfn.XLOOKUP(A1798,[1]!brca_metabric_clinical_data__2[Sample ID],[1]!brca_metabric_clinical_data__2[Tumor Stage])</f>
        <v>NA</v>
      </c>
    </row>
    <row r="1799" spans="1:15" x14ac:dyDescent="0.45">
      <c r="A1799" t="s">
        <v>1834</v>
      </c>
      <c r="B1799">
        <v>73.739999999999995</v>
      </c>
      <c r="C1799" t="s">
        <v>16</v>
      </c>
      <c r="D1799" t="s">
        <v>17</v>
      </c>
      <c r="E1799" t="s">
        <v>18</v>
      </c>
      <c r="F1799" t="s">
        <v>19</v>
      </c>
      <c r="G1799" t="s">
        <v>21</v>
      </c>
      <c r="H1799" t="s">
        <v>21</v>
      </c>
      <c r="I1799" t="s">
        <v>20</v>
      </c>
      <c r="J1799" t="s">
        <v>22</v>
      </c>
      <c r="K1799">
        <v>10</v>
      </c>
      <c r="L1799">
        <v>30.433333333333302</v>
      </c>
      <c r="M1799" t="s">
        <v>30</v>
      </c>
      <c r="N1799" t="str">
        <f>_xlfn.XLOOKUP(A1799,[1]!brca_metabric_clinical_data__2[Patient ID], [1]!brca_metabric_clinical_data__2[Tumor Size])</f>
        <v>12.8</v>
      </c>
      <c r="O1799" t="str">
        <f>_xlfn.XLOOKUP(A1799,[1]!brca_metabric_clinical_data__2[Sample ID],[1]!brca_metabric_clinical_data__2[Tumor Stage])</f>
        <v>NA</v>
      </c>
    </row>
    <row r="1800" spans="1:15" x14ac:dyDescent="0.45">
      <c r="A1800" t="s">
        <v>1835</v>
      </c>
      <c r="B1800">
        <v>54.87</v>
      </c>
      <c r="C1800" t="s">
        <v>16</v>
      </c>
      <c r="D1800" t="s">
        <v>17</v>
      </c>
      <c r="E1800" t="s">
        <v>37</v>
      </c>
      <c r="F1800" t="s">
        <v>19</v>
      </c>
      <c r="G1800" t="s">
        <v>20</v>
      </c>
      <c r="H1800" t="s">
        <v>20</v>
      </c>
      <c r="I1800" t="s">
        <v>20</v>
      </c>
      <c r="J1800" t="s">
        <v>58</v>
      </c>
      <c r="K1800">
        <v>10</v>
      </c>
      <c r="L1800">
        <v>9.1333333333333293</v>
      </c>
      <c r="M1800" t="s">
        <v>30</v>
      </c>
      <c r="N1800" t="str">
        <f>_xlfn.XLOOKUP(A1800,[1]!brca_metabric_clinical_data__2[Patient ID], [1]!brca_metabric_clinical_data__2[Tumor Size])</f>
        <v>26</v>
      </c>
      <c r="O1800" t="str">
        <f>_xlfn.XLOOKUP(A1800,[1]!brca_metabric_clinical_data__2[Sample ID],[1]!brca_metabric_clinical_data__2[Tumor Stage])</f>
        <v>NA</v>
      </c>
    </row>
    <row r="1801" spans="1:15" x14ac:dyDescent="0.45">
      <c r="A1801" t="s">
        <v>1836</v>
      </c>
      <c r="B1801">
        <v>71.819999999999993</v>
      </c>
      <c r="C1801" t="s">
        <v>16</v>
      </c>
      <c r="D1801" t="s">
        <v>17</v>
      </c>
      <c r="E1801" t="s">
        <v>18</v>
      </c>
      <c r="F1801" t="s">
        <v>19</v>
      </c>
      <c r="G1801" t="s">
        <v>20</v>
      </c>
      <c r="H1801" t="s">
        <v>21</v>
      </c>
      <c r="I1801" t="s">
        <v>20</v>
      </c>
      <c r="J1801" t="s">
        <v>27</v>
      </c>
      <c r="K1801">
        <v>3</v>
      </c>
      <c r="L1801">
        <v>117</v>
      </c>
      <c r="M1801" t="s">
        <v>24</v>
      </c>
      <c r="N1801" t="str">
        <f>_xlfn.XLOOKUP(A1801,[1]!brca_metabric_clinical_data__2[Patient ID], [1]!brca_metabric_clinical_data__2[Tumor Size])</f>
        <v>21</v>
      </c>
      <c r="O1801" t="str">
        <f>_xlfn.XLOOKUP(A1801,[1]!brca_metabric_clinical_data__2[Sample ID],[1]!brca_metabric_clinical_data__2[Tumor Stage])</f>
        <v>NA</v>
      </c>
    </row>
    <row r="1802" spans="1:15" x14ac:dyDescent="0.45">
      <c r="A1802" t="s">
        <v>1837</v>
      </c>
      <c r="B1802">
        <v>72.81</v>
      </c>
      <c r="C1802" t="s">
        <v>16</v>
      </c>
      <c r="D1802" t="s">
        <v>17</v>
      </c>
      <c r="E1802" t="s">
        <v>37</v>
      </c>
      <c r="F1802" t="s">
        <v>19</v>
      </c>
      <c r="G1802" t="s">
        <v>21</v>
      </c>
      <c r="H1802" t="s">
        <v>21</v>
      </c>
      <c r="I1802" t="s">
        <v>20</v>
      </c>
      <c r="J1802" t="s">
        <v>38</v>
      </c>
      <c r="K1802" t="s">
        <v>39</v>
      </c>
      <c r="L1802">
        <v>43.8333333333333</v>
      </c>
      <c r="M1802" t="s">
        <v>30</v>
      </c>
      <c r="N1802" t="str">
        <f>_xlfn.XLOOKUP(A1802,[1]!brca_metabric_clinical_data__2[Patient ID], [1]!brca_metabric_clinical_data__2[Tumor Size])</f>
        <v>22</v>
      </c>
      <c r="O1802" t="str">
        <f>_xlfn.XLOOKUP(A1802,[1]!brca_metabric_clinical_data__2[Sample ID],[1]!brca_metabric_clinical_data__2[Tumor Stage])</f>
        <v>NA</v>
      </c>
    </row>
    <row r="1803" spans="1:15" x14ac:dyDescent="0.45">
      <c r="A1803" t="s">
        <v>1838</v>
      </c>
      <c r="B1803">
        <v>45.81</v>
      </c>
      <c r="C1803" t="s">
        <v>16</v>
      </c>
      <c r="D1803" t="s">
        <v>26</v>
      </c>
      <c r="E1803" t="s">
        <v>18</v>
      </c>
      <c r="F1803" t="s">
        <v>19</v>
      </c>
      <c r="G1803" t="s">
        <v>20</v>
      </c>
      <c r="H1803" t="s">
        <v>21</v>
      </c>
      <c r="I1803" t="s">
        <v>20</v>
      </c>
      <c r="J1803" t="s">
        <v>38</v>
      </c>
      <c r="K1803">
        <v>3</v>
      </c>
      <c r="L1803">
        <v>122.5</v>
      </c>
      <c r="M1803" t="s">
        <v>24</v>
      </c>
      <c r="N1803" t="str">
        <f>_xlfn.XLOOKUP(A1803,[1]!brca_metabric_clinical_data__2[Patient ID], [1]!brca_metabric_clinical_data__2[Tumor Size])</f>
        <v>27</v>
      </c>
      <c r="O1803" t="str">
        <f>_xlfn.XLOOKUP(A1803,[1]!brca_metabric_clinical_data__2[Sample ID],[1]!brca_metabric_clinical_data__2[Tumor Stage])</f>
        <v>NA</v>
      </c>
    </row>
    <row r="1804" spans="1:15" x14ac:dyDescent="0.45">
      <c r="A1804" t="s">
        <v>1839</v>
      </c>
      <c r="B1804">
        <v>50.55</v>
      </c>
      <c r="C1804" t="s">
        <v>16</v>
      </c>
      <c r="D1804" t="s">
        <v>17</v>
      </c>
      <c r="E1804" t="s">
        <v>37</v>
      </c>
      <c r="F1804" t="s">
        <v>43</v>
      </c>
      <c r="G1804" t="s">
        <v>21</v>
      </c>
      <c r="H1804" t="s">
        <v>20</v>
      </c>
      <c r="I1804" t="s">
        <v>21</v>
      </c>
      <c r="J1804" t="s">
        <v>45</v>
      </c>
      <c r="K1804">
        <v>5</v>
      </c>
      <c r="L1804">
        <v>119.333333333333</v>
      </c>
      <c r="M1804" t="s">
        <v>24</v>
      </c>
      <c r="N1804" t="str">
        <f>_xlfn.XLOOKUP(A1804,[1]!brca_metabric_clinical_data__2[Patient ID], [1]!brca_metabric_clinical_data__2[Tumor Size])</f>
        <v>24</v>
      </c>
      <c r="O1804" t="str">
        <f>_xlfn.XLOOKUP(A1804,[1]!brca_metabric_clinical_data__2[Sample ID],[1]!brca_metabric_clinical_data__2[Tumor Stage])</f>
        <v>NA</v>
      </c>
    </row>
    <row r="1805" spans="1:15" x14ac:dyDescent="0.45">
      <c r="A1805" t="s">
        <v>1840</v>
      </c>
      <c r="B1805">
        <v>69.25</v>
      </c>
      <c r="C1805" t="s">
        <v>16</v>
      </c>
      <c r="D1805" t="s">
        <v>17</v>
      </c>
      <c r="E1805" t="s">
        <v>18</v>
      </c>
      <c r="F1805" t="s">
        <v>35</v>
      </c>
      <c r="G1805" t="s">
        <v>20</v>
      </c>
      <c r="H1805" t="s">
        <v>21</v>
      </c>
      <c r="I1805" t="s">
        <v>21</v>
      </c>
      <c r="J1805" t="s">
        <v>27</v>
      </c>
      <c r="K1805">
        <v>3</v>
      </c>
      <c r="L1805">
        <v>112.666666666667</v>
      </c>
      <c r="M1805" t="s">
        <v>30</v>
      </c>
      <c r="N1805" t="str">
        <f>_xlfn.XLOOKUP(A1805,[1]!brca_metabric_clinical_data__2[Patient ID], [1]!brca_metabric_clinical_data__2[Tumor Size])</f>
        <v>50</v>
      </c>
      <c r="O1805" t="str">
        <f>_xlfn.XLOOKUP(A1805,[1]!brca_metabric_clinical_data__2[Sample ID],[1]!brca_metabric_clinical_data__2[Tumor Stage])</f>
        <v>NA</v>
      </c>
    </row>
    <row r="1806" spans="1:15" x14ac:dyDescent="0.45">
      <c r="A1806" t="s">
        <v>1841</v>
      </c>
      <c r="B1806">
        <v>61.6</v>
      </c>
      <c r="C1806" t="s">
        <v>16</v>
      </c>
      <c r="D1806" t="s">
        <v>17</v>
      </c>
      <c r="E1806" t="s">
        <v>18</v>
      </c>
      <c r="F1806" t="s">
        <v>19</v>
      </c>
      <c r="G1806" t="s">
        <v>20</v>
      </c>
      <c r="H1806" t="s">
        <v>21</v>
      </c>
      <c r="I1806" t="s">
        <v>21</v>
      </c>
      <c r="J1806" t="s">
        <v>38</v>
      </c>
      <c r="K1806" t="s">
        <v>23</v>
      </c>
      <c r="L1806">
        <v>96.766666666666694</v>
      </c>
      <c r="M1806" t="s">
        <v>30</v>
      </c>
      <c r="N1806" t="str">
        <f>_xlfn.XLOOKUP(A1806,[1]!brca_metabric_clinical_data__2[Patient ID], [1]!brca_metabric_clinical_data__2[Tumor Size])</f>
        <v>20</v>
      </c>
      <c r="O1806" t="str">
        <f>_xlfn.XLOOKUP(A1806,[1]!brca_metabric_clinical_data__2[Sample ID],[1]!brca_metabric_clinical_data__2[Tumor Stage])</f>
        <v>NA</v>
      </c>
    </row>
    <row r="1807" spans="1:15" x14ac:dyDescent="0.45">
      <c r="A1807" t="s">
        <v>1842</v>
      </c>
      <c r="B1807">
        <v>63.77</v>
      </c>
      <c r="C1807" t="s">
        <v>16</v>
      </c>
      <c r="D1807" t="s">
        <v>17</v>
      </c>
      <c r="E1807" t="s">
        <v>18</v>
      </c>
      <c r="F1807" t="s">
        <v>19</v>
      </c>
      <c r="G1807" t="s">
        <v>20</v>
      </c>
      <c r="H1807" t="s">
        <v>21</v>
      </c>
      <c r="I1807" t="s">
        <v>21</v>
      </c>
      <c r="J1807" t="s">
        <v>27</v>
      </c>
      <c r="K1807">
        <v>3</v>
      </c>
      <c r="L1807">
        <v>95.866666666666703</v>
      </c>
      <c r="M1807" t="s">
        <v>24</v>
      </c>
      <c r="N1807" t="str">
        <f>_xlfn.XLOOKUP(A1807,[1]!brca_metabric_clinical_data__2[Patient ID], [1]!brca_metabric_clinical_data__2[Tumor Size])</f>
        <v>16</v>
      </c>
      <c r="O1807" t="str">
        <f>_xlfn.XLOOKUP(A1807,[1]!brca_metabric_clinical_data__2[Sample ID],[1]!brca_metabric_clinical_data__2[Tumor Stage])</f>
        <v>NA</v>
      </c>
    </row>
    <row r="1808" spans="1:15" x14ac:dyDescent="0.45">
      <c r="A1808" t="s">
        <v>1843</v>
      </c>
      <c r="B1808">
        <v>76.77</v>
      </c>
      <c r="C1808" t="s">
        <v>16</v>
      </c>
      <c r="D1808" t="s">
        <v>17</v>
      </c>
      <c r="E1808" t="s">
        <v>18</v>
      </c>
      <c r="F1808" t="s">
        <v>19</v>
      </c>
      <c r="G1808" t="s">
        <v>20</v>
      </c>
      <c r="H1808" t="s">
        <v>21</v>
      </c>
      <c r="I1808" t="s">
        <v>21</v>
      </c>
      <c r="J1808" t="s">
        <v>27</v>
      </c>
      <c r="K1808">
        <v>3</v>
      </c>
      <c r="L1808">
        <v>86.6</v>
      </c>
      <c r="M1808" t="s">
        <v>24</v>
      </c>
      <c r="N1808" t="str">
        <f>_xlfn.XLOOKUP(A1808,[1]!brca_metabric_clinical_data__2[Patient ID], [1]!brca_metabric_clinical_data__2[Tumor Size])</f>
        <v>20</v>
      </c>
      <c r="O1808" t="str">
        <f>_xlfn.XLOOKUP(A1808,[1]!brca_metabric_clinical_data__2[Sample ID],[1]!brca_metabric_clinical_data__2[Tumor Stage])</f>
        <v>NA</v>
      </c>
    </row>
    <row r="1809" spans="1:15" x14ac:dyDescent="0.45">
      <c r="A1809" t="s">
        <v>1844</v>
      </c>
      <c r="B1809">
        <v>45.35</v>
      </c>
      <c r="C1809" t="s">
        <v>16</v>
      </c>
      <c r="D1809" t="s">
        <v>26</v>
      </c>
      <c r="E1809" t="s">
        <v>18</v>
      </c>
      <c r="F1809" t="s">
        <v>19</v>
      </c>
      <c r="G1809" t="s">
        <v>20</v>
      </c>
      <c r="H1809" t="s">
        <v>20</v>
      </c>
      <c r="I1809" t="s">
        <v>21</v>
      </c>
      <c r="J1809" t="s">
        <v>29</v>
      </c>
      <c r="K1809">
        <v>9</v>
      </c>
      <c r="L1809">
        <v>107.866666666667</v>
      </c>
      <c r="M1809" t="s">
        <v>24</v>
      </c>
      <c r="N1809" t="str">
        <f>_xlfn.XLOOKUP(A1809,[1]!brca_metabric_clinical_data__2[Patient ID], [1]!brca_metabric_clinical_data__2[Tumor Size])</f>
        <v>19</v>
      </c>
      <c r="O1809" t="str">
        <f>_xlfn.XLOOKUP(A1809,[1]!brca_metabric_clinical_data__2[Sample ID],[1]!brca_metabric_clinical_data__2[Tumor Stage])</f>
        <v>NA</v>
      </c>
    </row>
    <row r="1810" spans="1:15" x14ac:dyDescent="0.45">
      <c r="A1810" t="s">
        <v>1845</v>
      </c>
      <c r="B1810">
        <v>64.239999999999995</v>
      </c>
      <c r="C1810" t="s">
        <v>16</v>
      </c>
      <c r="D1810" t="s">
        <v>17</v>
      </c>
      <c r="E1810" t="s">
        <v>37</v>
      </c>
      <c r="F1810" t="s">
        <v>43</v>
      </c>
      <c r="G1810" t="s">
        <v>21</v>
      </c>
      <c r="H1810" t="s">
        <v>20</v>
      </c>
      <c r="I1810" t="s">
        <v>21</v>
      </c>
      <c r="J1810" t="s">
        <v>45</v>
      </c>
      <c r="K1810">
        <v>3</v>
      </c>
      <c r="L1810">
        <v>89.766666666666694</v>
      </c>
      <c r="M1810" t="s">
        <v>24</v>
      </c>
      <c r="N1810" t="str">
        <f>_xlfn.XLOOKUP(A1810,[1]!brca_metabric_clinical_data__2[Patient ID], [1]!brca_metabric_clinical_data__2[Tumor Size])</f>
        <v>18.5</v>
      </c>
      <c r="O1810" t="str">
        <f>_xlfn.XLOOKUP(A1810,[1]!brca_metabric_clinical_data__2[Sample ID],[1]!brca_metabric_clinical_data__2[Tumor Stage])</f>
        <v>NA</v>
      </c>
    </row>
    <row r="1811" spans="1:15" x14ac:dyDescent="0.45">
      <c r="A1811" t="s">
        <v>1846</v>
      </c>
      <c r="B1811">
        <v>69.64</v>
      </c>
      <c r="C1811" t="s">
        <v>16</v>
      </c>
      <c r="D1811" t="s">
        <v>17</v>
      </c>
      <c r="E1811" t="s">
        <v>37</v>
      </c>
      <c r="F1811" t="s">
        <v>43</v>
      </c>
      <c r="G1811" t="s">
        <v>20</v>
      </c>
      <c r="H1811" t="s">
        <v>21</v>
      </c>
      <c r="I1811" t="s">
        <v>20</v>
      </c>
      <c r="J1811" t="s">
        <v>45</v>
      </c>
      <c r="K1811">
        <v>5</v>
      </c>
      <c r="L1811">
        <v>105</v>
      </c>
      <c r="M1811" t="s">
        <v>24</v>
      </c>
      <c r="N1811" t="str">
        <f>_xlfn.XLOOKUP(A1811,[1]!brca_metabric_clinical_data__2[Patient ID], [1]!brca_metabric_clinical_data__2[Tumor Size])</f>
        <v>15.5</v>
      </c>
      <c r="O1811" t="str">
        <f>_xlfn.XLOOKUP(A1811,[1]!brca_metabric_clinical_data__2[Sample ID],[1]!brca_metabric_clinical_data__2[Tumor Stage])</f>
        <v>NA</v>
      </c>
    </row>
    <row r="1812" spans="1:15" x14ac:dyDescent="0.45">
      <c r="A1812" t="s">
        <v>1847</v>
      </c>
      <c r="B1812">
        <v>58.95</v>
      </c>
      <c r="C1812" t="s">
        <v>16</v>
      </c>
      <c r="D1812" t="s">
        <v>17</v>
      </c>
      <c r="E1812" t="s">
        <v>18</v>
      </c>
      <c r="F1812" t="s">
        <v>43</v>
      </c>
      <c r="G1812" t="s">
        <v>20</v>
      </c>
      <c r="H1812" t="s">
        <v>21</v>
      </c>
      <c r="I1812" t="s">
        <v>21</v>
      </c>
      <c r="J1812" t="s">
        <v>45</v>
      </c>
      <c r="K1812">
        <v>9</v>
      </c>
      <c r="L1812">
        <v>98.466666666666697</v>
      </c>
      <c r="M1812" t="s">
        <v>24</v>
      </c>
      <c r="N1812" t="str">
        <f>_xlfn.XLOOKUP(A1812,[1]!brca_metabric_clinical_data__2[Patient ID], [1]!brca_metabric_clinical_data__2[Tumor Size])</f>
        <v>26</v>
      </c>
      <c r="O1812" t="str">
        <f>_xlfn.XLOOKUP(A1812,[1]!brca_metabric_clinical_data__2[Sample ID],[1]!brca_metabric_clinical_data__2[Tumor Stage])</f>
        <v>NA</v>
      </c>
    </row>
    <row r="1813" spans="1:15" x14ac:dyDescent="0.45">
      <c r="A1813" t="s">
        <v>1848</v>
      </c>
      <c r="B1813">
        <v>67.599999999999994</v>
      </c>
      <c r="C1813" t="s">
        <v>16</v>
      </c>
      <c r="D1813" t="s">
        <v>17</v>
      </c>
      <c r="E1813" t="s">
        <v>18</v>
      </c>
      <c r="F1813" t="s">
        <v>43</v>
      </c>
      <c r="G1813" t="s">
        <v>20</v>
      </c>
      <c r="H1813" t="s">
        <v>21</v>
      </c>
      <c r="I1813" t="s">
        <v>21</v>
      </c>
      <c r="J1813" t="s">
        <v>45</v>
      </c>
      <c r="K1813">
        <v>5</v>
      </c>
      <c r="L1813">
        <v>114.6</v>
      </c>
      <c r="M1813" t="s">
        <v>24</v>
      </c>
      <c r="N1813" t="str">
        <f>_xlfn.XLOOKUP(A1813,[1]!brca_metabric_clinical_data__2[Patient ID], [1]!brca_metabric_clinical_data__2[Tumor Size])</f>
        <v>21.5</v>
      </c>
      <c r="O1813" t="str">
        <f>_xlfn.XLOOKUP(A1813,[1]!brca_metabric_clinical_data__2[Sample ID],[1]!brca_metabric_clinical_data__2[Tumor Stage])</f>
        <v>NA</v>
      </c>
    </row>
    <row r="1814" spans="1:15" x14ac:dyDescent="0.45">
      <c r="A1814" t="s">
        <v>1849</v>
      </c>
      <c r="B1814">
        <v>68.760000000000005</v>
      </c>
      <c r="C1814" t="s">
        <v>16</v>
      </c>
      <c r="D1814" t="s">
        <v>17</v>
      </c>
      <c r="E1814" t="s">
        <v>18</v>
      </c>
      <c r="F1814" t="s">
        <v>43</v>
      </c>
      <c r="G1814" t="s">
        <v>20</v>
      </c>
      <c r="H1814" t="s">
        <v>21</v>
      </c>
      <c r="I1814" t="s">
        <v>20</v>
      </c>
      <c r="J1814" t="s">
        <v>45</v>
      </c>
      <c r="K1814">
        <v>9</v>
      </c>
      <c r="L1814">
        <v>108.066666666667</v>
      </c>
      <c r="M1814" t="s">
        <v>24</v>
      </c>
      <c r="N1814" t="str">
        <f>_xlfn.XLOOKUP(A1814,[1]!brca_metabric_clinical_data__2[Patient ID], [1]!brca_metabric_clinical_data__2[Tumor Size])</f>
        <v>2</v>
      </c>
      <c r="O1814" t="str">
        <f>_xlfn.XLOOKUP(A1814,[1]!brca_metabric_clinical_data__2[Sample ID],[1]!brca_metabric_clinical_data__2[Tumor Stage])</f>
        <v>NA</v>
      </c>
    </row>
    <row r="1815" spans="1:15" x14ac:dyDescent="0.45">
      <c r="A1815" t="s">
        <v>1850</v>
      </c>
      <c r="B1815">
        <v>27.56</v>
      </c>
      <c r="C1815" t="s">
        <v>16</v>
      </c>
      <c r="D1815" t="s">
        <v>26</v>
      </c>
      <c r="E1815" t="s">
        <v>18</v>
      </c>
      <c r="F1815" t="s">
        <v>19</v>
      </c>
      <c r="G1815" t="s">
        <v>20</v>
      </c>
      <c r="H1815" t="s">
        <v>20</v>
      </c>
      <c r="I1815" t="s">
        <v>21</v>
      </c>
      <c r="J1815" t="s">
        <v>45</v>
      </c>
      <c r="K1815">
        <v>3</v>
      </c>
      <c r="L1815">
        <v>102.066666666667</v>
      </c>
      <c r="M1815" t="s">
        <v>24</v>
      </c>
      <c r="N1815" t="str">
        <f>_xlfn.XLOOKUP(A1815,[1]!brca_metabric_clinical_data__2[Patient ID], [1]!brca_metabric_clinical_data__2[Tumor Size])</f>
        <v>18</v>
      </c>
      <c r="O1815" t="str">
        <f>_xlfn.XLOOKUP(A1815,[1]!brca_metabric_clinical_data__2[Sample ID],[1]!brca_metabric_clinical_data__2[Tumor Stage])</f>
        <v>NA</v>
      </c>
    </row>
    <row r="1816" spans="1:15" x14ac:dyDescent="0.45">
      <c r="A1816" t="s">
        <v>1851</v>
      </c>
      <c r="B1816">
        <v>71.239999999999995</v>
      </c>
      <c r="C1816" t="s">
        <v>16</v>
      </c>
      <c r="D1816" t="s">
        <v>17</v>
      </c>
      <c r="E1816" t="s">
        <v>18</v>
      </c>
      <c r="F1816" t="s">
        <v>43</v>
      </c>
      <c r="G1816" t="s">
        <v>20</v>
      </c>
      <c r="H1816" t="s">
        <v>21</v>
      </c>
      <c r="I1816" t="s">
        <v>21</v>
      </c>
      <c r="J1816" t="s">
        <v>29</v>
      </c>
      <c r="K1816">
        <v>1</v>
      </c>
      <c r="L1816">
        <v>52.3333333333333</v>
      </c>
      <c r="M1816" t="s">
        <v>30</v>
      </c>
      <c r="N1816" t="str">
        <f>_xlfn.XLOOKUP(A1816,[1]!brca_metabric_clinical_data__2[Patient ID], [1]!brca_metabric_clinical_data__2[Tumor Size])</f>
        <v>65</v>
      </c>
      <c r="O1816" t="str">
        <f>_xlfn.XLOOKUP(A1816,[1]!brca_metabric_clinical_data__2[Sample ID],[1]!brca_metabric_clinical_data__2[Tumor Stage])</f>
        <v>NA</v>
      </c>
    </row>
    <row r="1817" spans="1:15" x14ac:dyDescent="0.45">
      <c r="A1817" t="s">
        <v>1852</v>
      </c>
      <c r="B1817">
        <v>54.69</v>
      </c>
      <c r="C1817" t="s">
        <v>16</v>
      </c>
      <c r="D1817" t="s">
        <v>17</v>
      </c>
      <c r="E1817" t="s">
        <v>37</v>
      </c>
      <c r="F1817" t="s">
        <v>43</v>
      </c>
      <c r="G1817" t="s">
        <v>21</v>
      </c>
      <c r="H1817" t="s">
        <v>20</v>
      </c>
      <c r="I1817" t="s">
        <v>20</v>
      </c>
      <c r="J1817" t="s">
        <v>58</v>
      </c>
      <c r="K1817">
        <v>5</v>
      </c>
      <c r="L1817">
        <v>137.933333333333</v>
      </c>
      <c r="M1817" t="s">
        <v>30</v>
      </c>
      <c r="N1817" t="str">
        <f>_xlfn.XLOOKUP(A1817,[1]!brca_metabric_clinical_data__2[Patient ID], [1]!brca_metabric_clinical_data__2[Tumor Size])</f>
        <v>20</v>
      </c>
      <c r="O1817" t="str">
        <f>_xlfn.XLOOKUP(A1817,[1]!brca_metabric_clinical_data__2[Sample ID],[1]!brca_metabric_clinical_data__2[Tumor Stage])</f>
        <v>NA</v>
      </c>
    </row>
    <row r="1818" spans="1:15" x14ac:dyDescent="0.45">
      <c r="A1818" t="s">
        <v>1853</v>
      </c>
      <c r="B1818">
        <v>51.36</v>
      </c>
      <c r="C1818" t="s">
        <v>16</v>
      </c>
      <c r="D1818" t="s">
        <v>17</v>
      </c>
      <c r="E1818" t="s">
        <v>18</v>
      </c>
      <c r="F1818" t="s">
        <v>19</v>
      </c>
      <c r="G1818" t="s">
        <v>20</v>
      </c>
      <c r="H1818" t="s">
        <v>21</v>
      </c>
      <c r="I1818" t="s">
        <v>20</v>
      </c>
      <c r="J1818" t="s">
        <v>38</v>
      </c>
      <c r="K1818" t="s">
        <v>23</v>
      </c>
      <c r="L1818">
        <v>108.166666666667</v>
      </c>
      <c r="M1818" t="s">
        <v>24</v>
      </c>
      <c r="N1818" t="str">
        <f>_xlfn.XLOOKUP(A1818,[1]!brca_metabric_clinical_data__2[Patient ID], [1]!brca_metabric_clinical_data__2[Tumor Size])</f>
        <v>18</v>
      </c>
      <c r="O1818" t="str">
        <f>_xlfn.XLOOKUP(A1818,[1]!brca_metabric_clinical_data__2[Sample ID],[1]!brca_metabric_clinical_data__2[Tumor Stage])</f>
        <v>NA</v>
      </c>
    </row>
    <row r="1819" spans="1:15" x14ac:dyDescent="0.45">
      <c r="A1819" t="s">
        <v>1854</v>
      </c>
      <c r="B1819">
        <v>64.400000000000006</v>
      </c>
      <c r="C1819" t="s">
        <v>16</v>
      </c>
      <c r="D1819" t="s">
        <v>17</v>
      </c>
      <c r="E1819" t="s">
        <v>18</v>
      </c>
      <c r="F1819" t="s">
        <v>43</v>
      </c>
      <c r="G1819" t="s">
        <v>20</v>
      </c>
      <c r="H1819" t="s">
        <v>21</v>
      </c>
      <c r="I1819" t="s">
        <v>20</v>
      </c>
      <c r="J1819" t="s">
        <v>29</v>
      </c>
      <c r="K1819">
        <v>1</v>
      </c>
      <c r="L1819">
        <v>111.633333333333</v>
      </c>
      <c r="M1819" t="s">
        <v>24</v>
      </c>
      <c r="N1819" t="str">
        <f>_xlfn.XLOOKUP(A1819,[1]!brca_metabric_clinical_data__2[Patient ID], [1]!brca_metabric_clinical_data__2[Tumor Size])</f>
        <v>16</v>
      </c>
      <c r="O1819" t="str">
        <f>_xlfn.XLOOKUP(A1819,[1]!brca_metabric_clinical_data__2[Sample ID],[1]!brca_metabric_clinical_data__2[Tumor Stage])</f>
        <v>NA</v>
      </c>
    </row>
    <row r="1820" spans="1:15" x14ac:dyDescent="0.45">
      <c r="A1820" t="s">
        <v>1855</v>
      </c>
      <c r="B1820">
        <v>56.13</v>
      </c>
      <c r="C1820" t="s">
        <v>16</v>
      </c>
      <c r="D1820" t="s">
        <v>17</v>
      </c>
      <c r="E1820" t="s">
        <v>18</v>
      </c>
      <c r="F1820" t="s">
        <v>19</v>
      </c>
      <c r="G1820" t="s">
        <v>20</v>
      </c>
      <c r="H1820" t="s">
        <v>21</v>
      </c>
      <c r="I1820" t="s">
        <v>20</v>
      </c>
      <c r="J1820" t="s">
        <v>27</v>
      </c>
      <c r="K1820">
        <v>7</v>
      </c>
      <c r="L1820">
        <v>142.666666666667</v>
      </c>
      <c r="M1820" t="s">
        <v>30</v>
      </c>
      <c r="N1820" t="str">
        <f>_xlfn.XLOOKUP(A1820,[1]!brca_metabric_clinical_data__2[Patient ID], [1]!brca_metabric_clinical_data__2[Tumor Size])</f>
        <v>22</v>
      </c>
      <c r="O1820" t="str">
        <f>_xlfn.XLOOKUP(A1820,[1]!brca_metabric_clinical_data__2[Sample ID],[1]!brca_metabric_clinical_data__2[Tumor Stage])</f>
        <v>NA</v>
      </c>
    </row>
    <row r="1821" spans="1:15" x14ac:dyDescent="0.45">
      <c r="A1821" t="s">
        <v>1856</v>
      </c>
      <c r="B1821">
        <v>37.89</v>
      </c>
      <c r="C1821" t="s">
        <v>16</v>
      </c>
      <c r="D1821" t="s">
        <v>26</v>
      </c>
      <c r="E1821" t="s">
        <v>18</v>
      </c>
      <c r="F1821" t="s">
        <v>19</v>
      </c>
      <c r="G1821" t="s">
        <v>20</v>
      </c>
      <c r="H1821" t="s">
        <v>21</v>
      </c>
      <c r="I1821" t="s">
        <v>21</v>
      </c>
      <c r="J1821" t="s">
        <v>27</v>
      </c>
      <c r="K1821">
        <v>3</v>
      </c>
      <c r="L1821">
        <v>101.26666666666701</v>
      </c>
      <c r="M1821" t="s">
        <v>24</v>
      </c>
      <c r="N1821" t="str">
        <f>_xlfn.XLOOKUP(A1821,[1]!brca_metabric_clinical_data__2[Patient ID], [1]!brca_metabric_clinical_data__2[Tumor Size])</f>
        <v>17</v>
      </c>
      <c r="O1821" t="str">
        <f>_xlfn.XLOOKUP(A1821,[1]!brca_metabric_clinical_data__2[Sample ID],[1]!brca_metabric_clinical_data__2[Tumor Stage])</f>
        <v>NA</v>
      </c>
    </row>
    <row r="1822" spans="1:15" x14ac:dyDescent="0.45">
      <c r="A1822" t="s">
        <v>1857</v>
      </c>
      <c r="B1822">
        <v>74.8</v>
      </c>
      <c r="C1822" t="s">
        <v>16</v>
      </c>
      <c r="D1822" t="s">
        <v>17</v>
      </c>
      <c r="E1822" t="s">
        <v>37</v>
      </c>
      <c r="F1822" t="s">
        <v>19</v>
      </c>
      <c r="G1822" t="s">
        <v>20</v>
      </c>
      <c r="H1822" t="s">
        <v>21</v>
      </c>
      <c r="I1822" t="s">
        <v>21</v>
      </c>
      <c r="J1822" t="s">
        <v>22</v>
      </c>
      <c r="K1822">
        <v>10</v>
      </c>
      <c r="L1822">
        <v>4.1666666666666696</v>
      </c>
      <c r="M1822" t="s">
        <v>30</v>
      </c>
      <c r="N1822" t="str">
        <f>_xlfn.XLOOKUP(A1822,[1]!brca_metabric_clinical_data__2[Patient ID], [1]!brca_metabric_clinical_data__2[Tumor Size])</f>
        <v>50</v>
      </c>
      <c r="O1822" t="str">
        <f>_xlfn.XLOOKUP(A1822,[1]!brca_metabric_clinical_data__2[Sample ID],[1]!brca_metabric_clinical_data__2[Tumor Stage])</f>
        <v>NA</v>
      </c>
    </row>
    <row r="1823" spans="1:15" x14ac:dyDescent="0.45">
      <c r="A1823" t="s">
        <v>1858</v>
      </c>
      <c r="B1823">
        <v>70.3</v>
      </c>
      <c r="C1823" t="s">
        <v>16</v>
      </c>
      <c r="D1823" t="s">
        <v>17</v>
      </c>
      <c r="E1823" t="s">
        <v>18</v>
      </c>
      <c r="F1823" t="s">
        <v>19</v>
      </c>
      <c r="G1823" t="s">
        <v>20</v>
      </c>
      <c r="H1823" t="s">
        <v>21</v>
      </c>
      <c r="I1823" t="s">
        <v>20</v>
      </c>
      <c r="J1823" t="s">
        <v>22</v>
      </c>
      <c r="K1823" t="s">
        <v>23</v>
      </c>
      <c r="L1823">
        <v>91.066666666666706</v>
      </c>
      <c r="M1823" t="s">
        <v>24</v>
      </c>
      <c r="N1823" t="str">
        <f>_xlfn.XLOOKUP(A1823,[1]!brca_metabric_clinical_data__2[Patient ID], [1]!brca_metabric_clinical_data__2[Tumor Size])</f>
        <v>30</v>
      </c>
      <c r="O1823" t="str">
        <f>_xlfn.XLOOKUP(A1823,[1]!brca_metabric_clinical_data__2[Sample ID],[1]!brca_metabric_clinical_data__2[Tumor Stage])</f>
        <v>NA</v>
      </c>
    </row>
    <row r="1824" spans="1:15" x14ac:dyDescent="0.45">
      <c r="A1824" t="s">
        <v>1859</v>
      </c>
      <c r="B1824">
        <v>64.010000000000005</v>
      </c>
      <c r="C1824" t="s">
        <v>16</v>
      </c>
      <c r="D1824" t="s">
        <v>17</v>
      </c>
      <c r="E1824" t="s">
        <v>18</v>
      </c>
      <c r="F1824" t="s">
        <v>19</v>
      </c>
      <c r="G1824" t="s">
        <v>20</v>
      </c>
      <c r="H1824" t="s">
        <v>21</v>
      </c>
      <c r="I1824" t="s">
        <v>20</v>
      </c>
      <c r="J1824" t="s">
        <v>27</v>
      </c>
      <c r="K1824">
        <v>8</v>
      </c>
      <c r="L1824">
        <v>91.233333333333306</v>
      </c>
      <c r="M1824" t="s">
        <v>24</v>
      </c>
      <c r="N1824" t="str">
        <f>_xlfn.XLOOKUP(A1824,[1]!brca_metabric_clinical_data__2[Patient ID], [1]!brca_metabric_clinical_data__2[Tumor Size])</f>
        <v>17</v>
      </c>
      <c r="O1824" t="str">
        <f>_xlfn.XLOOKUP(A1824,[1]!brca_metabric_clinical_data__2[Sample ID],[1]!brca_metabric_clinical_data__2[Tumor Stage])</f>
        <v>NA</v>
      </c>
    </row>
    <row r="1825" spans="1:15" x14ac:dyDescent="0.45">
      <c r="A1825" t="s">
        <v>1860</v>
      </c>
      <c r="B1825">
        <v>69.12</v>
      </c>
      <c r="C1825" t="s">
        <v>16</v>
      </c>
      <c r="D1825" t="s">
        <v>17</v>
      </c>
      <c r="E1825" t="s">
        <v>37</v>
      </c>
      <c r="F1825" t="s">
        <v>19</v>
      </c>
      <c r="G1825" t="s">
        <v>20</v>
      </c>
      <c r="H1825" t="s">
        <v>21</v>
      </c>
      <c r="I1825" t="s">
        <v>21</v>
      </c>
      <c r="J1825" t="s">
        <v>22</v>
      </c>
      <c r="K1825">
        <v>10</v>
      </c>
      <c r="L1825">
        <v>140.23333333333301</v>
      </c>
      <c r="M1825" t="s">
        <v>24</v>
      </c>
      <c r="N1825" t="str">
        <f>_xlfn.XLOOKUP(A1825,[1]!brca_metabric_clinical_data__2[Patient ID], [1]!brca_metabric_clinical_data__2[Tumor Size])</f>
        <v>28</v>
      </c>
      <c r="O1825" t="str">
        <f>_xlfn.XLOOKUP(A1825,[1]!brca_metabric_clinical_data__2[Sample ID],[1]!brca_metabric_clinical_data__2[Tumor Stage])</f>
        <v>NA</v>
      </c>
    </row>
    <row r="1826" spans="1:15" x14ac:dyDescent="0.45">
      <c r="A1826" t="s">
        <v>1861</v>
      </c>
      <c r="B1826">
        <v>57.07</v>
      </c>
      <c r="C1826" t="s">
        <v>16</v>
      </c>
      <c r="D1826" t="s">
        <v>17</v>
      </c>
      <c r="E1826" t="s">
        <v>37</v>
      </c>
      <c r="F1826" t="s">
        <v>43</v>
      </c>
      <c r="G1826" t="s">
        <v>21</v>
      </c>
      <c r="H1826" t="s">
        <v>20</v>
      </c>
      <c r="I1826" t="s">
        <v>21</v>
      </c>
      <c r="J1826" t="s">
        <v>45</v>
      </c>
      <c r="K1826">
        <v>5</v>
      </c>
      <c r="L1826">
        <v>98.266666666666694</v>
      </c>
      <c r="M1826" t="s">
        <v>24</v>
      </c>
      <c r="N1826" t="str">
        <f>_xlfn.XLOOKUP(A1826,[1]!brca_metabric_clinical_data__2[Patient ID], [1]!brca_metabric_clinical_data__2[Tumor Size])</f>
        <v>20</v>
      </c>
      <c r="O1826" t="str">
        <f>_xlfn.XLOOKUP(A1826,[1]!brca_metabric_clinical_data__2[Sample ID],[1]!brca_metabric_clinical_data__2[Tumor Stage])</f>
        <v>NA</v>
      </c>
    </row>
    <row r="1827" spans="1:15" x14ac:dyDescent="0.45">
      <c r="A1827" t="s">
        <v>1862</v>
      </c>
      <c r="B1827">
        <v>50.42</v>
      </c>
      <c r="C1827" t="s">
        <v>16</v>
      </c>
      <c r="D1827" t="s">
        <v>17</v>
      </c>
      <c r="E1827" t="s">
        <v>18</v>
      </c>
      <c r="F1827" t="s">
        <v>19</v>
      </c>
      <c r="G1827" t="s">
        <v>21</v>
      </c>
      <c r="H1827" t="s">
        <v>21</v>
      </c>
      <c r="I1827" t="s">
        <v>21</v>
      </c>
      <c r="J1827" t="s">
        <v>29</v>
      </c>
      <c r="K1827">
        <v>9</v>
      </c>
      <c r="L1827">
        <v>105.466666666667</v>
      </c>
      <c r="M1827" t="s">
        <v>24</v>
      </c>
      <c r="N1827" t="str">
        <f>_xlfn.XLOOKUP(A1827,[1]!brca_metabric_clinical_data__2[Patient ID], [1]!brca_metabric_clinical_data__2[Tumor Size])</f>
        <v>26</v>
      </c>
      <c r="O1827" t="str">
        <f>_xlfn.XLOOKUP(A1827,[1]!brca_metabric_clinical_data__2[Sample ID],[1]!brca_metabric_clinical_data__2[Tumor Stage])</f>
        <v>NA</v>
      </c>
    </row>
    <row r="1828" spans="1:15" x14ac:dyDescent="0.45">
      <c r="A1828" t="s">
        <v>1863</v>
      </c>
      <c r="B1828">
        <v>74.069999999999993</v>
      </c>
      <c r="C1828" t="s">
        <v>16</v>
      </c>
      <c r="D1828" t="s">
        <v>17</v>
      </c>
      <c r="E1828" t="s">
        <v>37</v>
      </c>
      <c r="F1828" t="s">
        <v>43</v>
      </c>
      <c r="G1828" t="s">
        <v>20</v>
      </c>
      <c r="H1828" t="s">
        <v>21</v>
      </c>
      <c r="I1828" t="s">
        <v>20</v>
      </c>
      <c r="J1828" t="s">
        <v>58</v>
      </c>
      <c r="K1828">
        <v>10</v>
      </c>
      <c r="L1828">
        <v>116.533333333333</v>
      </c>
      <c r="M1828" t="s">
        <v>24</v>
      </c>
      <c r="N1828" t="str">
        <f>_xlfn.XLOOKUP(A1828,[1]!brca_metabric_clinical_data__2[Patient ID], [1]!brca_metabric_clinical_data__2[Tumor Size])</f>
        <v>60</v>
      </c>
      <c r="O1828" t="str">
        <f>_xlfn.XLOOKUP(A1828,[1]!brca_metabric_clinical_data__2[Sample ID],[1]!brca_metabric_clinical_data__2[Tumor Stage])</f>
        <v>NA</v>
      </c>
    </row>
    <row r="1829" spans="1:15" x14ac:dyDescent="0.45">
      <c r="A1829" t="s">
        <v>1864</v>
      </c>
      <c r="B1829">
        <v>60.5</v>
      </c>
      <c r="C1829" t="s">
        <v>16</v>
      </c>
      <c r="D1829" t="s">
        <v>17</v>
      </c>
      <c r="E1829" t="s">
        <v>18</v>
      </c>
      <c r="F1829" t="s">
        <v>19</v>
      </c>
      <c r="G1829" t="s">
        <v>20</v>
      </c>
      <c r="H1829" t="s">
        <v>21</v>
      </c>
      <c r="I1829" t="s">
        <v>21</v>
      </c>
      <c r="J1829" t="s">
        <v>38</v>
      </c>
      <c r="K1829">
        <v>7</v>
      </c>
      <c r="L1829">
        <v>110.1</v>
      </c>
      <c r="M1829" t="s">
        <v>24</v>
      </c>
      <c r="N1829" t="str">
        <f>_xlfn.XLOOKUP(A1829,[1]!brca_metabric_clinical_data__2[Patient ID], [1]!brca_metabric_clinical_data__2[Tumor Size])</f>
        <v>30</v>
      </c>
      <c r="O1829" t="str">
        <f>_xlfn.XLOOKUP(A1829,[1]!brca_metabric_clinical_data__2[Sample ID],[1]!brca_metabric_clinical_data__2[Tumor Stage])</f>
        <v>NA</v>
      </c>
    </row>
    <row r="1830" spans="1:15" x14ac:dyDescent="0.45">
      <c r="A1830" t="s">
        <v>1865</v>
      </c>
      <c r="B1830">
        <v>70.52</v>
      </c>
      <c r="C1830" t="s">
        <v>16</v>
      </c>
      <c r="D1830" t="s">
        <v>17</v>
      </c>
      <c r="E1830" t="s">
        <v>18</v>
      </c>
      <c r="F1830" t="s">
        <v>19</v>
      </c>
      <c r="G1830" t="s">
        <v>20</v>
      </c>
      <c r="H1830" t="s">
        <v>21</v>
      </c>
      <c r="I1830" t="s">
        <v>21</v>
      </c>
      <c r="J1830" t="s">
        <v>29</v>
      </c>
      <c r="K1830">
        <v>9</v>
      </c>
      <c r="L1830">
        <v>123.533333333333</v>
      </c>
      <c r="M1830" t="s">
        <v>24</v>
      </c>
      <c r="N1830" t="str">
        <f>_xlfn.XLOOKUP(A1830,[1]!brca_metabric_clinical_data__2[Patient ID], [1]!brca_metabric_clinical_data__2[Tumor Size])</f>
        <v>18</v>
      </c>
      <c r="O1830" t="str">
        <f>_xlfn.XLOOKUP(A1830,[1]!brca_metabric_clinical_data__2[Sample ID],[1]!brca_metabric_clinical_data__2[Tumor Stage])</f>
        <v>NA</v>
      </c>
    </row>
    <row r="1831" spans="1:15" x14ac:dyDescent="0.45">
      <c r="A1831" t="s">
        <v>1866</v>
      </c>
      <c r="B1831">
        <v>66.61</v>
      </c>
      <c r="C1831" t="s">
        <v>16</v>
      </c>
      <c r="D1831" t="s">
        <v>17</v>
      </c>
      <c r="E1831" t="s">
        <v>37</v>
      </c>
      <c r="F1831" t="s">
        <v>19</v>
      </c>
      <c r="G1831" t="s">
        <v>21</v>
      </c>
      <c r="H1831" t="s">
        <v>21</v>
      </c>
      <c r="I1831" t="s">
        <v>21</v>
      </c>
      <c r="J1831" t="s">
        <v>58</v>
      </c>
      <c r="K1831">
        <v>10</v>
      </c>
      <c r="L1831">
        <v>5.06666666666667</v>
      </c>
      <c r="M1831" t="s">
        <v>30</v>
      </c>
      <c r="N1831" t="str">
        <f>_xlfn.XLOOKUP(A1831,[1]!brca_metabric_clinical_data__2[Patient ID], [1]!brca_metabric_clinical_data__2[Tumor Size])</f>
        <v>14</v>
      </c>
      <c r="O1831" t="str">
        <f>_xlfn.XLOOKUP(A1831,[1]!brca_metabric_clinical_data__2[Sample ID],[1]!brca_metabric_clinical_data__2[Tumor Stage])</f>
        <v>NA</v>
      </c>
    </row>
    <row r="1832" spans="1:15" x14ac:dyDescent="0.45">
      <c r="A1832" t="s">
        <v>1867</v>
      </c>
      <c r="B1832">
        <v>72.05</v>
      </c>
      <c r="C1832" t="s">
        <v>16</v>
      </c>
      <c r="D1832" t="s">
        <v>17</v>
      </c>
      <c r="E1832" t="s">
        <v>18</v>
      </c>
      <c r="F1832" t="s">
        <v>43</v>
      </c>
      <c r="G1832" t="s">
        <v>20</v>
      </c>
      <c r="H1832" t="s">
        <v>21</v>
      </c>
      <c r="I1832" t="s">
        <v>20</v>
      </c>
      <c r="J1832" t="s">
        <v>45</v>
      </c>
      <c r="K1832">
        <v>5</v>
      </c>
      <c r="L1832">
        <v>123.533333333333</v>
      </c>
      <c r="M1832" t="s">
        <v>24</v>
      </c>
      <c r="N1832" t="str">
        <f>_xlfn.XLOOKUP(A1832,[1]!brca_metabric_clinical_data__2[Patient ID], [1]!brca_metabric_clinical_data__2[Tumor Size])</f>
        <v>25</v>
      </c>
      <c r="O1832" t="str">
        <f>_xlfn.XLOOKUP(A1832,[1]!brca_metabric_clinical_data__2[Sample ID],[1]!brca_metabric_clinical_data__2[Tumor Stage])</f>
        <v>NA</v>
      </c>
    </row>
    <row r="1833" spans="1:15" x14ac:dyDescent="0.45">
      <c r="A1833" t="s">
        <v>1868</v>
      </c>
      <c r="B1833">
        <v>47.7</v>
      </c>
      <c r="C1833" t="s">
        <v>16</v>
      </c>
      <c r="D1833" t="s">
        <v>26</v>
      </c>
      <c r="E1833" t="s">
        <v>37</v>
      </c>
      <c r="F1833" t="s">
        <v>43</v>
      </c>
      <c r="G1833" t="s">
        <v>21</v>
      </c>
      <c r="H1833" t="s">
        <v>20</v>
      </c>
      <c r="I1833" t="s">
        <v>21</v>
      </c>
      <c r="J1833" t="s">
        <v>22</v>
      </c>
      <c r="K1833">
        <v>10</v>
      </c>
      <c r="L1833">
        <v>118.9</v>
      </c>
      <c r="M1833" t="s">
        <v>24</v>
      </c>
      <c r="N1833" t="str">
        <f>_xlfn.XLOOKUP(A1833,[1]!brca_metabric_clinical_data__2[Patient ID], [1]!brca_metabric_clinical_data__2[Tumor Size])</f>
        <v>18</v>
      </c>
      <c r="O1833" t="str">
        <f>_xlfn.XLOOKUP(A1833,[1]!brca_metabric_clinical_data__2[Sample ID],[1]!brca_metabric_clinical_data__2[Tumor Stage])</f>
        <v>NA</v>
      </c>
    </row>
    <row r="1834" spans="1:15" x14ac:dyDescent="0.45">
      <c r="A1834" t="s">
        <v>1869</v>
      </c>
      <c r="B1834">
        <v>48.52</v>
      </c>
      <c r="C1834" t="s">
        <v>16</v>
      </c>
      <c r="D1834" t="s">
        <v>26</v>
      </c>
      <c r="E1834" t="s">
        <v>37</v>
      </c>
      <c r="F1834" t="s">
        <v>19</v>
      </c>
      <c r="G1834" t="s">
        <v>21</v>
      </c>
      <c r="H1834" t="s">
        <v>20</v>
      </c>
      <c r="I1834" t="s">
        <v>21</v>
      </c>
      <c r="J1834" t="s">
        <v>58</v>
      </c>
      <c r="K1834">
        <v>10</v>
      </c>
      <c r="L1834">
        <v>109.76666666666701</v>
      </c>
      <c r="M1834" t="s">
        <v>24</v>
      </c>
      <c r="N1834" t="str">
        <f>_xlfn.XLOOKUP(A1834,[1]!brca_metabric_clinical_data__2[Patient ID], [1]!brca_metabric_clinical_data__2[Tumor Size])</f>
        <v>17</v>
      </c>
      <c r="O1834" t="str">
        <f>_xlfn.XLOOKUP(A1834,[1]!brca_metabric_clinical_data__2[Sample ID],[1]!brca_metabric_clinical_data__2[Tumor Stage])</f>
        <v>NA</v>
      </c>
    </row>
    <row r="1835" spans="1:15" x14ac:dyDescent="0.45">
      <c r="A1835" t="s">
        <v>1870</v>
      </c>
      <c r="B1835">
        <v>55.71</v>
      </c>
      <c r="C1835" t="s">
        <v>16</v>
      </c>
      <c r="D1835" t="s">
        <v>17</v>
      </c>
      <c r="E1835" t="s">
        <v>18</v>
      </c>
      <c r="F1835" t="s">
        <v>35</v>
      </c>
      <c r="G1835" t="s">
        <v>20</v>
      </c>
      <c r="H1835" t="s">
        <v>21</v>
      </c>
      <c r="I1835" t="s">
        <v>21</v>
      </c>
      <c r="J1835" t="s">
        <v>27</v>
      </c>
      <c r="K1835">
        <v>7</v>
      </c>
      <c r="L1835">
        <v>110.26666666666701</v>
      </c>
      <c r="M1835" t="s">
        <v>24</v>
      </c>
      <c r="N1835" t="str">
        <f>_xlfn.XLOOKUP(A1835,[1]!brca_metabric_clinical_data__2[Patient ID], [1]!brca_metabric_clinical_data__2[Tumor Size])</f>
        <v>18</v>
      </c>
      <c r="O1835" t="str">
        <f>_xlfn.XLOOKUP(A1835,[1]!brca_metabric_clinical_data__2[Sample ID],[1]!brca_metabric_clinical_data__2[Tumor Stage])</f>
        <v>NA</v>
      </c>
    </row>
    <row r="1836" spans="1:15" x14ac:dyDescent="0.45">
      <c r="A1836" t="s">
        <v>1871</v>
      </c>
      <c r="B1836">
        <v>55.67</v>
      </c>
      <c r="C1836" t="s">
        <v>16</v>
      </c>
      <c r="D1836" t="s">
        <v>17</v>
      </c>
      <c r="E1836" t="s">
        <v>37</v>
      </c>
      <c r="F1836" t="s">
        <v>19</v>
      </c>
      <c r="G1836" t="s">
        <v>20</v>
      </c>
      <c r="H1836" t="s">
        <v>21</v>
      </c>
      <c r="I1836" t="s">
        <v>21</v>
      </c>
      <c r="J1836" t="s">
        <v>45</v>
      </c>
      <c r="K1836">
        <v>1</v>
      </c>
      <c r="L1836">
        <v>122.4</v>
      </c>
      <c r="M1836" t="s">
        <v>24</v>
      </c>
      <c r="N1836" t="str">
        <f>_xlfn.XLOOKUP(A1836,[1]!brca_metabric_clinical_data__2[Patient ID], [1]!brca_metabric_clinical_data__2[Tumor Size])</f>
        <v>20</v>
      </c>
      <c r="O1836" t="str">
        <f>_xlfn.XLOOKUP(A1836,[1]!brca_metabric_clinical_data__2[Sample ID],[1]!brca_metabric_clinical_data__2[Tumor Stage])</f>
        <v>NA</v>
      </c>
    </row>
    <row r="1837" spans="1:15" x14ac:dyDescent="0.45">
      <c r="A1837" t="s">
        <v>1872</v>
      </c>
      <c r="B1837">
        <v>76.25</v>
      </c>
      <c r="C1837" t="s">
        <v>16</v>
      </c>
      <c r="D1837" t="s">
        <v>17</v>
      </c>
      <c r="E1837" t="s">
        <v>18</v>
      </c>
      <c r="F1837" t="s">
        <v>19</v>
      </c>
      <c r="G1837" t="s">
        <v>21</v>
      </c>
      <c r="H1837" t="s">
        <v>21</v>
      </c>
      <c r="I1837" t="s">
        <v>20</v>
      </c>
      <c r="J1837" t="s">
        <v>27</v>
      </c>
      <c r="K1837">
        <v>3</v>
      </c>
      <c r="L1837">
        <v>125.833333333333</v>
      </c>
      <c r="M1837" t="s">
        <v>30</v>
      </c>
      <c r="N1837" t="str">
        <f>_xlfn.XLOOKUP(A1837,[1]!brca_metabric_clinical_data__2[Patient ID], [1]!brca_metabric_clinical_data__2[Tumor Size])</f>
        <v>16.9</v>
      </c>
      <c r="O1837" t="str">
        <f>_xlfn.XLOOKUP(A1837,[1]!brca_metabric_clinical_data__2[Sample ID],[1]!brca_metabric_clinical_data__2[Tumor Stage])</f>
        <v>NA</v>
      </c>
    </row>
    <row r="1838" spans="1:15" x14ac:dyDescent="0.45">
      <c r="A1838" t="s">
        <v>1873</v>
      </c>
      <c r="B1838">
        <v>60.75</v>
      </c>
      <c r="C1838" t="s">
        <v>16</v>
      </c>
      <c r="D1838" t="s">
        <v>17</v>
      </c>
      <c r="E1838" t="s">
        <v>18</v>
      </c>
      <c r="F1838" t="s">
        <v>19</v>
      </c>
      <c r="G1838" t="s">
        <v>20</v>
      </c>
      <c r="H1838" t="s">
        <v>21</v>
      </c>
      <c r="I1838" t="s">
        <v>21</v>
      </c>
      <c r="J1838" t="s">
        <v>29</v>
      </c>
      <c r="K1838">
        <v>9</v>
      </c>
      <c r="L1838">
        <v>113.366666666667</v>
      </c>
      <c r="M1838" t="s">
        <v>24</v>
      </c>
      <c r="N1838" t="str">
        <f>_xlfn.XLOOKUP(A1838,[1]!brca_metabric_clinical_data__2[Patient ID], [1]!brca_metabric_clinical_data__2[Tumor Size])</f>
        <v>24.4</v>
      </c>
      <c r="O1838" t="str">
        <f>_xlfn.XLOOKUP(A1838,[1]!brca_metabric_clinical_data__2[Sample ID],[1]!brca_metabric_clinical_data__2[Tumor Stage])</f>
        <v>NA</v>
      </c>
    </row>
    <row r="1839" spans="1:15" x14ac:dyDescent="0.45">
      <c r="A1839" t="s">
        <v>1874</v>
      </c>
      <c r="B1839">
        <v>74.64</v>
      </c>
      <c r="C1839" t="s">
        <v>16</v>
      </c>
      <c r="D1839" t="s">
        <v>17</v>
      </c>
      <c r="E1839" t="s">
        <v>18</v>
      </c>
      <c r="F1839" t="s">
        <v>19</v>
      </c>
      <c r="G1839" t="s">
        <v>20</v>
      </c>
      <c r="H1839" t="s">
        <v>21</v>
      </c>
      <c r="I1839" t="s">
        <v>21</v>
      </c>
      <c r="J1839" t="s">
        <v>27</v>
      </c>
      <c r="K1839">
        <v>8</v>
      </c>
      <c r="L1839">
        <v>115.633333333333</v>
      </c>
      <c r="M1839" t="s">
        <v>24</v>
      </c>
      <c r="N1839" t="str">
        <f>_xlfn.XLOOKUP(A1839,[1]!brca_metabric_clinical_data__2[Patient ID], [1]!brca_metabric_clinical_data__2[Tumor Size])</f>
        <v>25</v>
      </c>
      <c r="O1839" t="str">
        <f>_xlfn.XLOOKUP(A1839,[1]!brca_metabric_clinical_data__2[Sample ID],[1]!brca_metabric_clinical_data__2[Tumor Stage])</f>
        <v>NA</v>
      </c>
    </row>
    <row r="1840" spans="1:15" x14ac:dyDescent="0.45">
      <c r="A1840" t="s">
        <v>1875</v>
      </c>
      <c r="B1840">
        <v>48.27</v>
      </c>
      <c r="C1840" t="s">
        <v>16</v>
      </c>
      <c r="D1840" t="s">
        <v>26</v>
      </c>
      <c r="E1840" t="s">
        <v>18</v>
      </c>
      <c r="F1840" t="s">
        <v>19</v>
      </c>
      <c r="G1840" t="s">
        <v>20</v>
      </c>
      <c r="H1840" t="s">
        <v>21</v>
      </c>
      <c r="I1840" t="s">
        <v>21</v>
      </c>
      <c r="J1840" t="s">
        <v>27</v>
      </c>
      <c r="K1840">
        <v>3</v>
      </c>
      <c r="L1840">
        <v>124</v>
      </c>
      <c r="M1840" t="s">
        <v>24</v>
      </c>
      <c r="N1840" t="str">
        <f>_xlfn.XLOOKUP(A1840,[1]!brca_metabric_clinical_data__2[Patient ID], [1]!brca_metabric_clinical_data__2[Tumor Size])</f>
        <v>12.5</v>
      </c>
      <c r="O1840" t="str">
        <f>_xlfn.XLOOKUP(A1840,[1]!brca_metabric_clinical_data__2[Sample ID],[1]!brca_metabric_clinical_data__2[Tumor Stage])</f>
        <v>NA</v>
      </c>
    </row>
    <row r="1841" spans="1:15" x14ac:dyDescent="0.45">
      <c r="A1841" t="s">
        <v>1876</v>
      </c>
      <c r="B1841">
        <v>60.09</v>
      </c>
      <c r="C1841" t="s">
        <v>16</v>
      </c>
      <c r="D1841" t="s">
        <v>17</v>
      </c>
      <c r="E1841" t="s">
        <v>18</v>
      </c>
      <c r="F1841" t="s">
        <v>19</v>
      </c>
      <c r="G1841" t="s">
        <v>21</v>
      </c>
      <c r="H1841" t="s">
        <v>21</v>
      </c>
      <c r="I1841" t="s">
        <v>20</v>
      </c>
      <c r="J1841" t="s">
        <v>29</v>
      </c>
      <c r="K1841">
        <v>8</v>
      </c>
      <c r="L1841">
        <v>65.1666666666667</v>
      </c>
      <c r="M1841" t="s">
        <v>30</v>
      </c>
      <c r="N1841" t="str">
        <f>_xlfn.XLOOKUP(A1841,[1]!brca_metabric_clinical_data__2[Patient ID], [1]!brca_metabric_clinical_data__2[Tumor Size])</f>
        <v>40.3</v>
      </c>
      <c r="O1841" t="str">
        <f>_xlfn.XLOOKUP(A1841,[1]!brca_metabric_clinical_data__2[Sample ID],[1]!brca_metabric_clinical_data__2[Tumor Stage])</f>
        <v>NA</v>
      </c>
    </row>
    <row r="1842" spans="1:15" x14ac:dyDescent="0.45">
      <c r="A1842" t="s">
        <v>1877</v>
      </c>
      <c r="B1842">
        <v>80.31</v>
      </c>
      <c r="C1842" t="s">
        <v>16</v>
      </c>
      <c r="D1842" t="s">
        <v>17</v>
      </c>
      <c r="E1842" t="s">
        <v>18</v>
      </c>
      <c r="F1842" t="s">
        <v>19</v>
      </c>
      <c r="G1842" t="s">
        <v>20</v>
      </c>
      <c r="H1842" t="s">
        <v>21</v>
      </c>
      <c r="I1842" t="s">
        <v>21</v>
      </c>
      <c r="J1842" t="s">
        <v>29</v>
      </c>
      <c r="K1842">
        <v>9</v>
      </c>
      <c r="L1842">
        <v>163.166666666667</v>
      </c>
      <c r="M1842" t="s">
        <v>30</v>
      </c>
      <c r="N1842" t="str">
        <f>_xlfn.XLOOKUP(A1842,[1]!brca_metabric_clinical_data__2[Patient ID], [1]!brca_metabric_clinical_data__2[Tumor Size])</f>
        <v>38</v>
      </c>
      <c r="O1842" t="str">
        <f>_xlfn.XLOOKUP(A1842,[1]!brca_metabric_clinical_data__2[Sample ID],[1]!brca_metabric_clinical_data__2[Tumor Stage])</f>
        <v>NA</v>
      </c>
    </row>
    <row r="1843" spans="1:15" x14ac:dyDescent="0.45">
      <c r="A1843" t="s">
        <v>1878</v>
      </c>
      <c r="B1843">
        <v>70.56</v>
      </c>
      <c r="C1843" t="s">
        <v>16</v>
      </c>
      <c r="D1843" t="s">
        <v>17</v>
      </c>
      <c r="E1843" t="s">
        <v>18</v>
      </c>
      <c r="F1843" t="s">
        <v>19</v>
      </c>
      <c r="G1843" t="s">
        <v>20</v>
      </c>
      <c r="H1843" t="s">
        <v>21</v>
      </c>
      <c r="I1843" t="s">
        <v>21</v>
      </c>
      <c r="J1843" t="s">
        <v>29</v>
      </c>
      <c r="K1843">
        <v>8</v>
      </c>
      <c r="L1843">
        <v>156.333333333333</v>
      </c>
      <c r="M1843" t="s">
        <v>30</v>
      </c>
      <c r="N1843" t="str">
        <f>_xlfn.XLOOKUP(A1843,[1]!brca_metabric_clinical_data__2[Patient ID], [1]!brca_metabric_clinical_data__2[Tumor Size])</f>
        <v>28</v>
      </c>
      <c r="O1843" t="str">
        <f>_xlfn.XLOOKUP(A1843,[1]!brca_metabric_clinical_data__2[Sample ID],[1]!brca_metabric_clinical_data__2[Tumor Stage])</f>
        <v>NA</v>
      </c>
    </row>
    <row r="1844" spans="1:15" x14ac:dyDescent="0.45">
      <c r="A1844" t="s">
        <v>1879</v>
      </c>
      <c r="B1844">
        <v>49.16</v>
      </c>
      <c r="C1844" t="s">
        <v>16</v>
      </c>
      <c r="D1844" t="s">
        <v>26</v>
      </c>
      <c r="E1844" t="s">
        <v>18</v>
      </c>
      <c r="F1844" t="s">
        <v>19</v>
      </c>
      <c r="G1844" t="s">
        <v>20</v>
      </c>
      <c r="H1844" t="s">
        <v>21</v>
      </c>
      <c r="I1844" t="s">
        <v>21</v>
      </c>
      <c r="J1844" t="s">
        <v>27</v>
      </c>
      <c r="K1844">
        <v>3</v>
      </c>
      <c r="L1844">
        <v>124.26666666666701</v>
      </c>
      <c r="M1844" t="s">
        <v>24</v>
      </c>
      <c r="N1844" t="str">
        <f>_xlfn.XLOOKUP(A1844,[1]!brca_metabric_clinical_data__2[Patient ID], [1]!brca_metabric_clinical_data__2[Tumor Size])</f>
        <v>15.5</v>
      </c>
      <c r="O1844" t="str">
        <f>_xlfn.XLOOKUP(A1844,[1]!brca_metabric_clinical_data__2[Sample ID],[1]!brca_metabric_clinical_data__2[Tumor Stage])</f>
        <v>NA</v>
      </c>
    </row>
    <row r="1845" spans="1:15" x14ac:dyDescent="0.45">
      <c r="A1845" t="s">
        <v>1880</v>
      </c>
      <c r="B1845">
        <v>73.16</v>
      </c>
      <c r="C1845" t="s">
        <v>16</v>
      </c>
      <c r="D1845" t="s">
        <v>17</v>
      </c>
      <c r="E1845" t="s">
        <v>18</v>
      </c>
      <c r="F1845" t="s">
        <v>19</v>
      </c>
      <c r="G1845" t="s">
        <v>20</v>
      </c>
      <c r="H1845" t="s">
        <v>21</v>
      </c>
      <c r="I1845" t="s">
        <v>20</v>
      </c>
      <c r="J1845" t="s">
        <v>29</v>
      </c>
      <c r="K1845">
        <v>3</v>
      </c>
      <c r="L1845">
        <v>104.1</v>
      </c>
      <c r="M1845" t="s">
        <v>30</v>
      </c>
      <c r="N1845" t="str">
        <f>_xlfn.XLOOKUP(A1845,[1]!brca_metabric_clinical_data__2[Patient ID], [1]!brca_metabric_clinical_data__2[Tumor Size])</f>
        <v>20</v>
      </c>
      <c r="O1845" t="str">
        <f>_xlfn.XLOOKUP(A1845,[1]!brca_metabric_clinical_data__2[Sample ID],[1]!brca_metabric_clinical_data__2[Tumor Stage])</f>
        <v>NA</v>
      </c>
    </row>
    <row r="1846" spans="1:15" x14ac:dyDescent="0.45">
      <c r="A1846" t="s">
        <v>1881</v>
      </c>
      <c r="B1846">
        <v>59.93</v>
      </c>
      <c r="C1846" t="s">
        <v>16</v>
      </c>
      <c r="D1846" t="s">
        <v>17</v>
      </c>
      <c r="E1846" t="s">
        <v>18</v>
      </c>
      <c r="F1846" t="s">
        <v>19</v>
      </c>
      <c r="G1846" t="s">
        <v>20</v>
      </c>
      <c r="H1846" t="s">
        <v>21</v>
      </c>
      <c r="I1846" t="s">
        <v>21</v>
      </c>
      <c r="J1846" t="s">
        <v>22</v>
      </c>
      <c r="K1846">
        <v>6</v>
      </c>
      <c r="L1846">
        <v>122.833333333333</v>
      </c>
      <c r="M1846" t="s">
        <v>30</v>
      </c>
      <c r="N1846" t="str">
        <f>_xlfn.XLOOKUP(A1846,[1]!brca_metabric_clinical_data__2[Patient ID], [1]!brca_metabric_clinical_data__2[Tumor Size])</f>
        <v>19</v>
      </c>
      <c r="O1846" t="str">
        <f>_xlfn.XLOOKUP(A1846,[1]!brca_metabric_clinical_data__2[Sample ID],[1]!brca_metabric_clinical_data__2[Tumor Stage])</f>
        <v>NA</v>
      </c>
    </row>
    <row r="1847" spans="1:15" x14ac:dyDescent="0.45">
      <c r="A1847" t="s">
        <v>1882</v>
      </c>
      <c r="B1847">
        <v>80.13</v>
      </c>
      <c r="C1847" t="s">
        <v>16</v>
      </c>
      <c r="D1847" t="s">
        <v>17</v>
      </c>
      <c r="E1847" t="s">
        <v>18</v>
      </c>
      <c r="F1847" t="s">
        <v>19</v>
      </c>
      <c r="G1847" t="s">
        <v>20</v>
      </c>
      <c r="H1847" t="s">
        <v>21</v>
      </c>
      <c r="I1847" t="s">
        <v>20</v>
      </c>
      <c r="J1847" t="s">
        <v>27</v>
      </c>
      <c r="K1847">
        <v>2</v>
      </c>
      <c r="L1847">
        <v>37.5</v>
      </c>
      <c r="M1847" t="s">
        <v>30</v>
      </c>
      <c r="N1847" t="str">
        <f>_xlfn.XLOOKUP(A1847,[1]!brca_metabric_clinical_data__2[Patient ID], [1]!brca_metabric_clinical_data__2[Tumor Size])</f>
        <v>29</v>
      </c>
      <c r="O1847" t="str">
        <f>_xlfn.XLOOKUP(A1847,[1]!brca_metabric_clinical_data__2[Sample ID],[1]!brca_metabric_clinical_data__2[Tumor Stage])</f>
        <v>NA</v>
      </c>
    </row>
    <row r="1848" spans="1:15" x14ac:dyDescent="0.45">
      <c r="A1848" t="s">
        <v>1883</v>
      </c>
      <c r="B1848">
        <v>67.849999999999994</v>
      </c>
      <c r="C1848" t="s">
        <v>16</v>
      </c>
      <c r="D1848" t="s">
        <v>17</v>
      </c>
      <c r="E1848" t="s">
        <v>18</v>
      </c>
      <c r="F1848" t="s">
        <v>19</v>
      </c>
      <c r="G1848" t="s">
        <v>20</v>
      </c>
      <c r="H1848" t="s">
        <v>21</v>
      </c>
      <c r="I1848" t="s">
        <v>20</v>
      </c>
      <c r="J1848" t="s">
        <v>27</v>
      </c>
      <c r="K1848">
        <v>8</v>
      </c>
      <c r="L1848">
        <v>56.933333333333302</v>
      </c>
      <c r="M1848" t="s">
        <v>30</v>
      </c>
      <c r="N1848" t="str">
        <f>_xlfn.XLOOKUP(A1848,[1]!brca_metabric_clinical_data__2[Patient ID], [1]!brca_metabric_clinical_data__2[Tumor Size])</f>
        <v>30</v>
      </c>
      <c r="O1848" t="str">
        <f>_xlfn.XLOOKUP(A1848,[1]!brca_metabric_clinical_data__2[Sample ID],[1]!brca_metabric_clinical_data__2[Tumor Stage])</f>
        <v>NA</v>
      </c>
    </row>
    <row r="1849" spans="1:15" x14ac:dyDescent="0.45">
      <c r="A1849" t="s">
        <v>1884</v>
      </c>
      <c r="B1849">
        <v>67.27</v>
      </c>
      <c r="C1849" t="s">
        <v>16</v>
      </c>
      <c r="D1849" t="s">
        <v>17</v>
      </c>
      <c r="E1849" t="s">
        <v>18</v>
      </c>
      <c r="F1849" t="s">
        <v>43</v>
      </c>
      <c r="G1849" t="s">
        <v>20</v>
      </c>
      <c r="H1849" t="s">
        <v>21</v>
      </c>
      <c r="I1849" t="s">
        <v>20</v>
      </c>
      <c r="J1849" t="s">
        <v>29</v>
      </c>
      <c r="K1849">
        <v>2</v>
      </c>
      <c r="L1849">
        <v>117.533333333333</v>
      </c>
      <c r="M1849" t="s">
        <v>24</v>
      </c>
      <c r="N1849" t="str">
        <f>_xlfn.XLOOKUP(A1849,[1]!brca_metabric_clinical_data__2[Patient ID], [1]!brca_metabric_clinical_data__2[Tumor Size])</f>
        <v>19</v>
      </c>
      <c r="O1849" t="str">
        <f>_xlfn.XLOOKUP(A1849,[1]!brca_metabric_clinical_data__2[Sample ID],[1]!brca_metabric_clinical_data__2[Tumor Stage])</f>
        <v>NA</v>
      </c>
    </row>
    <row r="1850" spans="1:15" x14ac:dyDescent="0.45">
      <c r="A1850" t="s">
        <v>1885</v>
      </c>
      <c r="B1850">
        <v>52.12</v>
      </c>
      <c r="C1850" t="s">
        <v>16</v>
      </c>
      <c r="D1850" t="s">
        <v>17</v>
      </c>
      <c r="E1850" t="s">
        <v>18</v>
      </c>
      <c r="F1850" t="s">
        <v>19</v>
      </c>
      <c r="G1850" t="s">
        <v>20</v>
      </c>
      <c r="H1850" t="s">
        <v>21</v>
      </c>
      <c r="I1850" t="s">
        <v>20</v>
      </c>
      <c r="J1850" t="s">
        <v>58</v>
      </c>
      <c r="K1850">
        <v>1</v>
      </c>
      <c r="L1850">
        <v>30.1666666666667</v>
      </c>
      <c r="M1850" t="s">
        <v>30</v>
      </c>
      <c r="N1850" t="str">
        <f>_xlfn.XLOOKUP(A1850,[1]!brca_metabric_clinical_data__2[Patient ID], [1]!brca_metabric_clinical_data__2[Tumor Size])</f>
        <v>50</v>
      </c>
      <c r="O1850" t="str">
        <f>_xlfn.XLOOKUP(A1850,[1]!brca_metabric_clinical_data__2[Sample ID],[1]!brca_metabric_clinical_data__2[Tumor Stage])</f>
        <v>NA</v>
      </c>
    </row>
    <row r="1851" spans="1:15" x14ac:dyDescent="0.45">
      <c r="A1851" t="s">
        <v>1886</v>
      </c>
      <c r="B1851">
        <v>40.74</v>
      </c>
      <c r="C1851" t="s">
        <v>16</v>
      </c>
      <c r="D1851" t="s">
        <v>26</v>
      </c>
      <c r="E1851" t="s">
        <v>18</v>
      </c>
      <c r="F1851" t="s">
        <v>19</v>
      </c>
      <c r="G1851" t="s">
        <v>21</v>
      </c>
      <c r="H1851" t="s">
        <v>20</v>
      </c>
      <c r="I1851" t="s">
        <v>20</v>
      </c>
      <c r="J1851" t="s">
        <v>29</v>
      </c>
      <c r="K1851">
        <v>2</v>
      </c>
      <c r="L1851">
        <v>64.7</v>
      </c>
      <c r="M1851" t="s">
        <v>30</v>
      </c>
      <c r="N1851" t="str">
        <f>_xlfn.XLOOKUP(A1851,[1]!brca_metabric_clinical_data__2[Patient ID], [1]!brca_metabric_clinical_data__2[Tumor Size])</f>
        <v>40</v>
      </c>
      <c r="O1851" t="str">
        <f>_xlfn.XLOOKUP(A1851,[1]!brca_metabric_clinical_data__2[Sample ID],[1]!brca_metabric_clinical_data__2[Tumor Stage])</f>
        <v>NA</v>
      </c>
    </row>
    <row r="1852" spans="1:15" x14ac:dyDescent="0.45">
      <c r="A1852" t="s">
        <v>1887</v>
      </c>
      <c r="B1852">
        <v>66.040000000000006</v>
      </c>
      <c r="C1852" t="s">
        <v>16</v>
      </c>
      <c r="D1852" t="s">
        <v>17</v>
      </c>
      <c r="E1852" t="s">
        <v>18</v>
      </c>
      <c r="F1852" t="s">
        <v>19</v>
      </c>
      <c r="G1852" t="s">
        <v>20</v>
      </c>
      <c r="H1852" t="s">
        <v>21</v>
      </c>
      <c r="I1852" t="s">
        <v>20</v>
      </c>
      <c r="J1852" t="s">
        <v>27</v>
      </c>
      <c r="K1852">
        <v>7</v>
      </c>
      <c r="L1852">
        <v>136.69999999999999</v>
      </c>
      <c r="M1852" t="s">
        <v>30</v>
      </c>
      <c r="N1852" t="str">
        <f>_xlfn.XLOOKUP(A1852,[1]!brca_metabric_clinical_data__2[Patient ID], [1]!brca_metabric_clinical_data__2[Tumor Size])</f>
        <v>10</v>
      </c>
      <c r="O1852" t="str">
        <f>_xlfn.XLOOKUP(A1852,[1]!brca_metabric_clinical_data__2[Sample ID],[1]!brca_metabric_clinical_data__2[Tumor Stage])</f>
        <v>NA</v>
      </c>
    </row>
    <row r="1853" spans="1:15" x14ac:dyDescent="0.45">
      <c r="A1853" t="s">
        <v>1888</v>
      </c>
      <c r="B1853">
        <v>55.57</v>
      </c>
      <c r="C1853" t="s">
        <v>16</v>
      </c>
      <c r="D1853" t="s">
        <v>17</v>
      </c>
      <c r="E1853" t="s">
        <v>37</v>
      </c>
      <c r="F1853" t="s">
        <v>19</v>
      </c>
      <c r="G1853" t="s">
        <v>20</v>
      </c>
      <c r="H1853" t="s">
        <v>21</v>
      </c>
      <c r="I1853" t="s">
        <v>21</v>
      </c>
      <c r="J1853" t="s">
        <v>58</v>
      </c>
      <c r="K1853">
        <v>10</v>
      </c>
      <c r="L1853">
        <v>123.26666666666701</v>
      </c>
      <c r="M1853" t="s">
        <v>24</v>
      </c>
      <c r="N1853" t="str">
        <f>_xlfn.XLOOKUP(A1853,[1]!brca_metabric_clinical_data__2[Patient ID], [1]!brca_metabric_clinical_data__2[Tumor Size])</f>
        <v>16</v>
      </c>
      <c r="O1853" t="str">
        <f>_xlfn.XLOOKUP(A1853,[1]!brca_metabric_clinical_data__2[Sample ID],[1]!brca_metabric_clinical_data__2[Tumor Stage])</f>
        <v>NA</v>
      </c>
    </row>
    <row r="1854" spans="1:15" x14ac:dyDescent="0.45">
      <c r="A1854" t="s">
        <v>1889</v>
      </c>
      <c r="B1854">
        <v>80.56</v>
      </c>
      <c r="C1854" t="s">
        <v>16</v>
      </c>
      <c r="D1854" t="s">
        <v>17</v>
      </c>
      <c r="F1854" t="s">
        <v>43</v>
      </c>
      <c r="G1854" t="s">
        <v>20</v>
      </c>
      <c r="H1854" t="s">
        <v>21</v>
      </c>
      <c r="I1854" t="s">
        <v>21</v>
      </c>
      <c r="J1854" t="s">
        <v>45</v>
      </c>
      <c r="K1854">
        <v>5</v>
      </c>
      <c r="L1854">
        <v>141.73333333333301</v>
      </c>
      <c r="M1854" t="s">
        <v>30</v>
      </c>
      <c r="N1854" t="str">
        <f>_xlfn.XLOOKUP(A1854,[1]!brca_metabric_clinical_data__2[Patient ID], [1]!brca_metabric_clinical_data__2[Tumor Size])</f>
        <v>70</v>
      </c>
      <c r="O1854" t="str">
        <f>_xlfn.XLOOKUP(A1854,[1]!brca_metabric_clinical_data__2[Sample ID],[1]!brca_metabric_clinical_data__2[Tumor Stage])</f>
        <v>NA</v>
      </c>
    </row>
    <row r="1855" spans="1:15" x14ac:dyDescent="0.45">
      <c r="A1855" t="s">
        <v>1890</v>
      </c>
      <c r="B1855">
        <v>77.17</v>
      </c>
      <c r="C1855" t="s">
        <v>16</v>
      </c>
      <c r="D1855" t="s">
        <v>17</v>
      </c>
      <c r="E1855" t="s">
        <v>18</v>
      </c>
      <c r="F1855" t="s">
        <v>19</v>
      </c>
      <c r="G1855" t="s">
        <v>20</v>
      </c>
      <c r="H1855" t="s">
        <v>21</v>
      </c>
      <c r="I1855" t="s">
        <v>20</v>
      </c>
      <c r="J1855" t="s">
        <v>29</v>
      </c>
      <c r="K1855">
        <v>8</v>
      </c>
      <c r="L1855">
        <v>33.366666666666703</v>
      </c>
      <c r="M1855" t="s">
        <v>30</v>
      </c>
      <c r="N1855" t="str">
        <f>_xlfn.XLOOKUP(A1855,[1]!brca_metabric_clinical_data__2[Patient ID], [1]!brca_metabric_clinical_data__2[Tumor Size])</f>
        <v>40</v>
      </c>
      <c r="O1855" t="str">
        <f>_xlfn.XLOOKUP(A1855,[1]!brca_metabric_clinical_data__2[Sample ID],[1]!brca_metabric_clinical_data__2[Tumor Stage])</f>
        <v>NA</v>
      </c>
    </row>
    <row r="1856" spans="1:15" x14ac:dyDescent="0.45">
      <c r="A1856" t="s">
        <v>1891</v>
      </c>
      <c r="B1856">
        <v>70.150000000000006</v>
      </c>
      <c r="C1856" t="s">
        <v>16</v>
      </c>
      <c r="D1856" t="s">
        <v>17</v>
      </c>
      <c r="F1856" t="s">
        <v>19</v>
      </c>
      <c r="G1856" t="s">
        <v>20</v>
      </c>
      <c r="H1856" t="s">
        <v>21</v>
      </c>
      <c r="I1856" t="s">
        <v>20</v>
      </c>
      <c r="J1856" t="s">
        <v>27</v>
      </c>
      <c r="K1856">
        <v>8</v>
      </c>
      <c r="L1856">
        <v>140.566666666667</v>
      </c>
      <c r="M1856" t="s">
        <v>24</v>
      </c>
      <c r="N1856" t="str">
        <f>_xlfn.XLOOKUP(A1856,[1]!brca_metabric_clinical_data__2[Patient ID], [1]!brca_metabric_clinical_data__2[Tumor Size])</f>
        <v>20</v>
      </c>
      <c r="O1856" t="str">
        <f>_xlfn.XLOOKUP(A1856,[1]!brca_metabric_clinical_data__2[Sample ID],[1]!brca_metabric_clinical_data__2[Tumor Stage])</f>
        <v>NA</v>
      </c>
    </row>
    <row r="1857" spans="1:15" x14ac:dyDescent="0.45">
      <c r="A1857" t="s">
        <v>1892</v>
      </c>
      <c r="B1857">
        <v>54.53</v>
      </c>
      <c r="C1857" t="s">
        <v>16</v>
      </c>
      <c r="D1857" t="s">
        <v>17</v>
      </c>
      <c r="E1857" t="s">
        <v>37</v>
      </c>
      <c r="F1857" t="s">
        <v>19</v>
      </c>
      <c r="G1857" t="s">
        <v>21</v>
      </c>
      <c r="H1857" t="s">
        <v>21</v>
      </c>
      <c r="I1857" t="s">
        <v>21</v>
      </c>
      <c r="J1857" t="s">
        <v>58</v>
      </c>
      <c r="K1857">
        <v>10</v>
      </c>
      <c r="L1857">
        <v>128.36666666666699</v>
      </c>
      <c r="M1857" t="s">
        <v>24</v>
      </c>
      <c r="N1857" t="str">
        <f>_xlfn.XLOOKUP(A1857,[1]!brca_metabric_clinical_data__2[Patient ID], [1]!brca_metabric_clinical_data__2[Tumor Size])</f>
        <v>23</v>
      </c>
      <c r="O1857" t="str">
        <f>_xlfn.XLOOKUP(A1857,[1]!brca_metabric_clinical_data__2[Sample ID],[1]!brca_metabric_clinical_data__2[Tumor Stage])</f>
        <v>NA</v>
      </c>
    </row>
    <row r="1858" spans="1:15" x14ac:dyDescent="0.45">
      <c r="A1858" t="s">
        <v>1893</v>
      </c>
      <c r="B1858">
        <v>49.02</v>
      </c>
      <c r="C1858" t="s">
        <v>16</v>
      </c>
      <c r="D1858" t="s">
        <v>26</v>
      </c>
      <c r="E1858" t="s">
        <v>37</v>
      </c>
      <c r="F1858" t="s">
        <v>19</v>
      </c>
      <c r="G1858" t="s">
        <v>21</v>
      </c>
      <c r="H1858" t="s">
        <v>21</v>
      </c>
      <c r="I1858" t="s">
        <v>21</v>
      </c>
      <c r="J1858" t="s">
        <v>22</v>
      </c>
      <c r="K1858">
        <v>10</v>
      </c>
      <c r="L1858">
        <v>88.8333333333333</v>
      </c>
      <c r="M1858" t="s">
        <v>30</v>
      </c>
      <c r="N1858" t="str">
        <f>_xlfn.XLOOKUP(A1858,[1]!brca_metabric_clinical_data__2[Patient ID], [1]!brca_metabric_clinical_data__2[Tumor Size])</f>
        <v>38</v>
      </c>
      <c r="O1858" t="str">
        <f>_xlfn.XLOOKUP(A1858,[1]!brca_metabric_clinical_data__2[Sample ID],[1]!brca_metabric_clinical_data__2[Tumor Stage])</f>
        <v>NA</v>
      </c>
    </row>
    <row r="1859" spans="1:15" x14ac:dyDescent="0.45">
      <c r="A1859" t="s">
        <v>1894</v>
      </c>
      <c r="B1859">
        <v>83.39</v>
      </c>
      <c r="C1859" t="s">
        <v>16</v>
      </c>
      <c r="D1859" t="s">
        <v>17</v>
      </c>
      <c r="E1859" t="s">
        <v>18</v>
      </c>
      <c r="F1859" t="s">
        <v>19</v>
      </c>
      <c r="G1859" t="s">
        <v>20</v>
      </c>
      <c r="H1859" t="s">
        <v>21</v>
      </c>
      <c r="I1859" t="s">
        <v>20</v>
      </c>
      <c r="J1859" t="s">
        <v>58</v>
      </c>
      <c r="K1859" t="s">
        <v>23</v>
      </c>
      <c r="L1859">
        <v>29.9</v>
      </c>
      <c r="M1859" t="s">
        <v>30</v>
      </c>
      <c r="N1859" t="str">
        <f>_xlfn.XLOOKUP(A1859,[1]!brca_metabric_clinical_data__2[Patient ID], [1]!brca_metabric_clinical_data__2[Tumor Size])</f>
        <v>30</v>
      </c>
      <c r="O1859" t="str">
        <f>_xlfn.XLOOKUP(A1859,[1]!brca_metabric_clinical_data__2[Sample ID],[1]!brca_metabric_clinical_data__2[Tumor Stage])</f>
        <v>NA</v>
      </c>
    </row>
    <row r="1860" spans="1:15" x14ac:dyDescent="0.45">
      <c r="A1860" t="s">
        <v>1895</v>
      </c>
      <c r="B1860">
        <v>56.97</v>
      </c>
      <c r="C1860" t="s">
        <v>16</v>
      </c>
      <c r="D1860" t="s">
        <v>17</v>
      </c>
      <c r="F1860" t="s">
        <v>43</v>
      </c>
      <c r="G1860" t="s">
        <v>20</v>
      </c>
      <c r="H1860" t="s">
        <v>21</v>
      </c>
      <c r="I1860" t="s">
        <v>20</v>
      </c>
      <c r="J1860" t="s">
        <v>27</v>
      </c>
      <c r="K1860">
        <v>1</v>
      </c>
      <c r="L1860">
        <v>137.666666666667</v>
      </c>
      <c r="M1860" t="s">
        <v>24</v>
      </c>
      <c r="N1860" t="str">
        <f>_xlfn.XLOOKUP(A1860,[1]!brca_metabric_clinical_data__2[Patient ID], [1]!brca_metabric_clinical_data__2[Tumor Size])</f>
        <v>36</v>
      </c>
      <c r="O1860" t="str">
        <f>_xlfn.XLOOKUP(A1860,[1]!brca_metabric_clinical_data__2[Sample ID],[1]!brca_metabric_clinical_data__2[Tumor Stage])</f>
        <v>NA</v>
      </c>
    </row>
    <row r="1861" spans="1:15" x14ac:dyDescent="0.45">
      <c r="A1861" t="s">
        <v>1896</v>
      </c>
      <c r="B1861">
        <v>71.16</v>
      </c>
      <c r="C1861" t="s">
        <v>16</v>
      </c>
      <c r="D1861" t="s">
        <v>17</v>
      </c>
      <c r="F1861" t="s">
        <v>19</v>
      </c>
      <c r="G1861" t="s">
        <v>20</v>
      </c>
      <c r="H1861" t="s">
        <v>21</v>
      </c>
      <c r="I1861" t="s">
        <v>20</v>
      </c>
      <c r="J1861" t="s">
        <v>27</v>
      </c>
      <c r="K1861">
        <v>7</v>
      </c>
      <c r="L1861">
        <v>139.6</v>
      </c>
      <c r="M1861" t="s">
        <v>24</v>
      </c>
      <c r="N1861" t="str">
        <f>_xlfn.XLOOKUP(A1861,[1]!brca_metabric_clinical_data__2[Patient ID], [1]!brca_metabric_clinical_data__2[Tumor Size])</f>
        <v>20</v>
      </c>
      <c r="O1861" t="str">
        <f>_xlfn.XLOOKUP(A1861,[1]!brca_metabric_clinical_data__2[Sample ID],[1]!brca_metabric_clinical_data__2[Tumor Stage])</f>
        <v>NA</v>
      </c>
    </row>
    <row r="1862" spans="1:15" x14ac:dyDescent="0.45">
      <c r="A1862" t="s">
        <v>1897</v>
      </c>
      <c r="B1862">
        <v>52.43</v>
      </c>
      <c r="C1862" t="s">
        <v>16</v>
      </c>
      <c r="D1862" t="s">
        <v>17</v>
      </c>
      <c r="E1862" t="s">
        <v>18</v>
      </c>
      <c r="F1862" t="s">
        <v>19</v>
      </c>
      <c r="G1862" t="s">
        <v>20</v>
      </c>
      <c r="H1862" t="s">
        <v>21</v>
      </c>
      <c r="I1862" t="s">
        <v>21</v>
      </c>
      <c r="J1862" t="s">
        <v>38</v>
      </c>
      <c r="K1862">
        <v>9</v>
      </c>
      <c r="L1862">
        <v>135.333333333333</v>
      </c>
      <c r="M1862" t="s">
        <v>24</v>
      </c>
      <c r="N1862" t="str">
        <f>_xlfn.XLOOKUP(A1862,[1]!brca_metabric_clinical_data__2[Patient ID], [1]!brca_metabric_clinical_data__2[Tumor Size])</f>
        <v>19</v>
      </c>
      <c r="O1862" t="str">
        <f>_xlfn.XLOOKUP(A1862,[1]!brca_metabric_clinical_data__2[Sample ID],[1]!brca_metabric_clinical_data__2[Tumor Stage])</f>
        <v>NA</v>
      </c>
    </row>
    <row r="1863" spans="1:15" x14ac:dyDescent="0.45">
      <c r="A1863" t="s">
        <v>1898</v>
      </c>
      <c r="B1863">
        <v>71.05</v>
      </c>
      <c r="C1863" t="s">
        <v>16</v>
      </c>
      <c r="D1863" t="s">
        <v>17</v>
      </c>
      <c r="E1863" t="s">
        <v>18</v>
      </c>
      <c r="F1863" t="s">
        <v>43</v>
      </c>
      <c r="G1863" t="s">
        <v>20</v>
      </c>
      <c r="H1863" t="s">
        <v>21</v>
      </c>
      <c r="I1863" t="s">
        <v>20</v>
      </c>
      <c r="J1863" t="s">
        <v>27</v>
      </c>
      <c r="K1863">
        <v>5</v>
      </c>
      <c r="L1863">
        <v>60.266666666666701</v>
      </c>
      <c r="M1863" t="s">
        <v>30</v>
      </c>
      <c r="N1863" t="str">
        <f>_xlfn.XLOOKUP(A1863,[1]!brca_metabric_clinical_data__2[Patient ID], [1]!brca_metabric_clinical_data__2[Tumor Size])</f>
        <v>21</v>
      </c>
      <c r="O1863" t="str">
        <f>_xlfn.XLOOKUP(A1863,[1]!brca_metabric_clinical_data__2[Sample ID],[1]!brca_metabric_clinical_data__2[Tumor Stage])</f>
        <v>NA</v>
      </c>
    </row>
    <row r="1864" spans="1:15" x14ac:dyDescent="0.45">
      <c r="A1864" t="s">
        <v>1899</v>
      </c>
      <c r="B1864">
        <v>72.28</v>
      </c>
      <c r="C1864" t="s">
        <v>16</v>
      </c>
      <c r="D1864" t="s">
        <v>17</v>
      </c>
      <c r="E1864" t="s">
        <v>18</v>
      </c>
      <c r="F1864" t="s">
        <v>43</v>
      </c>
      <c r="G1864" t="s">
        <v>20</v>
      </c>
      <c r="H1864" t="s">
        <v>21</v>
      </c>
      <c r="I1864" t="s">
        <v>21</v>
      </c>
      <c r="J1864" t="s">
        <v>29</v>
      </c>
      <c r="K1864">
        <v>9</v>
      </c>
      <c r="L1864">
        <v>102.966666666667</v>
      </c>
      <c r="M1864" t="s">
        <v>30</v>
      </c>
      <c r="N1864" t="str">
        <f>_xlfn.XLOOKUP(A1864,[1]!brca_metabric_clinical_data__2[Patient ID], [1]!brca_metabric_clinical_data__2[Tumor Size])</f>
        <v>31</v>
      </c>
      <c r="O1864" t="str">
        <f>_xlfn.XLOOKUP(A1864,[1]!brca_metabric_clinical_data__2[Sample ID],[1]!brca_metabric_clinical_data__2[Tumor Stage])</f>
        <v>NA</v>
      </c>
    </row>
    <row r="1865" spans="1:15" x14ac:dyDescent="0.45">
      <c r="A1865" t="s">
        <v>1900</v>
      </c>
      <c r="B1865">
        <v>58.04</v>
      </c>
      <c r="C1865" t="s">
        <v>16</v>
      </c>
      <c r="D1865" t="s">
        <v>17</v>
      </c>
      <c r="E1865" t="s">
        <v>18</v>
      </c>
      <c r="F1865" t="s">
        <v>19</v>
      </c>
      <c r="G1865" t="s">
        <v>20</v>
      </c>
      <c r="H1865" t="s">
        <v>21</v>
      </c>
      <c r="I1865" t="s">
        <v>20</v>
      </c>
      <c r="J1865" t="s">
        <v>29</v>
      </c>
      <c r="K1865">
        <v>8</v>
      </c>
      <c r="L1865">
        <v>134.73333333333301</v>
      </c>
      <c r="M1865" t="s">
        <v>24</v>
      </c>
      <c r="N1865" t="str">
        <f>_xlfn.XLOOKUP(A1865,[1]!brca_metabric_clinical_data__2[Patient ID], [1]!brca_metabric_clinical_data__2[Tumor Size])</f>
        <v>21</v>
      </c>
      <c r="O1865" t="str">
        <f>_xlfn.XLOOKUP(A1865,[1]!brca_metabric_clinical_data__2[Sample ID],[1]!brca_metabric_clinical_data__2[Tumor Stage])</f>
        <v>NA</v>
      </c>
    </row>
    <row r="1866" spans="1:15" x14ac:dyDescent="0.45">
      <c r="A1866" t="s">
        <v>1901</v>
      </c>
      <c r="B1866">
        <v>69.06</v>
      </c>
      <c r="C1866" t="s">
        <v>16</v>
      </c>
      <c r="D1866" t="s">
        <v>17</v>
      </c>
      <c r="E1866" t="s">
        <v>18</v>
      </c>
      <c r="F1866" t="s">
        <v>19</v>
      </c>
      <c r="G1866" t="s">
        <v>20</v>
      </c>
      <c r="H1866" t="s">
        <v>21</v>
      </c>
      <c r="I1866" t="s">
        <v>20</v>
      </c>
      <c r="J1866" t="s">
        <v>29</v>
      </c>
      <c r="K1866">
        <v>7</v>
      </c>
      <c r="L1866">
        <v>131.6</v>
      </c>
      <c r="M1866" t="s">
        <v>24</v>
      </c>
      <c r="N1866" t="str">
        <f>_xlfn.XLOOKUP(A1866,[1]!brca_metabric_clinical_data__2[Patient ID], [1]!brca_metabric_clinical_data__2[Tumor Size])</f>
        <v>19</v>
      </c>
      <c r="O1866" t="str">
        <f>_xlfn.XLOOKUP(A1866,[1]!brca_metabric_clinical_data__2[Sample ID],[1]!brca_metabric_clinical_data__2[Tumor Stage])</f>
        <v>NA</v>
      </c>
    </row>
    <row r="1867" spans="1:15" x14ac:dyDescent="0.45">
      <c r="A1867" t="s">
        <v>1902</v>
      </c>
      <c r="B1867">
        <v>71.41</v>
      </c>
      <c r="C1867" t="s">
        <v>16</v>
      </c>
      <c r="D1867" t="s">
        <v>17</v>
      </c>
      <c r="E1867" t="s">
        <v>18</v>
      </c>
      <c r="F1867" t="s">
        <v>19</v>
      </c>
      <c r="G1867" t="s">
        <v>20</v>
      </c>
      <c r="H1867" t="s">
        <v>21</v>
      </c>
      <c r="I1867" t="s">
        <v>21</v>
      </c>
      <c r="J1867" t="s">
        <v>29</v>
      </c>
      <c r="K1867">
        <v>1</v>
      </c>
      <c r="L1867">
        <v>23.8333333333333</v>
      </c>
      <c r="M1867" t="s">
        <v>30</v>
      </c>
      <c r="N1867" t="str">
        <f>_xlfn.XLOOKUP(A1867,[1]!brca_metabric_clinical_data__2[Patient ID], [1]!brca_metabric_clinical_data__2[Tumor Size])</f>
        <v>18</v>
      </c>
      <c r="O1867" t="str">
        <f>_xlfn.XLOOKUP(A1867,[1]!brca_metabric_clinical_data__2[Sample ID],[1]!brca_metabric_clinical_data__2[Tumor Stage])</f>
        <v>NA</v>
      </c>
    </row>
    <row r="1868" spans="1:15" x14ac:dyDescent="0.45">
      <c r="A1868" t="s">
        <v>1903</v>
      </c>
      <c r="B1868">
        <v>56.93</v>
      </c>
      <c r="C1868" t="s">
        <v>16</v>
      </c>
      <c r="D1868" t="s">
        <v>17</v>
      </c>
      <c r="E1868" t="s">
        <v>37</v>
      </c>
      <c r="F1868" t="s">
        <v>43</v>
      </c>
      <c r="G1868" t="s">
        <v>21</v>
      </c>
      <c r="H1868" t="s">
        <v>21</v>
      </c>
      <c r="I1868" t="s">
        <v>21</v>
      </c>
      <c r="J1868" t="s">
        <v>45</v>
      </c>
      <c r="K1868">
        <v>5</v>
      </c>
      <c r="L1868">
        <v>26.733333333333299</v>
      </c>
      <c r="M1868" t="s">
        <v>30</v>
      </c>
      <c r="N1868" t="str">
        <f>_xlfn.XLOOKUP(A1868,[1]!brca_metabric_clinical_data__2[Patient ID], [1]!brca_metabric_clinical_data__2[Tumor Size])</f>
        <v>26</v>
      </c>
      <c r="O1868" t="str">
        <f>_xlfn.XLOOKUP(A1868,[1]!brca_metabric_clinical_data__2[Sample ID],[1]!brca_metabric_clinical_data__2[Tumor Stage])</f>
        <v>NA</v>
      </c>
    </row>
    <row r="1869" spans="1:15" x14ac:dyDescent="0.45">
      <c r="A1869" t="s">
        <v>1904</v>
      </c>
      <c r="B1869">
        <v>64.239999999999995</v>
      </c>
      <c r="C1869" t="s">
        <v>16</v>
      </c>
      <c r="D1869" t="s">
        <v>17</v>
      </c>
      <c r="E1869" t="s">
        <v>18</v>
      </c>
      <c r="F1869" t="s">
        <v>19</v>
      </c>
      <c r="G1869" t="s">
        <v>20</v>
      </c>
      <c r="H1869" t="s">
        <v>21</v>
      </c>
      <c r="I1869" t="s">
        <v>21</v>
      </c>
      <c r="J1869" t="s">
        <v>27</v>
      </c>
      <c r="K1869" t="s">
        <v>23</v>
      </c>
      <c r="L1869">
        <v>179.8</v>
      </c>
      <c r="M1869" t="s">
        <v>24</v>
      </c>
      <c r="N1869" t="str">
        <f>_xlfn.XLOOKUP(A1869,[1]!brca_metabric_clinical_data__2[Patient ID], [1]!brca_metabric_clinical_data__2[Tumor Size])</f>
        <v>21</v>
      </c>
      <c r="O1869" t="str">
        <f>_xlfn.XLOOKUP(A1869,[1]!brca_metabric_clinical_data__2[Sample ID],[1]!brca_metabric_clinical_data__2[Tumor Stage])</f>
        <v>NA</v>
      </c>
    </row>
    <row r="1870" spans="1:15" x14ac:dyDescent="0.45">
      <c r="A1870" t="s">
        <v>1905</v>
      </c>
      <c r="B1870">
        <v>68.16</v>
      </c>
      <c r="C1870" t="s">
        <v>16</v>
      </c>
      <c r="D1870" t="s">
        <v>17</v>
      </c>
      <c r="E1870" t="s">
        <v>18</v>
      </c>
      <c r="F1870" t="s">
        <v>19</v>
      </c>
      <c r="G1870" t="s">
        <v>20</v>
      </c>
      <c r="H1870" t="s">
        <v>21</v>
      </c>
      <c r="I1870" t="s">
        <v>21</v>
      </c>
      <c r="J1870" t="s">
        <v>29</v>
      </c>
      <c r="K1870">
        <v>8</v>
      </c>
      <c r="L1870">
        <v>123</v>
      </c>
      <c r="M1870" t="s">
        <v>30</v>
      </c>
      <c r="N1870" t="str">
        <f>_xlfn.XLOOKUP(A1870,[1]!brca_metabric_clinical_data__2[Patient ID], [1]!brca_metabric_clinical_data__2[Tumor Size])</f>
        <v>22</v>
      </c>
      <c r="O1870" t="str">
        <f>_xlfn.XLOOKUP(A1870,[1]!brca_metabric_clinical_data__2[Sample ID],[1]!brca_metabric_clinical_data__2[Tumor Stage])</f>
        <v>NA</v>
      </c>
    </row>
    <row r="1871" spans="1:15" x14ac:dyDescent="0.45">
      <c r="A1871" t="s">
        <v>1906</v>
      </c>
      <c r="B1871">
        <v>58.27</v>
      </c>
      <c r="C1871" t="s">
        <v>16</v>
      </c>
      <c r="D1871" t="s">
        <v>17</v>
      </c>
      <c r="E1871" t="s">
        <v>18</v>
      </c>
      <c r="F1871" t="s">
        <v>19</v>
      </c>
      <c r="G1871" t="s">
        <v>20</v>
      </c>
      <c r="H1871" t="s">
        <v>21</v>
      </c>
      <c r="I1871" t="s">
        <v>20</v>
      </c>
      <c r="J1871" t="s">
        <v>29</v>
      </c>
      <c r="K1871">
        <v>8</v>
      </c>
      <c r="L1871">
        <v>90.8</v>
      </c>
      <c r="M1871" t="s">
        <v>30</v>
      </c>
      <c r="N1871" t="str">
        <f>_xlfn.XLOOKUP(A1871,[1]!brca_metabric_clinical_data__2[Patient ID], [1]!brca_metabric_clinical_data__2[Tumor Size])</f>
        <v>60</v>
      </c>
      <c r="O1871" t="str">
        <f>_xlfn.XLOOKUP(A1871,[1]!brca_metabric_clinical_data__2[Sample ID],[1]!brca_metabric_clinical_data__2[Tumor Stage])</f>
        <v>NA</v>
      </c>
    </row>
    <row r="1872" spans="1:15" x14ac:dyDescent="0.45">
      <c r="A1872" t="s">
        <v>1907</v>
      </c>
      <c r="B1872">
        <v>78.16</v>
      </c>
      <c r="C1872" t="s">
        <v>16</v>
      </c>
      <c r="D1872" t="s">
        <v>17</v>
      </c>
      <c r="F1872" t="s">
        <v>19</v>
      </c>
      <c r="G1872" t="s">
        <v>20</v>
      </c>
      <c r="H1872" t="s">
        <v>21</v>
      </c>
      <c r="I1872" t="s">
        <v>20</v>
      </c>
      <c r="J1872" t="s">
        <v>27</v>
      </c>
      <c r="K1872">
        <v>7</v>
      </c>
      <c r="L1872">
        <v>138.566666666667</v>
      </c>
      <c r="M1872" t="s">
        <v>24</v>
      </c>
      <c r="N1872" t="str">
        <f>_xlfn.XLOOKUP(A1872,[1]!brca_metabric_clinical_data__2[Patient ID], [1]!brca_metabric_clinical_data__2[Tumor Size])</f>
        <v>11.8</v>
      </c>
      <c r="O1872" t="str">
        <f>_xlfn.XLOOKUP(A1872,[1]!brca_metabric_clinical_data__2[Sample ID],[1]!brca_metabric_clinical_data__2[Tumor Stage])</f>
        <v>NA</v>
      </c>
    </row>
    <row r="1873" spans="1:15" x14ac:dyDescent="0.45">
      <c r="A1873" t="s">
        <v>1908</v>
      </c>
      <c r="B1873">
        <v>55.52</v>
      </c>
      <c r="C1873" t="s">
        <v>16</v>
      </c>
      <c r="D1873" t="s">
        <v>17</v>
      </c>
      <c r="F1873" t="s">
        <v>19</v>
      </c>
      <c r="G1873" t="s">
        <v>20</v>
      </c>
      <c r="H1873" t="s">
        <v>21</v>
      </c>
      <c r="I1873" t="s">
        <v>20</v>
      </c>
      <c r="J1873" t="s">
        <v>29</v>
      </c>
      <c r="K1873">
        <v>2</v>
      </c>
      <c r="L1873">
        <v>175.9</v>
      </c>
      <c r="M1873" t="s">
        <v>30</v>
      </c>
      <c r="N1873" t="str">
        <f>_xlfn.XLOOKUP(A1873,[1]!brca_metabric_clinical_data__2[Patient ID], [1]!brca_metabric_clinical_data__2[Tumor Size])</f>
        <v>13</v>
      </c>
      <c r="O1873" t="str">
        <f>_xlfn.XLOOKUP(A1873,[1]!brca_metabric_clinical_data__2[Sample ID],[1]!brca_metabric_clinical_data__2[Tumor Stage])</f>
        <v>NA</v>
      </c>
    </row>
    <row r="1874" spans="1:15" x14ac:dyDescent="0.45">
      <c r="A1874" t="s">
        <v>1909</v>
      </c>
      <c r="B1874">
        <v>61.38</v>
      </c>
      <c r="C1874" t="s">
        <v>16</v>
      </c>
      <c r="D1874" t="s">
        <v>17</v>
      </c>
      <c r="E1874" t="s">
        <v>37</v>
      </c>
      <c r="F1874" t="s">
        <v>43</v>
      </c>
      <c r="G1874" t="s">
        <v>20</v>
      </c>
      <c r="H1874" t="s">
        <v>21</v>
      </c>
      <c r="I1874" t="s">
        <v>21</v>
      </c>
      <c r="J1874" t="s">
        <v>45</v>
      </c>
      <c r="K1874">
        <v>5</v>
      </c>
      <c r="L1874">
        <v>186.36666666666699</v>
      </c>
      <c r="M1874" t="s">
        <v>24</v>
      </c>
      <c r="N1874" t="str">
        <f>_xlfn.XLOOKUP(A1874,[1]!brca_metabric_clinical_data__2[Patient ID], [1]!brca_metabric_clinical_data__2[Tumor Size])</f>
        <v>34</v>
      </c>
      <c r="O1874" t="str">
        <f>_xlfn.XLOOKUP(A1874,[1]!brca_metabric_clinical_data__2[Sample ID],[1]!brca_metabric_clinical_data__2[Tumor Stage])</f>
        <v>NA</v>
      </c>
    </row>
    <row r="1875" spans="1:15" x14ac:dyDescent="0.45">
      <c r="A1875" t="s">
        <v>1910</v>
      </c>
      <c r="B1875">
        <v>59.34</v>
      </c>
      <c r="C1875" t="s">
        <v>16</v>
      </c>
      <c r="D1875" t="s">
        <v>17</v>
      </c>
      <c r="E1875" t="s">
        <v>18</v>
      </c>
      <c r="F1875" t="s">
        <v>19</v>
      </c>
      <c r="G1875" t="s">
        <v>20</v>
      </c>
      <c r="H1875" t="s">
        <v>21</v>
      </c>
      <c r="I1875" t="s">
        <v>21</v>
      </c>
      <c r="J1875" t="s">
        <v>29</v>
      </c>
      <c r="K1875">
        <v>8</v>
      </c>
      <c r="L1875">
        <v>102.633333333333</v>
      </c>
      <c r="M1875" t="s">
        <v>30</v>
      </c>
      <c r="N1875" t="str">
        <f>_xlfn.XLOOKUP(A1875,[1]!brca_metabric_clinical_data__2[Patient ID], [1]!brca_metabric_clinical_data__2[Tumor Size])</f>
        <v>22.5</v>
      </c>
      <c r="O1875" t="str">
        <f>_xlfn.XLOOKUP(A1875,[1]!brca_metabric_clinical_data__2[Sample ID],[1]!brca_metabric_clinical_data__2[Tumor Stage])</f>
        <v>NA</v>
      </c>
    </row>
    <row r="1876" spans="1:15" x14ac:dyDescent="0.45">
      <c r="A1876" t="s">
        <v>1911</v>
      </c>
      <c r="B1876">
        <v>44.42</v>
      </c>
      <c r="C1876" t="s">
        <v>16</v>
      </c>
      <c r="D1876" t="s">
        <v>26</v>
      </c>
      <c r="E1876" t="s">
        <v>37</v>
      </c>
      <c r="F1876" t="s">
        <v>19</v>
      </c>
      <c r="G1876" t="s">
        <v>21</v>
      </c>
      <c r="H1876" t="s">
        <v>20</v>
      </c>
      <c r="I1876" t="s">
        <v>21</v>
      </c>
      <c r="J1876" t="s">
        <v>58</v>
      </c>
      <c r="K1876">
        <v>10</v>
      </c>
      <c r="L1876">
        <v>138.333333333333</v>
      </c>
      <c r="M1876" t="s">
        <v>24</v>
      </c>
      <c r="N1876" t="str">
        <f>_xlfn.XLOOKUP(A1876,[1]!brca_metabric_clinical_data__2[Patient ID], [1]!brca_metabric_clinical_data__2[Tumor Size])</f>
        <v>25</v>
      </c>
      <c r="O1876" t="str">
        <f>_xlfn.XLOOKUP(A1876,[1]!brca_metabric_clinical_data__2[Sample ID],[1]!brca_metabric_clinical_data__2[Tumor Stage])</f>
        <v>NA</v>
      </c>
    </row>
    <row r="1877" spans="1:15" x14ac:dyDescent="0.45">
      <c r="A1877" t="s">
        <v>1912</v>
      </c>
      <c r="B1877">
        <v>76.98</v>
      </c>
      <c r="C1877" t="s">
        <v>16</v>
      </c>
      <c r="D1877" t="s">
        <v>17</v>
      </c>
      <c r="E1877" t="s">
        <v>18</v>
      </c>
      <c r="F1877" t="s">
        <v>19</v>
      </c>
      <c r="G1877" t="s">
        <v>20</v>
      </c>
      <c r="H1877" t="s">
        <v>21</v>
      </c>
      <c r="I1877" t="s">
        <v>20</v>
      </c>
      <c r="J1877" t="s">
        <v>29</v>
      </c>
      <c r="K1877">
        <v>6</v>
      </c>
      <c r="L1877">
        <v>168.6</v>
      </c>
      <c r="M1877" t="s">
        <v>30</v>
      </c>
      <c r="N1877" t="str">
        <f>_xlfn.XLOOKUP(A1877,[1]!brca_metabric_clinical_data__2[Patient ID], [1]!brca_metabric_clinical_data__2[Tumor Size])</f>
        <v>30</v>
      </c>
      <c r="O1877" t="str">
        <f>_xlfn.XLOOKUP(A1877,[1]!brca_metabric_clinical_data__2[Sample ID],[1]!brca_metabric_clinical_data__2[Tumor Stage])</f>
        <v>NA</v>
      </c>
    </row>
    <row r="1878" spans="1:15" x14ac:dyDescent="0.45">
      <c r="A1878" t="s">
        <v>1913</v>
      </c>
      <c r="B1878">
        <v>62.97</v>
      </c>
      <c r="C1878" t="s">
        <v>16</v>
      </c>
      <c r="D1878" t="s">
        <v>17</v>
      </c>
      <c r="E1878" t="s">
        <v>18</v>
      </c>
      <c r="F1878" t="s">
        <v>19</v>
      </c>
      <c r="G1878" t="s">
        <v>21</v>
      </c>
      <c r="H1878" t="s">
        <v>21</v>
      </c>
      <c r="I1878" t="s">
        <v>21</v>
      </c>
      <c r="J1878" t="s">
        <v>27</v>
      </c>
      <c r="K1878">
        <v>8</v>
      </c>
      <c r="L1878">
        <v>19</v>
      </c>
      <c r="M1878" t="s">
        <v>30</v>
      </c>
      <c r="N1878" t="str">
        <f>_xlfn.XLOOKUP(A1878,[1]!brca_metabric_clinical_data__2[Patient ID], [1]!brca_metabric_clinical_data__2[Tumor Size])</f>
        <v>130</v>
      </c>
      <c r="O1878" t="str">
        <f>_xlfn.XLOOKUP(A1878,[1]!brca_metabric_clinical_data__2[Sample ID],[1]!brca_metabric_clinical_data__2[Tumor Stage])</f>
        <v>NA</v>
      </c>
    </row>
    <row r="1879" spans="1:15" x14ac:dyDescent="0.45">
      <c r="A1879" t="s">
        <v>1914</v>
      </c>
      <c r="B1879">
        <v>66.52</v>
      </c>
      <c r="C1879" t="s">
        <v>16</v>
      </c>
      <c r="D1879" t="s">
        <v>17</v>
      </c>
      <c r="E1879" t="s">
        <v>18</v>
      </c>
      <c r="F1879" t="s">
        <v>19</v>
      </c>
      <c r="G1879" t="s">
        <v>20</v>
      </c>
      <c r="H1879" t="s">
        <v>21</v>
      </c>
      <c r="I1879" t="s">
        <v>21</v>
      </c>
      <c r="J1879" t="s">
        <v>29</v>
      </c>
      <c r="K1879">
        <v>9</v>
      </c>
      <c r="L1879">
        <v>44.633333333333297</v>
      </c>
      <c r="M1879" t="s">
        <v>30</v>
      </c>
      <c r="N1879" t="str">
        <f>_xlfn.XLOOKUP(A1879,[1]!brca_metabric_clinical_data__2[Patient ID], [1]!brca_metabric_clinical_data__2[Tumor Size])</f>
        <v>50</v>
      </c>
      <c r="O1879" t="str">
        <f>_xlfn.XLOOKUP(A1879,[1]!brca_metabric_clinical_data__2[Sample ID],[1]!brca_metabric_clinical_data__2[Tumor Stage])</f>
        <v>NA</v>
      </c>
    </row>
    <row r="1880" spans="1:15" x14ac:dyDescent="0.45">
      <c r="A1880" t="s">
        <v>1915</v>
      </c>
      <c r="B1880">
        <v>70.88</v>
      </c>
      <c r="C1880" t="s">
        <v>16</v>
      </c>
      <c r="D1880" t="s">
        <v>17</v>
      </c>
      <c r="E1880" t="s">
        <v>18</v>
      </c>
      <c r="F1880" t="s">
        <v>19</v>
      </c>
      <c r="G1880" t="s">
        <v>20</v>
      </c>
      <c r="H1880" t="s">
        <v>20</v>
      </c>
      <c r="I1880" t="s">
        <v>20</v>
      </c>
      <c r="J1880" t="s">
        <v>29</v>
      </c>
      <c r="K1880">
        <v>3</v>
      </c>
      <c r="L1880">
        <v>128.96666666666701</v>
      </c>
      <c r="M1880" t="s">
        <v>24</v>
      </c>
      <c r="N1880" t="str">
        <f>_xlfn.XLOOKUP(A1880,[1]!brca_metabric_clinical_data__2[Patient ID], [1]!brca_metabric_clinical_data__2[Tumor Size])</f>
        <v>37</v>
      </c>
      <c r="O1880" t="str">
        <f>_xlfn.XLOOKUP(A1880,[1]!brca_metabric_clinical_data__2[Sample ID],[1]!brca_metabric_clinical_data__2[Tumor Stage])</f>
        <v>NA</v>
      </c>
    </row>
    <row r="1881" spans="1:15" x14ac:dyDescent="0.45">
      <c r="A1881" t="s">
        <v>1916</v>
      </c>
      <c r="B1881">
        <v>59.06</v>
      </c>
      <c r="C1881" t="s">
        <v>16</v>
      </c>
      <c r="D1881" t="s">
        <v>17</v>
      </c>
      <c r="E1881" t="s">
        <v>18</v>
      </c>
      <c r="F1881" t="s">
        <v>19</v>
      </c>
      <c r="G1881" t="s">
        <v>20</v>
      </c>
      <c r="H1881" t="s">
        <v>21</v>
      </c>
      <c r="I1881" t="s">
        <v>20</v>
      </c>
      <c r="J1881" t="s">
        <v>58</v>
      </c>
      <c r="K1881">
        <v>10</v>
      </c>
      <c r="L1881">
        <v>144.433333333333</v>
      </c>
      <c r="M1881" t="s">
        <v>24</v>
      </c>
      <c r="N1881" t="str">
        <f>_xlfn.XLOOKUP(A1881,[1]!brca_metabric_clinical_data__2[Patient ID], [1]!brca_metabric_clinical_data__2[Tumor Size])</f>
        <v>21</v>
      </c>
      <c r="O1881" t="str">
        <f>_xlfn.XLOOKUP(A1881,[1]!brca_metabric_clinical_data__2[Sample ID],[1]!brca_metabric_clinical_data__2[Tumor Stage])</f>
        <v>NA</v>
      </c>
    </row>
    <row r="1882" spans="1:15" x14ac:dyDescent="0.45">
      <c r="A1882" t="s">
        <v>1917</v>
      </c>
      <c r="B1882">
        <v>62.13</v>
      </c>
      <c r="C1882" t="s">
        <v>16</v>
      </c>
      <c r="D1882" t="s">
        <v>17</v>
      </c>
      <c r="E1882" t="s">
        <v>18</v>
      </c>
      <c r="F1882" t="s">
        <v>43</v>
      </c>
      <c r="G1882" t="s">
        <v>20</v>
      </c>
      <c r="H1882" t="s">
        <v>21</v>
      </c>
      <c r="I1882" t="s">
        <v>20</v>
      </c>
      <c r="J1882" t="s">
        <v>45</v>
      </c>
      <c r="K1882">
        <v>9</v>
      </c>
      <c r="L1882">
        <v>195.8</v>
      </c>
      <c r="M1882" t="s">
        <v>30</v>
      </c>
      <c r="N1882" t="str">
        <f>_xlfn.XLOOKUP(A1882,[1]!brca_metabric_clinical_data__2[Patient ID], [1]!brca_metabric_clinical_data__2[Tumor Size])</f>
        <v>18</v>
      </c>
      <c r="O1882" t="str">
        <f>_xlfn.XLOOKUP(A1882,[1]!brca_metabric_clinical_data__2[Sample ID],[1]!brca_metabric_clinical_data__2[Tumor Stage])</f>
        <v>NA</v>
      </c>
    </row>
    <row r="1883" spans="1:15" x14ac:dyDescent="0.45">
      <c r="A1883" t="s">
        <v>1918</v>
      </c>
      <c r="B1883">
        <v>74.11</v>
      </c>
      <c r="C1883" t="s">
        <v>16</v>
      </c>
      <c r="D1883" t="s">
        <v>17</v>
      </c>
      <c r="E1883" t="s">
        <v>18</v>
      </c>
      <c r="F1883" t="s">
        <v>19</v>
      </c>
      <c r="G1883" t="s">
        <v>20</v>
      </c>
      <c r="H1883" t="s">
        <v>21</v>
      </c>
      <c r="I1883" t="s">
        <v>20</v>
      </c>
      <c r="J1883" t="s">
        <v>45</v>
      </c>
      <c r="K1883">
        <v>8</v>
      </c>
      <c r="L1883">
        <v>142.80000000000001</v>
      </c>
      <c r="M1883" t="s">
        <v>24</v>
      </c>
      <c r="N1883" t="str">
        <f>_xlfn.XLOOKUP(A1883,[1]!brca_metabric_clinical_data__2[Patient ID], [1]!brca_metabric_clinical_data__2[Tumor Size])</f>
        <v>25</v>
      </c>
      <c r="O1883" t="str">
        <f>_xlfn.XLOOKUP(A1883,[1]!brca_metabric_clinical_data__2[Sample ID],[1]!brca_metabric_clinical_data__2[Tumor Stage])</f>
        <v>NA</v>
      </c>
    </row>
    <row r="1884" spans="1:15" x14ac:dyDescent="0.45">
      <c r="A1884" t="s">
        <v>1919</v>
      </c>
      <c r="B1884">
        <v>77.540000000000006</v>
      </c>
      <c r="C1884" t="s">
        <v>16</v>
      </c>
      <c r="D1884" t="s">
        <v>17</v>
      </c>
      <c r="E1884" t="s">
        <v>37</v>
      </c>
      <c r="F1884" t="s">
        <v>19</v>
      </c>
      <c r="G1884" t="s">
        <v>20</v>
      </c>
      <c r="H1884" t="s">
        <v>21</v>
      </c>
      <c r="I1884" t="s">
        <v>20</v>
      </c>
      <c r="J1884" t="s">
        <v>58</v>
      </c>
      <c r="K1884">
        <v>10</v>
      </c>
      <c r="L1884">
        <v>108.466666666667</v>
      </c>
      <c r="M1884" t="s">
        <v>30</v>
      </c>
      <c r="N1884" t="str">
        <f>_xlfn.XLOOKUP(A1884,[1]!brca_metabric_clinical_data__2[Patient ID], [1]!brca_metabric_clinical_data__2[Tumor Size])</f>
        <v>32.6</v>
      </c>
      <c r="O1884" t="str">
        <f>_xlfn.XLOOKUP(A1884,[1]!brca_metabric_clinical_data__2[Sample ID],[1]!brca_metabric_clinical_data__2[Tumor Stage])</f>
        <v>NA</v>
      </c>
    </row>
    <row r="1885" spans="1:15" x14ac:dyDescent="0.45">
      <c r="A1885" t="s">
        <v>1920</v>
      </c>
      <c r="B1885">
        <v>41.14</v>
      </c>
      <c r="C1885" t="s">
        <v>16</v>
      </c>
      <c r="D1885" t="s">
        <v>26</v>
      </c>
      <c r="E1885" t="s">
        <v>37</v>
      </c>
      <c r="F1885" t="s">
        <v>19</v>
      </c>
      <c r="G1885" t="s">
        <v>21</v>
      </c>
      <c r="H1885" t="s">
        <v>20</v>
      </c>
      <c r="I1885" t="s">
        <v>21</v>
      </c>
      <c r="J1885" t="s">
        <v>58</v>
      </c>
      <c r="K1885">
        <v>10</v>
      </c>
      <c r="L1885">
        <v>149.76666666666699</v>
      </c>
      <c r="M1885" t="s">
        <v>24</v>
      </c>
      <c r="N1885" t="str">
        <f>_xlfn.XLOOKUP(A1885,[1]!brca_metabric_clinical_data__2[Patient ID], [1]!brca_metabric_clinical_data__2[Tumor Size])</f>
        <v>17.2</v>
      </c>
      <c r="O1885" t="str">
        <f>_xlfn.XLOOKUP(A1885,[1]!brca_metabric_clinical_data__2[Sample ID],[1]!brca_metabric_clinical_data__2[Tumor Stage])</f>
        <v>NA</v>
      </c>
    </row>
    <row r="1886" spans="1:15" x14ac:dyDescent="0.45">
      <c r="A1886" t="s">
        <v>1921</v>
      </c>
      <c r="B1886">
        <v>56.86</v>
      </c>
      <c r="C1886" t="s">
        <v>16</v>
      </c>
      <c r="D1886" t="s">
        <v>17</v>
      </c>
      <c r="E1886" t="s">
        <v>18</v>
      </c>
      <c r="F1886" t="s">
        <v>19</v>
      </c>
      <c r="G1886" t="s">
        <v>20</v>
      </c>
      <c r="H1886" t="s">
        <v>21</v>
      </c>
      <c r="I1886" t="s">
        <v>21</v>
      </c>
      <c r="J1886" t="s">
        <v>29</v>
      </c>
      <c r="K1886">
        <v>8</v>
      </c>
      <c r="L1886">
        <v>219.63333333333301</v>
      </c>
      <c r="M1886" t="s">
        <v>24</v>
      </c>
      <c r="N1886" t="str">
        <f>_xlfn.XLOOKUP(A1886,[1]!brca_metabric_clinical_data__2[Patient ID], [1]!brca_metabric_clinical_data__2[Tumor Size])</f>
        <v>19</v>
      </c>
      <c r="O1886" t="str">
        <f>_xlfn.XLOOKUP(A1886,[1]!brca_metabric_clinical_data__2[Sample ID],[1]!brca_metabric_clinical_data__2[Tumor Stage])</f>
        <v>NA</v>
      </c>
    </row>
    <row r="1887" spans="1:15" x14ac:dyDescent="0.45">
      <c r="A1887" t="s">
        <v>1922</v>
      </c>
      <c r="B1887">
        <v>50.73</v>
      </c>
      <c r="C1887" t="s">
        <v>16</v>
      </c>
      <c r="D1887" t="s">
        <v>17</v>
      </c>
      <c r="E1887" t="s">
        <v>37</v>
      </c>
      <c r="F1887" t="s">
        <v>19</v>
      </c>
      <c r="G1887" t="s">
        <v>21</v>
      </c>
      <c r="H1887" t="s">
        <v>20</v>
      </c>
      <c r="I1887" t="s">
        <v>20</v>
      </c>
      <c r="J1887" t="s">
        <v>22</v>
      </c>
      <c r="K1887" t="s">
        <v>39</v>
      </c>
      <c r="L1887">
        <v>46.433333333333302</v>
      </c>
      <c r="M1887" t="s">
        <v>30</v>
      </c>
      <c r="N1887" t="str">
        <f>_xlfn.XLOOKUP(A1887,[1]!brca_metabric_clinical_data__2[Patient ID], [1]!brca_metabric_clinical_data__2[Tumor Size])</f>
        <v>29</v>
      </c>
      <c r="O1887" t="str">
        <f>_xlfn.XLOOKUP(A1887,[1]!brca_metabric_clinical_data__2[Sample ID],[1]!brca_metabric_clinical_data__2[Tumor Stage])</f>
        <v>NA</v>
      </c>
    </row>
    <row r="1888" spans="1:15" x14ac:dyDescent="0.45">
      <c r="A1888" t="s">
        <v>1923</v>
      </c>
      <c r="B1888">
        <v>60.45</v>
      </c>
      <c r="C1888" t="s">
        <v>16</v>
      </c>
      <c r="D1888" t="s">
        <v>17</v>
      </c>
      <c r="E1888" t="s">
        <v>37</v>
      </c>
      <c r="F1888" t="s">
        <v>19</v>
      </c>
      <c r="G1888" t="s">
        <v>21</v>
      </c>
      <c r="H1888" t="s">
        <v>21</v>
      </c>
      <c r="I1888" t="s">
        <v>21</v>
      </c>
      <c r="J1888" t="s">
        <v>58</v>
      </c>
      <c r="K1888">
        <v>10</v>
      </c>
      <c r="L1888">
        <v>21.933333333333302</v>
      </c>
      <c r="M1888" t="s">
        <v>30</v>
      </c>
      <c r="N1888" t="str">
        <f>_xlfn.XLOOKUP(A1888,[1]!brca_metabric_clinical_data__2[Patient ID], [1]!brca_metabric_clinical_data__2[Tumor Size])</f>
        <v>34</v>
      </c>
      <c r="O1888" t="str">
        <f>_xlfn.XLOOKUP(A1888,[1]!brca_metabric_clinical_data__2[Sample ID],[1]!brca_metabric_clinical_data__2[Tumor Stage])</f>
        <v>NA</v>
      </c>
    </row>
    <row r="1889" spans="1:15" x14ac:dyDescent="0.45">
      <c r="A1889" t="s">
        <v>1924</v>
      </c>
      <c r="B1889">
        <v>51.34</v>
      </c>
      <c r="C1889" t="s">
        <v>16</v>
      </c>
      <c r="D1889" t="s">
        <v>17</v>
      </c>
      <c r="E1889" t="s">
        <v>18</v>
      </c>
      <c r="F1889" t="s">
        <v>43</v>
      </c>
      <c r="G1889" t="s">
        <v>20</v>
      </c>
      <c r="H1889" t="s">
        <v>21</v>
      </c>
      <c r="I1889" t="s">
        <v>21</v>
      </c>
      <c r="J1889" t="s">
        <v>45</v>
      </c>
      <c r="K1889">
        <v>9</v>
      </c>
      <c r="L1889">
        <v>148.066666666667</v>
      </c>
      <c r="M1889" t="s">
        <v>24</v>
      </c>
      <c r="N1889" t="str">
        <f>_xlfn.XLOOKUP(A1889,[1]!brca_metabric_clinical_data__2[Patient ID], [1]!brca_metabric_clinical_data__2[Tumor Size])</f>
        <v>23</v>
      </c>
      <c r="O1889" t="str">
        <f>_xlfn.XLOOKUP(A1889,[1]!brca_metabric_clinical_data__2[Sample ID],[1]!brca_metabric_clinical_data__2[Tumor Stage])</f>
        <v>NA</v>
      </c>
    </row>
    <row r="1890" spans="1:15" x14ac:dyDescent="0.45">
      <c r="A1890" t="s">
        <v>1925</v>
      </c>
      <c r="B1890">
        <v>47.67</v>
      </c>
      <c r="C1890" t="s">
        <v>16</v>
      </c>
      <c r="D1890" t="s">
        <v>26</v>
      </c>
      <c r="E1890" t="s">
        <v>18</v>
      </c>
      <c r="F1890" t="s">
        <v>43</v>
      </c>
      <c r="G1890" t="s">
        <v>20</v>
      </c>
      <c r="H1890" t="s">
        <v>20</v>
      </c>
      <c r="I1890" t="s">
        <v>21</v>
      </c>
      <c r="J1890" t="s">
        <v>27</v>
      </c>
      <c r="K1890">
        <v>6</v>
      </c>
      <c r="L1890">
        <v>121.533333333333</v>
      </c>
      <c r="M1890" t="s">
        <v>24</v>
      </c>
      <c r="N1890" t="str">
        <f>_xlfn.XLOOKUP(A1890,[1]!brca_metabric_clinical_data__2[Patient ID], [1]!brca_metabric_clinical_data__2[Tumor Size])</f>
        <v>46</v>
      </c>
      <c r="O1890" t="str">
        <f>_xlfn.XLOOKUP(A1890,[1]!brca_metabric_clinical_data__2[Sample ID],[1]!brca_metabric_clinical_data__2[Tumor Stage])</f>
        <v>NA</v>
      </c>
    </row>
    <row r="1891" spans="1:15" x14ac:dyDescent="0.45">
      <c r="A1891" t="s">
        <v>1926</v>
      </c>
      <c r="B1891">
        <v>59.84</v>
      </c>
      <c r="C1891" t="s">
        <v>16</v>
      </c>
      <c r="D1891" t="s">
        <v>17</v>
      </c>
      <c r="E1891" t="s">
        <v>18</v>
      </c>
      <c r="F1891" t="s">
        <v>19</v>
      </c>
      <c r="G1891" t="s">
        <v>20</v>
      </c>
      <c r="H1891" t="s">
        <v>21</v>
      </c>
      <c r="I1891" t="s">
        <v>21</v>
      </c>
      <c r="J1891" t="s">
        <v>27</v>
      </c>
      <c r="K1891">
        <v>3</v>
      </c>
      <c r="L1891">
        <v>140.19999999999999</v>
      </c>
      <c r="M1891" t="s">
        <v>24</v>
      </c>
      <c r="N1891" t="str">
        <f>_xlfn.XLOOKUP(A1891,[1]!brca_metabric_clinical_data__2[Patient ID], [1]!brca_metabric_clinical_data__2[Tumor Size])</f>
        <v>13.8</v>
      </c>
      <c r="O1891" t="str">
        <f>_xlfn.XLOOKUP(A1891,[1]!brca_metabric_clinical_data__2[Sample ID],[1]!brca_metabric_clinical_data__2[Tumor Stage])</f>
        <v>NA</v>
      </c>
    </row>
    <row r="1892" spans="1:15" x14ac:dyDescent="0.45">
      <c r="A1892" t="s">
        <v>1927</v>
      </c>
      <c r="B1892">
        <v>43.81</v>
      </c>
      <c r="C1892" t="s">
        <v>16</v>
      </c>
      <c r="D1892" t="s">
        <v>26</v>
      </c>
      <c r="E1892" t="s">
        <v>37</v>
      </c>
      <c r="F1892" t="s">
        <v>19</v>
      </c>
      <c r="G1892" t="s">
        <v>21</v>
      </c>
      <c r="H1892" t="s">
        <v>21</v>
      </c>
      <c r="I1892" t="s">
        <v>20</v>
      </c>
      <c r="J1892" t="s">
        <v>27</v>
      </c>
      <c r="K1892">
        <v>3</v>
      </c>
      <c r="L1892">
        <v>52.633333333333297</v>
      </c>
      <c r="M1892" t="s">
        <v>30</v>
      </c>
      <c r="N1892" t="str">
        <f>_xlfn.XLOOKUP(A1892,[1]!brca_metabric_clinical_data__2[Patient ID], [1]!brca_metabric_clinical_data__2[Tumor Size])</f>
        <v>30</v>
      </c>
      <c r="O1892" t="str">
        <f>_xlfn.XLOOKUP(A1892,[1]!brca_metabric_clinical_data__2[Sample ID],[1]!brca_metabric_clinical_data__2[Tumor Stage])</f>
        <v>NA</v>
      </c>
    </row>
    <row r="1893" spans="1:15" x14ac:dyDescent="0.45">
      <c r="A1893" t="s">
        <v>1928</v>
      </c>
      <c r="B1893">
        <v>49.13</v>
      </c>
      <c r="C1893" t="s">
        <v>16</v>
      </c>
      <c r="D1893" t="s">
        <v>26</v>
      </c>
      <c r="E1893" t="s">
        <v>18</v>
      </c>
      <c r="F1893" t="s">
        <v>19</v>
      </c>
      <c r="G1893" t="s">
        <v>20</v>
      </c>
      <c r="H1893" t="s">
        <v>21</v>
      </c>
      <c r="I1893" t="s">
        <v>21</v>
      </c>
      <c r="J1893" t="s">
        <v>27</v>
      </c>
      <c r="K1893">
        <v>3</v>
      </c>
      <c r="L1893">
        <v>211.4</v>
      </c>
      <c r="M1893" t="s">
        <v>24</v>
      </c>
      <c r="N1893" t="str">
        <f>_xlfn.XLOOKUP(A1893,[1]!brca_metabric_clinical_data__2[Patient ID], [1]!brca_metabric_clinical_data__2[Tumor Size])</f>
        <v>15.7</v>
      </c>
      <c r="O1893" t="str">
        <f>_xlfn.XLOOKUP(A1893,[1]!brca_metabric_clinical_data__2[Sample ID],[1]!brca_metabric_clinical_data__2[Tumor Stage])</f>
        <v>NA</v>
      </c>
    </row>
    <row r="1894" spans="1:15" x14ac:dyDescent="0.45">
      <c r="A1894" t="s">
        <v>1929</v>
      </c>
      <c r="B1894">
        <v>28.78</v>
      </c>
      <c r="C1894" t="s">
        <v>16</v>
      </c>
      <c r="D1894" t="s">
        <v>26</v>
      </c>
      <c r="E1894" t="s">
        <v>37</v>
      </c>
      <c r="F1894" t="s">
        <v>19</v>
      </c>
      <c r="G1894" t="s">
        <v>21</v>
      </c>
      <c r="H1894" t="s">
        <v>20</v>
      </c>
      <c r="I1894" t="s">
        <v>21</v>
      </c>
      <c r="J1894" t="s">
        <v>58</v>
      </c>
      <c r="K1894">
        <v>10</v>
      </c>
      <c r="L1894">
        <v>147.166666666667</v>
      </c>
      <c r="M1894" t="s">
        <v>24</v>
      </c>
      <c r="N1894" t="str">
        <f>_xlfn.XLOOKUP(A1894,[1]!brca_metabric_clinical_data__2[Patient ID], [1]!brca_metabric_clinical_data__2[Tumor Size])</f>
        <v>182</v>
      </c>
      <c r="O1894" t="str">
        <f>_xlfn.XLOOKUP(A1894,[1]!brca_metabric_clinical_data__2[Sample ID],[1]!brca_metabric_clinical_data__2[Tumor Stage])</f>
        <v>NA</v>
      </c>
    </row>
    <row r="1895" spans="1:15" x14ac:dyDescent="0.45">
      <c r="A1895" t="s">
        <v>1930</v>
      </c>
      <c r="B1895">
        <v>43.26</v>
      </c>
      <c r="C1895" t="s">
        <v>16</v>
      </c>
      <c r="D1895" t="s">
        <v>26</v>
      </c>
      <c r="E1895" t="s">
        <v>18</v>
      </c>
      <c r="F1895" t="s">
        <v>19</v>
      </c>
      <c r="G1895" t="s">
        <v>20</v>
      </c>
      <c r="H1895" t="s">
        <v>21</v>
      </c>
      <c r="I1895" t="s">
        <v>21</v>
      </c>
      <c r="J1895" t="s">
        <v>45</v>
      </c>
      <c r="K1895">
        <v>8</v>
      </c>
      <c r="L1895">
        <v>141.03333333333299</v>
      </c>
      <c r="M1895" t="s">
        <v>24</v>
      </c>
      <c r="N1895" t="str">
        <f>_xlfn.XLOOKUP(A1895,[1]!brca_metabric_clinical_data__2[Patient ID], [1]!brca_metabric_clinical_data__2[Tumor Size])</f>
        <v>85</v>
      </c>
      <c r="O1895" t="str">
        <f>_xlfn.XLOOKUP(A1895,[1]!brca_metabric_clinical_data__2[Sample ID],[1]!brca_metabric_clinical_data__2[Tumor Stage])</f>
        <v>NA</v>
      </c>
    </row>
    <row r="1896" spans="1:15" x14ac:dyDescent="0.45">
      <c r="A1896" t="s">
        <v>1931</v>
      </c>
      <c r="B1896">
        <v>60.33</v>
      </c>
      <c r="C1896" t="s">
        <v>16</v>
      </c>
      <c r="D1896" t="s">
        <v>17</v>
      </c>
      <c r="E1896" t="s">
        <v>18</v>
      </c>
      <c r="F1896" t="s">
        <v>19</v>
      </c>
      <c r="G1896" t="s">
        <v>20</v>
      </c>
      <c r="H1896" t="s">
        <v>21</v>
      </c>
      <c r="I1896" t="s">
        <v>20</v>
      </c>
      <c r="J1896" t="s">
        <v>27</v>
      </c>
      <c r="K1896">
        <v>7</v>
      </c>
      <c r="L1896">
        <v>150.5</v>
      </c>
      <c r="M1896" t="s">
        <v>24</v>
      </c>
      <c r="N1896" t="str">
        <f>_xlfn.XLOOKUP(A1896,[1]!brca_metabric_clinical_data__2[Patient ID], [1]!brca_metabric_clinical_data__2[Tumor Size])</f>
        <v>25</v>
      </c>
      <c r="O1896" t="str">
        <f>_xlfn.XLOOKUP(A1896,[1]!brca_metabric_clinical_data__2[Sample ID],[1]!brca_metabric_clinical_data__2[Tumor Stage])</f>
        <v>NA</v>
      </c>
    </row>
    <row r="1897" spans="1:15" x14ac:dyDescent="0.45">
      <c r="A1897" t="s">
        <v>1932</v>
      </c>
      <c r="B1897">
        <v>58.56</v>
      </c>
      <c r="C1897" t="s">
        <v>16</v>
      </c>
      <c r="D1897" t="s">
        <v>17</v>
      </c>
      <c r="E1897" t="s">
        <v>18</v>
      </c>
      <c r="F1897" t="s">
        <v>19</v>
      </c>
      <c r="G1897" t="s">
        <v>20</v>
      </c>
      <c r="H1897" t="s">
        <v>21</v>
      </c>
      <c r="I1897" t="s">
        <v>21</v>
      </c>
      <c r="J1897" t="s">
        <v>27</v>
      </c>
      <c r="K1897" t="s">
        <v>23</v>
      </c>
      <c r="L1897">
        <v>155.4</v>
      </c>
      <c r="M1897" t="s">
        <v>24</v>
      </c>
      <c r="N1897" t="str">
        <f>_xlfn.XLOOKUP(A1897,[1]!brca_metabric_clinical_data__2[Patient ID], [1]!brca_metabric_clinical_data__2[Tumor Size])</f>
        <v>20</v>
      </c>
      <c r="O1897" t="str">
        <f>_xlfn.XLOOKUP(A1897,[1]!brca_metabric_clinical_data__2[Sample ID],[1]!brca_metabric_clinical_data__2[Tumor Stage])</f>
        <v>NA</v>
      </c>
    </row>
    <row r="1898" spans="1:15" x14ac:dyDescent="0.45">
      <c r="A1898" t="s">
        <v>1933</v>
      </c>
      <c r="B1898">
        <v>71.819999999999993</v>
      </c>
      <c r="C1898" t="s">
        <v>16</v>
      </c>
      <c r="D1898" t="s">
        <v>17</v>
      </c>
      <c r="E1898" t="s">
        <v>18</v>
      </c>
      <c r="F1898" t="s">
        <v>19</v>
      </c>
      <c r="G1898" t="s">
        <v>20</v>
      </c>
      <c r="H1898" t="s">
        <v>21</v>
      </c>
      <c r="I1898" t="s">
        <v>21</v>
      </c>
      <c r="J1898" t="s">
        <v>29</v>
      </c>
      <c r="K1898">
        <v>9</v>
      </c>
      <c r="L1898">
        <v>160.4</v>
      </c>
      <c r="M1898" t="s">
        <v>30</v>
      </c>
      <c r="N1898" t="str">
        <f>_xlfn.XLOOKUP(A1898,[1]!brca_metabric_clinical_data__2[Patient ID], [1]!brca_metabric_clinical_data__2[Tumor Size])</f>
        <v>31</v>
      </c>
      <c r="O1898" t="str">
        <f>_xlfn.XLOOKUP(A1898,[1]!brca_metabric_clinical_data__2[Sample ID],[1]!brca_metabric_clinical_data__2[Tumor Stage])</f>
        <v>NA</v>
      </c>
    </row>
    <row r="1899" spans="1:15" x14ac:dyDescent="0.45">
      <c r="A1899" t="s">
        <v>1934</v>
      </c>
      <c r="B1899">
        <v>62.7</v>
      </c>
      <c r="C1899" t="s">
        <v>16</v>
      </c>
      <c r="D1899" t="s">
        <v>17</v>
      </c>
      <c r="E1899" t="s">
        <v>18</v>
      </c>
      <c r="F1899" t="s">
        <v>19</v>
      </c>
      <c r="G1899" t="s">
        <v>20</v>
      </c>
      <c r="H1899" t="s">
        <v>21</v>
      </c>
      <c r="I1899" t="s">
        <v>20</v>
      </c>
      <c r="J1899" t="s">
        <v>29</v>
      </c>
      <c r="K1899">
        <v>8</v>
      </c>
      <c r="L1899">
        <v>149.30000000000001</v>
      </c>
      <c r="M1899" t="s">
        <v>24</v>
      </c>
      <c r="N1899" t="str">
        <f>_xlfn.XLOOKUP(A1899,[1]!brca_metabric_clinical_data__2[Patient ID], [1]!brca_metabric_clinical_data__2[Tumor Size])</f>
        <v>18.3</v>
      </c>
      <c r="O1899" t="str">
        <f>_xlfn.XLOOKUP(A1899,[1]!brca_metabric_clinical_data__2[Sample ID],[1]!brca_metabric_clinical_data__2[Tumor Stage])</f>
        <v>NA</v>
      </c>
    </row>
    <row r="1900" spans="1:15" x14ac:dyDescent="0.45">
      <c r="A1900" t="s">
        <v>1935</v>
      </c>
      <c r="B1900">
        <v>67.400000000000006</v>
      </c>
      <c r="C1900" t="s">
        <v>16</v>
      </c>
      <c r="D1900" t="s">
        <v>17</v>
      </c>
      <c r="E1900" t="s">
        <v>18</v>
      </c>
      <c r="F1900" t="s">
        <v>19</v>
      </c>
      <c r="G1900" t="s">
        <v>20</v>
      </c>
      <c r="H1900" t="s">
        <v>21</v>
      </c>
      <c r="I1900" t="s">
        <v>20</v>
      </c>
      <c r="J1900" t="s">
        <v>27</v>
      </c>
      <c r="K1900">
        <v>8</v>
      </c>
      <c r="L1900">
        <v>63.533333333333303</v>
      </c>
      <c r="M1900" t="s">
        <v>30</v>
      </c>
      <c r="N1900" t="str">
        <f>_xlfn.XLOOKUP(A1900,[1]!brca_metabric_clinical_data__2[Patient ID], [1]!brca_metabric_clinical_data__2[Tumor Size])</f>
        <v>21.6</v>
      </c>
      <c r="O1900" t="str">
        <f>_xlfn.XLOOKUP(A1900,[1]!brca_metabric_clinical_data__2[Sample ID],[1]!brca_metabric_clinical_data__2[Tumor Stage])</f>
        <v>NA</v>
      </c>
    </row>
    <row r="1901" spans="1:15" x14ac:dyDescent="0.45">
      <c r="A1901" t="s">
        <v>1936</v>
      </c>
      <c r="B1901">
        <v>60.63</v>
      </c>
      <c r="C1901" t="s">
        <v>16</v>
      </c>
      <c r="D1901" t="s">
        <v>17</v>
      </c>
      <c r="F1901" t="s">
        <v>19</v>
      </c>
      <c r="G1901" t="s">
        <v>20</v>
      </c>
      <c r="H1901" t="s">
        <v>21</v>
      </c>
      <c r="I1901" t="s">
        <v>21</v>
      </c>
      <c r="J1901" t="s">
        <v>29</v>
      </c>
      <c r="K1901">
        <v>6</v>
      </c>
      <c r="L1901">
        <v>140.76666666666699</v>
      </c>
      <c r="M1901" t="s">
        <v>24</v>
      </c>
      <c r="N1901" t="str">
        <f>_xlfn.XLOOKUP(A1901,[1]!brca_metabric_clinical_data__2[Patient ID], [1]!brca_metabric_clinical_data__2[Tumor Size])</f>
        <v>20</v>
      </c>
      <c r="O1901" t="str">
        <f>_xlfn.XLOOKUP(A1901,[1]!brca_metabric_clinical_data__2[Sample ID],[1]!brca_metabric_clinical_data__2[Tumor Stage])</f>
        <v>NA</v>
      </c>
    </row>
    <row r="1902" spans="1:15" x14ac:dyDescent="0.45">
      <c r="A1902" t="s">
        <v>1937</v>
      </c>
      <c r="B1902">
        <v>50.51</v>
      </c>
      <c r="C1902" t="s">
        <v>16</v>
      </c>
      <c r="D1902" t="s">
        <v>17</v>
      </c>
      <c r="E1902" t="s">
        <v>18</v>
      </c>
      <c r="F1902" t="s">
        <v>19</v>
      </c>
      <c r="G1902" t="s">
        <v>20</v>
      </c>
      <c r="H1902" t="s">
        <v>21</v>
      </c>
      <c r="I1902" t="s">
        <v>21</v>
      </c>
      <c r="J1902" t="s">
        <v>27</v>
      </c>
      <c r="K1902">
        <v>8</v>
      </c>
      <c r="L1902">
        <v>194.4</v>
      </c>
      <c r="M1902" t="s">
        <v>30</v>
      </c>
      <c r="N1902" t="str">
        <f>_xlfn.XLOOKUP(A1902,[1]!brca_metabric_clinical_data__2[Patient ID], [1]!brca_metabric_clinical_data__2[Tumor Size])</f>
        <v>28.5</v>
      </c>
      <c r="O1902" t="str">
        <f>_xlfn.XLOOKUP(A1902,[1]!brca_metabric_clinical_data__2[Sample ID],[1]!brca_metabric_clinical_data__2[Tumor Stage])</f>
        <v>NA</v>
      </c>
    </row>
    <row r="1903" spans="1:15" x14ac:dyDescent="0.45">
      <c r="A1903" t="s">
        <v>1938</v>
      </c>
      <c r="B1903">
        <v>63.09</v>
      </c>
      <c r="C1903" t="s">
        <v>16</v>
      </c>
      <c r="D1903" t="s">
        <v>17</v>
      </c>
      <c r="E1903" t="s">
        <v>18</v>
      </c>
      <c r="F1903" t="s">
        <v>43</v>
      </c>
      <c r="G1903" t="s">
        <v>20</v>
      </c>
      <c r="H1903" t="s">
        <v>21</v>
      </c>
      <c r="I1903" t="s">
        <v>21</v>
      </c>
      <c r="J1903" t="s">
        <v>29</v>
      </c>
      <c r="K1903">
        <v>1</v>
      </c>
      <c r="L1903">
        <v>157.53333333333299</v>
      </c>
      <c r="M1903" t="s">
        <v>24</v>
      </c>
      <c r="N1903" t="str">
        <f>_xlfn.XLOOKUP(A1903,[1]!brca_metabric_clinical_data__2[Patient ID], [1]!brca_metabric_clinical_data__2[Tumor Size])</f>
        <v>21</v>
      </c>
      <c r="O1903" t="str">
        <f>_xlfn.XLOOKUP(A1903,[1]!brca_metabric_clinical_data__2[Sample ID],[1]!brca_metabric_clinical_data__2[Tumor Stage])</f>
        <v>NA</v>
      </c>
    </row>
    <row r="1904" spans="1:15" x14ac:dyDescent="0.45">
      <c r="A1904" t="s">
        <v>1939</v>
      </c>
      <c r="B1904">
        <v>58.26</v>
      </c>
      <c r="C1904" t="s">
        <v>16</v>
      </c>
      <c r="D1904" t="s">
        <v>17</v>
      </c>
      <c r="E1904" t="s">
        <v>18</v>
      </c>
      <c r="F1904" t="s">
        <v>19</v>
      </c>
      <c r="G1904" t="s">
        <v>21</v>
      </c>
      <c r="H1904" t="s">
        <v>21</v>
      </c>
      <c r="I1904" t="s">
        <v>20</v>
      </c>
      <c r="J1904" t="s">
        <v>45</v>
      </c>
      <c r="K1904">
        <v>9</v>
      </c>
      <c r="L1904">
        <v>49.466666666666697</v>
      </c>
      <c r="M1904" t="s">
        <v>30</v>
      </c>
      <c r="N1904" t="str">
        <f>_xlfn.XLOOKUP(A1904,[1]!brca_metabric_clinical_data__2[Patient ID], [1]!brca_metabric_clinical_data__2[Tumor Size])</f>
        <v>27</v>
      </c>
      <c r="O1904" t="str">
        <f>_xlfn.XLOOKUP(A1904,[1]!brca_metabric_clinical_data__2[Sample ID],[1]!brca_metabric_clinical_data__2[Tumor Stage])</f>
        <v>NA</v>
      </c>
    </row>
    <row r="1905" spans="1:15" x14ac:dyDescent="0.45">
      <c r="A1905" t="s">
        <v>1940</v>
      </c>
      <c r="B1905">
        <v>70.760000000000005</v>
      </c>
      <c r="C1905" t="s">
        <v>16</v>
      </c>
      <c r="D1905" t="s">
        <v>17</v>
      </c>
      <c r="E1905" t="s">
        <v>18</v>
      </c>
      <c r="F1905" t="s">
        <v>19</v>
      </c>
      <c r="G1905" t="s">
        <v>20</v>
      </c>
      <c r="H1905" t="s">
        <v>21</v>
      </c>
      <c r="I1905" t="s">
        <v>21</v>
      </c>
      <c r="J1905" t="s">
        <v>27</v>
      </c>
      <c r="K1905">
        <v>8</v>
      </c>
      <c r="L1905">
        <v>125.033333333333</v>
      </c>
      <c r="M1905" t="s">
        <v>30</v>
      </c>
      <c r="N1905" t="str">
        <f>_xlfn.XLOOKUP(A1905,[1]!brca_metabric_clinical_data__2[Patient ID], [1]!brca_metabric_clinical_data__2[Tumor Size])</f>
        <v>16.2</v>
      </c>
      <c r="O1905" t="str">
        <f>_xlfn.XLOOKUP(A1905,[1]!brca_metabric_clinical_data__2[Sample ID],[1]!brca_metabric_clinical_data__2[Tumor Stage])</f>
        <v>NA</v>
      </c>
    </row>
    <row r="1906" spans="1:15" x14ac:dyDescent="0.45">
      <c r="A1906" t="s">
        <v>1941</v>
      </c>
      <c r="B1906">
        <v>48.92</v>
      </c>
      <c r="C1906" t="s">
        <v>16</v>
      </c>
      <c r="D1906" t="s">
        <v>26</v>
      </c>
      <c r="E1906" t="s">
        <v>18</v>
      </c>
      <c r="F1906" t="s">
        <v>19</v>
      </c>
      <c r="G1906" t="s">
        <v>20</v>
      </c>
      <c r="H1906" t="s">
        <v>20</v>
      </c>
      <c r="I1906" t="s">
        <v>20</v>
      </c>
      <c r="J1906" t="s">
        <v>29</v>
      </c>
      <c r="K1906">
        <v>7</v>
      </c>
      <c r="L1906">
        <v>4.8666666666666698</v>
      </c>
      <c r="M1906" t="s">
        <v>24</v>
      </c>
      <c r="N1906" t="str">
        <f>_xlfn.XLOOKUP(A1906,[1]!brca_metabric_clinical_data__2[Patient ID], [1]!brca_metabric_clinical_data__2[Tumor Size])</f>
        <v>33</v>
      </c>
      <c r="O1906" t="str">
        <f>_xlfn.XLOOKUP(A1906,[1]!brca_metabric_clinical_data__2[Sample ID],[1]!brca_metabric_clinical_data__2[Tumor Stage])</f>
        <v>NA</v>
      </c>
    </row>
    <row r="1907" spans="1:15" x14ac:dyDescent="0.45">
      <c r="A1907" t="s">
        <v>1942</v>
      </c>
      <c r="B1907">
        <v>49.35</v>
      </c>
      <c r="C1907" t="s">
        <v>16</v>
      </c>
      <c r="D1907" t="s">
        <v>26</v>
      </c>
      <c r="E1907" t="s">
        <v>37</v>
      </c>
      <c r="F1907" t="s">
        <v>43</v>
      </c>
      <c r="G1907" t="s">
        <v>21</v>
      </c>
      <c r="H1907" t="s">
        <v>21</v>
      </c>
      <c r="I1907" t="s">
        <v>21</v>
      </c>
      <c r="J1907" t="s">
        <v>38</v>
      </c>
      <c r="K1907">
        <v>5</v>
      </c>
      <c r="L1907">
        <v>146.833333333333</v>
      </c>
      <c r="M1907" t="s">
        <v>30</v>
      </c>
      <c r="N1907" t="str">
        <f>_xlfn.XLOOKUP(A1907,[1]!brca_metabric_clinical_data__2[Patient ID], [1]!brca_metabric_clinical_data__2[Tumor Size])</f>
        <v>2.3</v>
      </c>
      <c r="O1907" t="str">
        <f>_xlfn.XLOOKUP(A1907,[1]!brca_metabric_clinical_data__2[Sample ID],[1]!brca_metabric_clinical_data__2[Tumor Stage])</f>
        <v>NA</v>
      </c>
    </row>
    <row r="1908" spans="1:15" x14ac:dyDescent="0.45">
      <c r="A1908" t="s">
        <v>1943</v>
      </c>
      <c r="B1908">
        <v>68.45</v>
      </c>
      <c r="C1908" t="s">
        <v>16</v>
      </c>
      <c r="D1908" t="s">
        <v>17</v>
      </c>
      <c r="E1908" t="s">
        <v>18</v>
      </c>
      <c r="F1908" t="s">
        <v>19</v>
      </c>
      <c r="G1908" t="s">
        <v>20</v>
      </c>
      <c r="H1908" t="s">
        <v>21</v>
      </c>
      <c r="I1908" t="s">
        <v>21</v>
      </c>
      <c r="J1908" t="s">
        <v>29</v>
      </c>
      <c r="K1908">
        <v>7</v>
      </c>
      <c r="L1908">
        <v>188.166666666667</v>
      </c>
      <c r="M1908" t="s">
        <v>30</v>
      </c>
      <c r="N1908" t="str">
        <f>_xlfn.XLOOKUP(A1908,[1]!brca_metabric_clinical_data__2[Patient ID], [1]!brca_metabric_clinical_data__2[Tumor Size])</f>
        <v>25</v>
      </c>
      <c r="O1908" t="str">
        <f>_xlfn.XLOOKUP(A1908,[1]!brca_metabric_clinical_data__2[Sample ID],[1]!brca_metabric_clinical_data__2[Tumor Stage])</f>
        <v>NA</v>
      </c>
    </row>
    <row r="1909" spans="1:15" x14ac:dyDescent="0.45">
      <c r="A1909" t="s">
        <v>1944</v>
      </c>
      <c r="B1909">
        <v>58.75</v>
      </c>
      <c r="C1909" t="s">
        <v>16</v>
      </c>
      <c r="D1909" t="s">
        <v>17</v>
      </c>
      <c r="E1909" t="s">
        <v>18</v>
      </c>
      <c r="F1909" t="s">
        <v>35</v>
      </c>
      <c r="G1909" t="s">
        <v>21</v>
      </c>
      <c r="H1909" t="s">
        <v>21</v>
      </c>
      <c r="I1909" t="s">
        <v>21</v>
      </c>
      <c r="J1909" t="s">
        <v>29</v>
      </c>
      <c r="K1909">
        <v>1</v>
      </c>
      <c r="L1909">
        <v>143.6</v>
      </c>
      <c r="M1909" t="s">
        <v>30</v>
      </c>
      <c r="N1909" t="str">
        <f>_xlfn.XLOOKUP(A1909,[1]!brca_metabric_clinical_data__2[Patient ID], [1]!brca_metabric_clinical_data__2[Tumor Size])</f>
        <v>21</v>
      </c>
      <c r="O1909" t="str">
        <f>_xlfn.XLOOKUP(A1909,[1]!brca_metabric_clinical_data__2[Sample ID],[1]!brca_metabric_clinical_data__2[Tumor Stage])</f>
        <v>NA</v>
      </c>
    </row>
    <row r="1910" spans="1:15" x14ac:dyDescent="0.45">
      <c r="A1910" t="s">
        <v>1945</v>
      </c>
      <c r="B1910">
        <v>76.650000000000006</v>
      </c>
      <c r="C1910" t="s">
        <v>16</v>
      </c>
      <c r="D1910" t="s">
        <v>17</v>
      </c>
      <c r="E1910" t="s">
        <v>18</v>
      </c>
      <c r="F1910" t="s">
        <v>43</v>
      </c>
      <c r="G1910" t="s">
        <v>20</v>
      </c>
      <c r="H1910" t="s">
        <v>21</v>
      </c>
      <c r="I1910" t="s">
        <v>20</v>
      </c>
      <c r="J1910" t="s">
        <v>29</v>
      </c>
      <c r="K1910">
        <v>6</v>
      </c>
      <c r="L1910">
        <v>87.466666666666697</v>
      </c>
      <c r="M1910" t="s">
        <v>30</v>
      </c>
      <c r="N1910" t="str">
        <f>_xlfn.XLOOKUP(A1910,[1]!brca_metabric_clinical_data__2[Patient ID], [1]!brca_metabric_clinical_data__2[Tumor Size])</f>
        <v>15.2</v>
      </c>
      <c r="O1910" t="str">
        <f>_xlfn.XLOOKUP(A1910,[1]!brca_metabric_clinical_data__2[Sample ID],[1]!brca_metabric_clinical_data__2[Tumor Stage])</f>
        <v>NA</v>
      </c>
    </row>
    <row r="1911" spans="1:15" x14ac:dyDescent="0.45">
      <c r="A1911" t="s">
        <v>1946</v>
      </c>
      <c r="B1911">
        <v>63.71</v>
      </c>
      <c r="C1911" t="s">
        <v>16</v>
      </c>
      <c r="D1911" t="s">
        <v>17</v>
      </c>
      <c r="E1911" t="s">
        <v>18</v>
      </c>
      <c r="F1911" t="s">
        <v>19</v>
      </c>
      <c r="G1911" t="s">
        <v>21</v>
      </c>
      <c r="H1911" t="s">
        <v>21</v>
      </c>
      <c r="I1911" t="s">
        <v>20</v>
      </c>
      <c r="J1911" t="s">
        <v>29</v>
      </c>
      <c r="K1911">
        <v>2</v>
      </c>
      <c r="L1911">
        <v>46.6666666666667</v>
      </c>
      <c r="M1911" t="s">
        <v>30</v>
      </c>
      <c r="N1911" t="str">
        <f>_xlfn.XLOOKUP(A1911,[1]!brca_metabric_clinical_data__2[Patient ID], [1]!brca_metabric_clinical_data__2[Tumor Size])</f>
        <v>21.5</v>
      </c>
      <c r="O1911" t="str">
        <f>_xlfn.XLOOKUP(A1911,[1]!brca_metabric_clinical_data__2[Sample ID],[1]!brca_metabric_clinical_data__2[Tumor Stage])</f>
        <v>NA</v>
      </c>
    </row>
    <row r="1912" spans="1:15" x14ac:dyDescent="0.45">
      <c r="A1912" t="s">
        <v>1947</v>
      </c>
      <c r="B1912">
        <v>72.989999999999995</v>
      </c>
      <c r="C1912" t="s">
        <v>16</v>
      </c>
      <c r="D1912" t="s">
        <v>17</v>
      </c>
      <c r="E1912" t="s">
        <v>18</v>
      </c>
      <c r="F1912" t="s">
        <v>19</v>
      </c>
      <c r="G1912" t="s">
        <v>20</v>
      </c>
      <c r="H1912" t="s">
        <v>21</v>
      </c>
      <c r="I1912" t="s">
        <v>20</v>
      </c>
      <c r="J1912" t="s">
        <v>27</v>
      </c>
      <c r="K1912">
        <v>8</v>
      </c>
      <c r="L1912">
        <v>80.433333333333294</v>
      </c>
      <c r="M1912" t="s">
        <v>30</v>
      </c>
      <c r="N1912" t="str">
        <f>_xlfn.XLOOKUP(A1912,[1]!brca_metabric_clinical_data__2[Patient ID], [1]!brca_metabric_clinical_data__2[Tumor Size])</f>
        <v>25</v>
      </c>
      <c r="O1912" t="str">
        <f>_xlfn.XLOOKUP(A1912,[1]!brca_metabric_clinical_data__2[Sample ID],[1]!brca_metabric_clinical_data__2[Tumor Stage])</f>
        <v>NA</v>
      </c>
    </row>
    <row r="1913" spans="1:15" x14ac:dyDescent="0.45">
      <c r="A1913" t="s">
        <v>1948</v>
      </c>
      <c r="B1913">
        <v>67.989999999999995</v>
      </c>
      <c r="C1913" t="s">
        <v>16</v>
      </c>
      <c r="D1913" t="s">
        <v>17</v>
      </c>
      <c r="E1913" t="s">
        <v>18</v>
      </c>
      <c r="F1913" t="s">
        <v>19</v>
      </c>
      <c r="G1913" t="s">
        <v>20</v>
      </c>
      <c r="H1913" t="s">
        <v>21</v>
      </c>
      <c r="I1913" t="s">
        <v>21</v>
      </c>
      <c r="J1913" t="s">
        <v>45</v>
      </c>
      <c r="K1913">
        <v>9</v>
      </c>
      <c r="L1913">
        <v>107.1</v>
      </c>
      <c r="M1913" t="s">
        <v>30</v>
      </c>
      <c r="N1913" t="str">
        <f>_xlfn.XLOOKUP(A1913,[1]!brca_metabric_clinical_data__2[Patient ID], [1]!brca_metabric_clinical_data__2[Tumor Size])</f>
        <v>75</v>
      </c>
      <c r="O1913" t="str">
        <f>_xlfn.XLOOKUP(A1913,[1]!brca_metabric_clinical_data__2[Sample ID],[1]!brca_metabric_clinical_data__2[Tumor Stage])</f>
        <v>NA</v>
      </c>
    </row>
    <row r="1914" spans="1:15" x14ac:dyDescent="0.45">
      <c r="A1914" t="s">
        <v>1949</v>
      </c>
      <c r="B1914">
        <v>70.58</v>
      </c>
      <c r="C1914" t="s">
        <v>16</v>
      </c>
      <c r="D1914" t="s">
        <v>17</v>
      </c>
      <c r="E1914" t="s">
        <v>18</v>
      </c>
      <c r="F1914" t="s">
        <v>19</v>
      </c>
      <c r="G1914" t="s">
        <v>20</v>
      </c>
      <c r="H1914" t="s">
        <v>21</v>
      </c>
      <c r="I1914" t="s">
        <v>20</v>
      </c>
      <c r="J1914" t="s">
        <v>29</v>
      </c>
      <c r="K1914">
        <v>8</v>
      </c>
      <c r="L1914">
        <v>187.86666666666699</v>
      </c>
      <c r="M1914" t="s">
        <v>30</v>
      </c>
      <c r="N1914" t="str">
        <f>_xlfn.XLOOKUP(A1914,[1]!brca_metabric_clinical_data__2[Patient ID], [1]!brca_metabric_clinical_data__2[Tumor Size])</f>
        <v>20</v>
      </c>
      <c r="O1914" t="str">
        <f>_xlfn.XLOOKUP(A1914,[1]!brca_metabric_clinical_data__2[Sample ID],[1]!brca_metabric_clinical_data__2[Tumor Stage])</f>
        <v>NA</v>
      </c>
    </row>
    <row r="1915" spans="1:15" x14ac:dyDescent="0.45">
      <c r="A1915" t="s">
        <v>1950</v>
      </c>
      <c r="B1915">
        <v>67.89</v>
      </c>
      <c r="C1915" t="s">
        <v>16</v>
      </c>
      <c r="D1915" t="s">
        <v>17</v>
      </c>
      <c r="E1915" t="s">
        <v>18</v>
      </c>
      <c r="F1915" t="s">
        <v>19</v>
      </c>
      <c r="G1915" t="s">
        <v>20</v>
      </c>
      <c r="H1915" t="s">
        <v>21</v>
      </c>
      <c r="I1915" t="s">
        <v>20</v>
      </c>
      <c r="J1915" t="s">
        <v>58</v>
      </c>
      <c r="K1915">
        <v>6</v>
      </c>
      <c r="L1915">
        <v>16.733333333333299</v>
      </c>
      <c r="M1915" t="s">
        <v>30</v>
      </c>
      <c r="N1915" t="str">
        <f>_xlfn.XLOOKUP(A1915,[1]!brca_metabric_clinical_data__2[Patient ID], [1]!brca_metabric_clinical_data__2[Tumor Size])</f>
        <v>40</v>
      </c>
      <c r="O1915" t="str">
        <f>_xlfn.XLOOKUP(A1915,[1]!brca_metabric_clinical_data__2[Sample ID],[1]!brca_metabric_clinical_data__2[Tumor Stage])</f>
        <v>NA</v>
      </c>
    </row>
    <row r="1916" spans="1:15" x14ac:dyDescent="0.45">
      <c r="A1916" t="s">
        <v>1951</v>
      </c>
      <c r="B1916">
        <v>81.14</v>
      </c>
      <c r="C1916" t="s">
        <v>16</v>
      </c>
      <c r="D1916" t="s">
        <v>17</v>
      </c>
      <c r="E1916" t="s">
        <v>18</v>
      </c>
      <c r="F1916" t="s">
        <v>19</v>
      </c>
      <c r="G1916" t="s">
        <v>20</v>
      </c>
      <c r="H1916" t="s">
        <v>21</v>
      </c>
      <c r="I1916" t="s">
        <v>20</v>
      </c>
      <c r="J1916" t="s">
        <v>29</v>
      </c>
      <c r="K1916">
        <v>8</v>
      </c>
      <c r="L1916">
        <v>76</v>
      </c>
      <c r="M1916" t="s">
        <v>30</v>
      </c>
      <c r="N1916" t="str">
        <f>_xlfn.XLOOKUP(A1916,[1]!brca_metabric_clinical_data__2[Patient ID], [1]!brca_metabric_clinical_data__2[Tumor Size])</f>
        <v>20</v>
      </c>
      <c r="O1916" t="str">
        <f>_xlfn.XLOOKUP(A1916,[1]!brca_metabric_clinical_data__2[Sample ID],[1]!brca_metabric_clinical_data__2[Tumor Stage])</f>
        <v>NA</v>
      </c>
    </row>
    <row r="1917" spans="1:15" x14ac:dyDescent="0.45">
      <c r="A1917" t="s">
        <v>1952</v>
      </c>
      <c r="B1917">
        <v>71.69</v>
      </c>
      <c r="C1917" t="s">
        <v>16</v>
      </c>
      <c r="D1917" t="s">
        <v>17</v>
      </c>
      <c r="E1917" t="s">
        <v>18</v>
      </c>
      <c r="F1917" t="s">
        <v>19</v>
      </c>
      <c r="G1917" t="s">
        <v>20</v>
      </c>
      <c r="H1917" t="s">
        <v>21</v>
      </c>
      <c r="I1917" t="s">
        <v>21</v>
      </c>
      <c r="J1917" t="s">
        <v>29</v>
      </c>
      <c r="K1917">
        <v>8</v>
      </c>
      <c r="L1917">
        <v>97.6</v>
      </c>
      <c r="M1917" t="s">
        <v>30</v>
      </c>
      <c r="N1917" t="str">
        <f>_xlfn.XLOOKUP(A1917,[1]!brca_metabric_clinical_data__2[Patient ID], [1]!brca_metabric_clinical_data__2[Tumor Size])</f>
        <v>23</v>
      </c>
      <c r="O1917" t="str">
        <f>_xlfn.XLOOKUP(A1917,[1]!brca_metabric_clinical_data__2[Sample ID],[1]!brca_metabric_clinical_data__2[Tumor Stage])</f>
        <v>NA</v>
      </c>
    </row>
    <row r="1918" spans="1:15" x14ac:dyDescent="0.45">
      <c r="A1918" t="s">
        <v>1953</v>
      </c>
      <c r="B1918">
        <v>62.07</v>
      </c>
      <c r="C1918" t="s">
        <v>16</v>
      </c>
      <c r="D1918" t="s">
        <v>17</v>
      </c>
      <c r="E1918" t="s">
        <v>18</v>
      </c>
      <c r="F1918" t="s">
        <v>19</v>
      </c>
      <c r="G1918" t="s">
        <v>20</v>
      </c>
      <c r="H1918" t="s">
        <v>21</v>
      </c>
      <c r="I1918" t="s">
        <v>21</v>
      </c>
      <c r="J1918" t="s">
        <v>22</v>
      </c>
      <c r="K1918">
        <v>3</v>
      </c>
      <c r="L1918">
        <v>163.433333333333</v>
      </c>
      <c r="M1918" t="s">
        <v>24</v>
      </c>
      <c r="N1918" t="str">
        <f>_xlfn.XLOOKUP(A1918,[1]!brca_metabric_clinical_data__2[Patient ID], [1]!brca_metabric_clinical_data__2[Tumor Size])</f>
        <v>16</v>
      </c>
      <c r="O1918" t="str">
        <f>_xlfn.XLOOKUP(A1918,[1]!brca_metabric_clinical_data__2[Sample ID],[1]!brca_metabric_clinical_data__2[Tumor Stage])</f>
        <v>NA</v>
      </c>
    </row>
    <row r="1919" spans="1:15" x14ac:dyDescent="0.45">
      <c r="A1919" t="s">
        <v>1954</v>
      </c>
      <c r="B1919">
        <v>38.17</v>
      </c>
      <c r="C1919" t="s">
        <v>16</v>
      </c>
      <c r="D1919" t="s">
        <v>26</v>
      </c>
      <c r="E1919" t="s">
        <v>37</v>
      </c>
      <c r="F1919" t="s">
        <v>19</v>
      </c>
      <c r="G1919" t="s">
        <v>21</v>
      </c>
      <c r="H1919" t="s">
        <v>21</v>
      </c>
      <c r="I1919" t="s">
        <v>21</v>
      </c>
      <c r="J1919" t="s">
        <v>58</v>
      </c>
      <c r="K1919">
        <v>10</v>
      </c>
      <c r="L1919">
        <v>166.03333333333299</v>
      </c>
      <c r="M1919" t="s">
        <v>24</v>
      </c>
      <c r="N1919" t="str">
        <f>_xlfn.XLOOKUP(A1919,[1]!brca_metabric_clinical_data__2[Patient ID], [1]!brca_metabric_clinical_data__2[Tumor Size])</f>
        <v>25</v>
      </c>
      <c r="O1919" t="str">
        <f>_xlfn.XLOOKUP(A1919,[1]!brca_metabric_clinical_data__2[Sample ID],[1]!brca_metabric_clinical_data__2[Tumor Stage])</f>
        <v>NA</v>
      </c>
    </row>
    <row r="1920" spans="1:15" x14ac:dyDescent="0.45">
      <c r="A1920" t="s">
        <v>1955</v>
      </c>
      <c r="B1920">
        <v>43.28</v>
      </c>
      <c r="C1920" t="s">
        <v>16</v>
      </c>
      <c r="D1920" t="s">
        <v>26</v>
      </c>
      <c r="E1920" t="s">
        <v>37</v>
      </c>
      <c r="F1920" t="s">
        <v>43</v>
      </c>
      <c r="G1920" t="s">
        <v>21</v>
      </c>
      <c r="H1920" t="s">
        <v>21</v>
      </c>
      <c r="I1920" t="s">
        <v>21</v>
      </c>
      <c r="J1920" t="s">
        <v>45</v>
      </c>
      <c r="K1920">
        <v>1</v>
      </c>
      <c r="L1920">
        <v>55.733333333333299</v>
      </c>
      <c r="M1920" t="s">
        <v>30</v>
      </c>
      <c r="N1920" t="str">
        <f>_xlfn.XLOOKUP(A1920,[1]!brca_metabric_clinical_data__2[Patient ID], [1]!brca_metabric_clinical_data__2[Tumor Size])</f>
        <v>30</v>
      </c>
      <c r="O1920" t="str">
        <f>_xlfn.XLOOKUP(A1920,[1]!brca_metabric_clinical_data__2[Sample ID],[1]!brca_metabric_clinical_data__2[Tumor Stage])</f>
        <v>NA</v>
      </c>
    </row>
    <row r="1921" spans="1:15" x14ac:dyDescent="0.45">
      <c r="A1921" t="s">
        <v>1956</v>
      </c>
      <c r="B1921">
        <v>48.83</v>
      </c>
      <c r="C1921" t="s">
        <v>16</v>
      </c>
      <c r="D1921" t="s">
        <v>26</v>
      </c>
      <c r="E1921" t="s">
        <v>37</v>
      </c>
      <c r="F1921" t="s">
        <v>19</v>
      </c>
      <c r="G1921" t="s">
        <v>21</v>
      </c>
      <c r="H1921" t="s">
        <v>21</v>
      </c>
      <c r="I1921" t="s">
        <v>21</v>
      </c>
      <c r="J1921" t="s">
        <v>58</v>
      </c>
      <c r="K1921">
        <v>10</v>
      </c>
      <c r="L1921">
        <v>45.933333333333302</v>
      </c>
      <c r="M1921" t="s">
        <v>30</v>
      </c>
      <c r="N1921" t="str">
        <f>_xlfn.XLOOKUP(A1921,[1]!brca_metabric_clinical_data__2[Patient ID], [1]!brca_metabric_clinical_data__2[Tumor Size])</f>
        <v>31.1</v>
      </c>
      <c r="O1921" t="str">
        <f>_xlfn.XLOOKUP(A1921,[1]!brca_metabric_clinical_data__2[Sample ID],[1]!brca_metabric_clinical_data__2[Tumor Stage])</f>
        <v>NA</v>
      </c>
    </row>
    <row r="1922" spans="1:15" x14ac:dyDescent="0.45">
      <c r="A1922" t="s">
        <v>1957</v>
      </c>
      <c r="B1922">
        <v>62.26</v>
      </c>
      <c r="C1922" t="s">
        <v>16</v>
      </c>
      <c r="D1922" t="s">
        <v>17</v>
      </c>
      <c r="E1922" t="s">
        <v>18</v>
      </c>
      <c r="F1922" t="s">
        <v>43</v>
      </c>
      <c r="G1922" t="s">
        <v>20</v>
      </c>
      <c r="H1922" t="s">
        <v>21</v>
      </c>
      <c r="I1922" t="s">
        <v>20</v>
      </c>
      <c r="J1922" t="s">
        <v>27</v>
      </c>
      <c r="K1922">
        <v>3</v>
      </c>
      <c r="L1922">
        <v>52.5</v>
      </c>
      <c r="M1922" t="s">
        <v>30</v>
      </c>
      <c r="N1922" t="str">
        <f>_xlfn.XLOOKUP(A1922,[1]!brca_metabric_clinical_data__2[Patient ID], [1]!brca_metabric_clinical_data__2[Tumor Size])</f>
        <v>14.3</v>
      </c>
      <c r="O1922" t="str">
        <f>_xlfn.XLOOKUP(A1922,[1]!brca_metabric_clinical_data__2[Sample ID],[1]!brca_metabric_clinical_data__2[Tumor Stage])</f>
        <v>NA</v>
      </c>
    </row>
    <row r="1923" spans="1:15" x14ac:dyDescent="0.45">
      <c r="A1923" t="s">
        <v>1958</v>
      </c>
      <c r="B1923">
        <v>60.15</v>
      </c>
      <c r="C1923" t="s">
        <v>16</v>
      </c>
      <c r="D1923" t="s">
        <v>17</v>
      </c>
      <c r="E1923" t="s">
        <v>18</v>
      </c>
      <c r="F1923" t="s">
        <v>19</v>
      </c>
      <c r="G1923" t="s">
        <v>20</v>
      </c>
      <c r="H1923" t="s">
        <v>21</v>
      </c>
      <c r="I1923" t="s">
        <v>21</v>
      </c>
      <c r="J1923" t="s">
        <v>22</v>
      </c>
      <c r="K1923" t="s">
        <v>23</v>
      </c>
      <c r="L1923">
        <v>208.96666666666701</v>
      </c>
      <c r="M1923" t="s">
        <v>30</v>
      </c>
      <c r="N1923" t="str">
        <f>_xlfn.XLOOKUP(A1923,[1]!brca_metabric_clinical_data__2[Patient ID], [1]!brca_metabric_clinical_data__2[Tumor Size])</f>
        <v>15.5</v>
      </c>
      <c r="O1923" t="str">
        <f>_xlfn.XLOOKUP(A1923,[1]!brca_metabric_clinical_data__2[Sample ID],[1]!brca_metabric_clinical_data__2[Tumor Stage])</f>
        <v>NA</v>
      </c>
    </row>
    <row r="1924" spans="1:15" x14ac:dyDescent="0.45">
      <c r="A1924" t="s">
        <v>1959</v>
      </c>
      <c r="B1924">
        <v>79.23</v>
      </c>
      <c r="C1924" t="s">
        <v>16</v>
      </c>
      <c r="D1924" t="s">
        <v>17</v>
      </c>
      <c r="E1924" t="s">
        <v>18</v>
      </c>
      <c r="F1924" t="s">
        <v>19</v>
      </c>
      <c r="G1924" t="s">
        <v>20</v>
      </c>
      <c r="H1924" t="s">
        <v>21</v>
      </c>
      <c r="I1924" t="s">
        <v>20</v>
      </c>
      <c r="J1924" t="s">
        <v>29</v>
      </c>
      <c r="K1924" t="s">
        <v>23</v>
      </c>
      <c r="L1924">
        <v>207.46666666666701</v>
      </c>
      <c r="M1924" t="s">
        <v>30</v>
      </c>
      <c r="N1924" t="str">
        <f>_xlfn.XLOOKUP(A1924,[1]!brca_metabric_clinical_data__2[Patient ID], [1]!brca_metabric_clinical_data__2[Tumor Size])</f>
        <v>20</v>
      </c>
      <c r="O1924" t="str">
        <f>_xlfn.XLOOKUP(A1924,[1]!brca_metabric_clinical_data__2[Sample ID],[1]!brca_metabric_clinical_data__2[Tumor Stage])</f>
        <v>NA</v>
      </c>
    </row>
    <row r="1925" spans="1:15" x14ac:dyDescent="0.45">
      <c r="A1925" t="s">
        <v>1960</v>
      </c>
      <c r="B1925">
        <v>62.61</v>
      </c>
      <c r="C1925" t="s">
        <v>16</v>
      </c>
      <c r="D1925" t="s">
        <v>17</v>
      </c>
      <c r="E1925" t="s">
        <v>18</v>
      </c>
      <c r="F1925" t="s">
        <v>19</v>
      </c>
      <c r="G1925" t="s">
        <v>20</v>
      </c>
      <c r="H1925" t="s">
        <v>20</v>
      </c>
      <c r="I1925" t="s">
        <v>21</v>
      </c>
      <c r="J1925" t="s">
        <v>27</v>
      </c>
      <c r="K1925">
        <v>3</v>
      </c>
      <c r="L1925">
        <v>90.4</v>
      </c>
      <c r="M1925" t="s">
        <v>30</v>
      </c>
      <c r="N1925" t="str">
        <f>_xlfn.XLOOKUP(A1925,[1]!brca_metabric_clinical_data__2[Patient ID], [1]!brca_metabric_clinical_data__2[Tumor Size])</f>
        <v>10</v>
      </c>
      <c r="O1925" t="str">
        <f>_xlfn.XLOOKUP(A1925,[1]!brca_metabric_clinical_data__2[Sample ID],[1]!brca_metabric_clinical_data__2[Tumor Stage])</f>
        <v>NA</v>
      </c>
    </row>
    <row r="1926" spans="1:15" x14ac:dyDescent="0.45">
      <c r="A1926" t="s">
        <v>1961</v>
      </c>
      <c r="B1926">
        <v>57.87</v>
      </c>
      <c r="C1926" t="s">
        <v>16</v>
      </c>
      <c r="D1926" t="s">
        <v>17</v>
      </c>
      <c r="E1926" t="s">
        <v>18</v>
      </c>
      <c r="F1926" t="s">
        <v>19</v>
      </c>
      <c r="G1926" t="s">
        <v>20</v>
      </c>
      <c r="H1926" t="s">
        <v>21</v>
      </c>
      <c r="I1926" t="s">
        <v>21</v>
      </c>
      <c r="J1926" t="s">
        <v>27</v>
      </c>
      <c r="K1926">
        <v>3</v>
      </c>
      <c r="L1926">
        <v>165.433333333333</v>
      </c>
      <c r="M1926" t="s">
        <v>24</v>
      </c>
      <c r="N1926" t="str">
        <f>_xlfn.XLOOKUP(A1926,[1]!brca_metabric_clinical_data__2[Patient ID], [1]!brca_metabric_clinical_data__2[Tumor Size])</f>
        <v>12.6</v>
      </c>
      <c r="O1926" t="str">
        <f>_xlfn.XLOOKUP(A1926,[1]!brca_metabric_clinical_data__2[Sample ID],[1]!brca_metabric_clinical_data__2[Tumor Stage])</f>
        <v>NA</v>
      </c>
    </row>
    <row r="1927" spans="1:15" x14ac:dyDescent="0.45">
      <c r="A1927" t="s">
        <v>1962</v>
      </c>
      <c r="B1927">
        <v>60.07</v>
      </c>
      <c r="C1927" t="s">
        <v>16</v>
      </c>
      <c r="D1927" t="s">
        <v>17</v>
      </c>
      <c r="E1927" t="s">
        <v>18</v>
      </c>
      <c r="F1927" t="s">
        <v>19</v>
      </c>
      <c r="G1927" t="s">
        <v>20</v>
      </c>
      <c r="H1927" t="s">
        <v>21</v>
      </c>
      <c r="I1927" t="s">
        <v>21</v>
      </c>
      <c r="J1927" t="s">
        <v>27</v>
      </c>
      <c r="K1927">
        <v>8</v>
      </c>
      <c r="L1927">
        <v>165.2</v>
      </c>
      <c r="M1927" t="s">
        <v>24</v>
      </c>
      <c r="N1927" t="str">
        <f>_xlfn.XLOOKUP(A1927,[1]!brca_metabric_clinical_data__2[Patient ID], [1]!brca_metabric_clinical_data__2[Tumor Size])</f>
        <v>12.5</v>
      </c>
      <c r="O1927" t="str">
        <f>_xlfn.XLOOKUP(A1927,[1]!brca_metabric_clinical_data__2[Sample ID],[1]!brca_metabric_clinical_data__2[Tumor Stage])</f>
        <v>NA</v>
      </c>
    </row>
    <row r="1928" spans="1:15" x14ac:dyDescent="0.45">
      <c r="A1928" t="s">
        <v>1963</v>
      </c>
      <c r="B1928">
        <v>70.97</v>
      </c>
      <c r="C1928" t="s">
        <v>16</v>
      </c>
      <c r="D1928" t="s">
        <v>17</v>
      </c>
      <c r="E1928" t="s">
        <v>18</v>
      </c>
      <c r="F1928" t="s">
        <v>19</v>
      </c>
      <c r="G1928" t="s">
        <v>20</v>
      </c>
      <c r="H1928" t="s">
        <v>21</v>
      </c>
      <c r="I1928" t="s">
        <v>21</v>
      </c>
      <c r="J1928" t="s">
        <v>29</v>
      </c>
      <c r="K1928">
        <v>8</v>
      </c>
      <c r="L1928">
        <v>183.2</v>
      </c>
      <c r="M1928" t="s">
        <v>30</v>
      </c>
      <c r="N1928" t="str">
        <f>_xlfn.XLOOKUP(A1928,[1]!brca_metabric_clinical_data__2[Patient ID], [1]!brca_metabric_clinical_data__2[Tumor Size])</f>
        <v>25.1</v>
      </c>
      <c r="O1928" t="str">
        <f>_xlfn.XLOOKUP(A1928,[1]!brca_metabric_clinical_data__2[Sample ID],[1]!brca_metabric_clinical_data__2[Tumor Stage])</f>
        <v>NA</v>
      </c>
    </row>
    <row r="1929" spans="1:15" x14ac:dyDescent="0.45">
      <c r="A1929" t="s">
        <v>1964</v>
      </c>
      <c r="B1929">
        <v>49.61</v>
      </c>
      <c r="C1929" t="s">
        <v>16</v>
      </c>
      <c r="D1929" t="s">
        <v>26</v>
      </c>
      <c r="E1929" t="s">
        <v>37</v>
      </c>
      <c r="F1929" t="s">
        <v>43</v>
      </c>
      <c r="G1929" t="s">
        <v>21</v>
      </c>
      <c r="H1929" t="s">
        <v>21</v>
      </c>
      <c r="I1929" t="s">
        <v>21</v>
      </c>
      <c r="J1929" t="s">
        <v>58</v>
      </c>
      <c r="K1929">
        <v>10</v>
      </c>
      <c r="L1929">
        <v>55</v>
      </c>
      <c r="M1929" t="s">
        <v>30</v>
      </c>
      <c r="N1929" t="str">
        <f>_xlfn.XLOOKUP(A1929,[1]!brca_metabric_clinical_data__2[Patient ID], [1]!brca_metabric_clinical_data__2[Tumor Size])</f>
        <v>38</v>
      </c>
      <c r="O1929" t="str">
        <f>_xlfn.XLOOKUP(A1929,[1]!brca_metabric_clinical_data__2[Sample ID],[1]!brca_metabric_clinical_data__2[Tumor Stage])</f>
        <v>NA</v>
      </c>
    </row>
    <row r="1930" spans="1:15" x14ac:dyDescent="0.45">
      <c r="A1930" t="s">
        <v>1965</v>
      </c>
      <c r="B1930">
        <v>67.88</v>
      </c>
      <c r="C1930" t="s">
        <v>16</v>
      </c>
      <c r="D1930" t="s">
        <v>17</v>
      </c>
      <c r="E1930" t="s">
        <v>18</v>
      </c>
      <c r="F1930" t="s">
        <v>43</v>
      </c>
      <c r="G1930" t="s">
        <v>21</v>
      </c>
      <c r="H1930" t="s">
        <v>21</v>
      </c>
      <c r="I1930" t="s">
        <v>20</v>
      </c>
      <c r="J1930" t="s">
        <v>29</v>
      </c>
      <c r="K1930">
        <v>6</v>
      </c>
      <c r="L1930">
        <v>53.366666666666703</v>
      </c>
      <c r="M1930" t="s">
        <v>30</v>
      </c>
      <c r="N1930" t="str">
        <f>_xlfn.XLOOKUP(A1930,[1]!brca_metabric_clinical_data__2[Patient ID], [1]!brca_metabric_clinical_data__2[Tumor Size])</f>
        <v>17.6</v>
      </c>
      <c r="O1930" t="str">
        <f>_xlfn.XLOOKUP(A1930,[1]!brca_metabric_clinical_data__2[Sample ID],[1]!brca_metabric_clinical_data__2[Tumor Stage])</f>
        <v>NA</v>
      </c>
    </row>
    <row r="1931" spans="1:15" x14ac:dyDescent="0.45">
      <c r="A1931" t="s">
        <v>1966</v>
      </c>
      <c r="B1931">
        <v>72.66</v>
      </c>
      <c r="C1931" t="s">
        <v>16</v>
      </c>
      <c r="D1931" t="s">
        <v>17</v>
      </c>
      <c r="E1931" t="s">
        <v>18</v>
      </c>
      <c r="F1931" t="s">
        <v>19</v>
      </c>
      <c r="G1931" t="s">
        <v>20</v>
      </c>
      <c r="H1931" t="s">
        <v>21</v>
      </c>
      <c r="I1931" t="s">
        <v>20</v>
      </c>
      <c r="J1931" t="s">
        <v>38</v>
      </c>
      <c r="K1931">
        <v>3</v>
      </c>
      <c r="L1931">
        <v>63.2</v>
      </c>
      <c r="M1931" t="s">
        <v>30</v>
      </c>
      <c r="N1931" t="str">
        <f>_xlfn.XLOOKUP(A1931,[1]!brca_metabric_clinical_data__2[Patient ID], [1]!brca_metabric_clinical_data__2[Tumor Size])</f>
        <v>17</v>
      </c>
      <c r="O1931" t="str">
        <f>_xlfn.XLOOKUP(A1931,[1]!brca_metabric_clinical_data__2[Sample ID],[1]!brca_metabric_clinical_data__2[Tumor Stage])</f>
        <v>NA</v>
      </c>
    </row>
    <row r="1932" spans="1:15" x14ac:dyDescent="0.45">
      <c r="A1932" t="s">
        <v>1967</v>
      </c>
      <c r="B1932">
        <v>58.92</v>
      </c>
      <c r="C1932" t="s">
        <v>16</v>
      </c>
      <c r="D1932" t="s">
        <v>17</v>
      </c>
      <c r="E1932" t="s">
        <v>18</v>
      </c>
      <c r="F1932" t="s">
        <v>43</v>
      </c>
      <c r="G1932" t="s">
        <v>20</v>
      </c>
      <c r="H1932" t="s">
        <v>21</v>
      </c>
      <c r="I1932" t="s">
        <v>20</v>
      </c>
      <c r="J1932" t="s">
        <v>38</v>
      </c>
      <c r="K1932">
        <v>7</v>
      </c>
      <c r="L1932">
        <v>239.166666666667</v>
      </c>
      <c r="M1932" t="s">
        <v>24</v>
      </c>
      <c r="N1932" t="str">
        <f>_xlfn.XLOOKUP(A1932,[1]!brca_metabric_clinical_data__2[Patient ID], [1]!brca_metabric_clinical_data__2[Tumor Size])</f>
        <v>35</v>
      </c>
      <c r="O1932" t="str">
        <f>_xlfn.XLOOKUP(A1932,[1]!brca_metabric_clinical_data__2[Sample ID],[1]!brca_metabric_clinical_data__2[Tumor Stage])</f>
        <v>NA</v>
      </c>
    </row>
    <row r="1933" spans="1:15" x14ac:dyDescent="0.45">
      <c r="A1933" t="s">
        <v>1968</v>
      </c>
      <c r="B1933">
        <v>73.52</v>
      </c>
      <c r="C1933" t="s">
        <v>16</v>
      </c>
      <c r="D1933" t="s">
        <v>17</v>
      </c>
      <c r="E1933" t="s">
        <v>18</v>
      </c>
      <c r="F1933" t="s">
        <v>19</v>
      </c>
      <c r="G1933" t="s">
        <v>20</v>
      </c>
      <c r="H1933" t="s">
        <v>21</v>
      </c>
      <c r="I1933" t="s">
        <v>20</v>
      </c>
      <c r="J1933" t="s">
        <v>27</v>
      </c>
      <c r="K1933">
        <v>8</v>
      </c>
      <c r="L1933">
        <v>111.6</v>
      </c>
      <c r="M1933" t="s">
        <v>30</v>
      </c>
      <c r="N1933" t="str">
        <f>_xlfn.XLOOKUP(A1933,[1]!brca_metabric_clinical_data__2[Patient ID], [1]!brca_metabric_clinical_data__2[Tumor Size])</f>
        <v>29</v>
      </c>
      <c r="O1933" t="str">
        <f>_xlfn.XLOOKUP(A1933,[1]!brca_metabric_clinical_data__2[Sample ID],[1]!brca_metabric_clinical_data__2[Tumor Stage])</f>
        <v>NA</v>
      </c>
    </row>
    <row r="1934" spans="1:15" x14ac:dyDescent="0.45">
      <c r="A1934" t="s">
        <v>1969</v>
      </c>
      <c r="B1934">
        <v>51.45</v>
      </c>
      <c r="C1934" t="s">
        <v>16</v>
      </c>
      <c r="D1934" t="s">
        <v>17</v>
      </c>
      <c r="E1934" t="s">
        <v>18</v>
      </c>
      <c r="F1934" t="s">
        <v>19</v>
      </c>
      <c r="G1934" t="s">
        <v>20</v>
      </c>
      <c r="H1934" t="s">
        <v>21</v>
      </c>
      <c r="I1934" t="s">
        <v>21</v>
      </c>
      <c r="J1934" t="s">
        <v>27</v>
      </c>
      <c r="K1934">
        <v>3</v>
      </c>
      <c r="L1934">
        <v>182.6</v>
      </c>
      <c r="M1934" t="s">
        <v>24</v>
      </c>
      <c r="N1934" t="str">
        <f>_xlfn.XLOOKUP(A1934,[1]!brca_metabric_clinical_data__2[Patient ID], [1]!brca_metabric_clinical_data__2[Tumor Size])</f>
        <v>15</v>
      </c>
      <c r="O1934" t="str">
        <f>_xlfn.XLOOKUP(A1934,[1]!brca_metabric_clinical_data__2[Sample ID],[1]!brca_metabric_clinical_data__2[Tumor Stage])</f>
        <v>NA</v>
      </c>
    </row>
    <row r="1935" spans="1:15" x14ac:dyDescent="0.45">
      <c r="A1935" t="s">
        <v>1970</v>
      </c>
      <c r="B1935">
        <v>68.41</v>
      </c>
      <c r="C1935" t="s">
        <v>16</v>
      </c>
      <c r="D1935" t="s">
        <v>17</v>
      </c>
      <c r="E1935" t="s">
        <v>18</v>
      </c>
      <c r="F1935" t="s">
        <v>19</v>
      </c>
      <c r="G1935" t="s">
        <v>20</v>
      </c>
      <c r="H1935" t="s">
        <v>20</v>
      </c>
      <c r="I1935" t="s">
        <v>20</v>
      </c>
      <c r="J1935" t="s">
        <v>27</v>
      </c>
      <c r="K1935" t="s">
        <v>23</v>
      </c>
      <c r="L1935">
        <v>199.03333333333299</v>
      </c>
      <c r="M1935" t="s">
        <v>30</v>
      </c>
      <c r="N1935" t="str">
        <f>_xlfn.XLOOKUP(A1935,[1]!brca_metabric_clinical_data__2[Patient ID], [1]!brca_metabric_clinical_data__2[Tumor Size])</f>
        <v>38</v>
      </c>
      <c r="O1935" t="str">
        <f>_xlfn.XLOOKUP(A1935,[1]!brca_metabric_clinical_data__2[Sample ID],[1]!brca_metabric_clinical_data__2[Tumor Stage])</f>
        <v>NA</v>
      </c>
    </row>
    <row r="1936" spans="1:15" x14ac:dyDescent="0.45">
      <c r="A1936" t="s">
        <v>1971</v>
      </c>
      <c r="B1936">
        <v>58.37</v>
      </c>
      <c r="C1936" t="s">
        <v>16</v>
      </c>
      <c r="D1936" t="s">
        <v>17</v>
      </c>
      <c r="E1936" t="s">
        <v>18</v>
      </c>
      <c r="F1936" t="s">
        <v>19</v>
      </c>
      <c r="G1936" t="s">
        <v>20</v>
      </c>
      <c r="H1936" t="s">
        <v>20</v>
      </c>
      <c r="I1936" t="s">
        <v>20</v>
      </c>
      <c r="J1936" t="s">
        <v>27</v>
      </c>
      <c r="K1936">
        <v>8</v>
      </c>
      <c r="L1936">
        <v>177.6</v>
      </c>
      <c r="M1936" t="s">
        <v>24</v>
      </c>
      <c r="N1936" t="str">
        <f>_xlfn.XLOOKUP(A1936,[1]!brca_metabric_clinical_data__2[Patient ID], [1]!brca_metabric_clinical_data__2[Tumor Size])</f>
        <v>2.12</v>
      </c>
      <c r="O1936" t="str">
        <f>_xlfn.XLOOKUP(A1936,[1]!brca_metabric_clinical_data__2[Sample ID],[1]!brca_metabric_clinical_data__2[Tumor Stage])</f>
        <v>NA</v>
      </c>
    </row>
    <row r="1937" spans="1:15" x14ac:dyDescent="0.45">
      <c r="A1937" t="s">
        <v>1972</v>
      </c>
      <c r="B1937">
        <v>74.760000000000005</v>
      </c>
      <c r="C1937" t="s">
        <v>16</v>
      </c>
      <c r="D1937" t="s">
        <v>17</v>
      </c>
      <c r="E1937" t="s">
        <v>18</v>
      </c>
      <c r="F1937" t="s">
        <v>19</v>
      </c>
      <c r="G1937" t="s">
        <v>20</v>
      </c>
      <c r="H1937" t="s">
        <v>21</v>
      </c>
      <c r="I1937" t="s">
        <v>20</v>
      </c>
      <c r="J1937" t="s">
        <v>45</v>
      </c>
      <c r="K1937">
        <v>8</v>
      </c>
      <c r="L1937">
        <v>222.03333333333299</v>
      </c>
      <c r="M1937" t="s">
        <v>30</v>
      </c>
      <c r="N1937" t="str">
        <f>_xlfn.XLOOKUP(A1937,[1]!brca_metabric_clinical_data__2[Patient ID], [1]!brca_metabric_clinical_data__2[Tumor Size])</f>
        <v>21.3</v>
      </c>
      <c r="O1937" t="str">
        <f>_xlfn.XLOOKUP(A1937,[1]!brca_metabric_clinical_data__2[Sample ID],[1]!brca_metabric_clinical_data__2[Tumor Stage])</f>
        <v>NA</v>
      </c>
    </row>
    <row r="1938" spans="1:15" x14ac:dyDescent="0.45">
      <c r="A1938" t="s">
        <v>1973</v>
      </c>
      <c r="B1938">
        <v>63.43</v>
      </c>
      <c r="C1938" t="s">
        <v>16</v>
      </c>
      <c r="D1938" t="s">
        <v>17</v>
      </c>
      <c r="E1938" t="s">
        <v>18</v>
      </c>
      <c r="F1938" t="s">
        <v>19</v>
      </c>
      <c r="G1938" t="s">
        <v>20</v>
      </c>
      <c r="H1938" t="s">
        <v>21</v>
      </c>
      <c r="I1938" t="s">
        <v>21</v>
      </c>
      <c r="J1938" t="s">
        <v>29</v>
      </c>
      <c r="K1938">
        <v>6</v>
      </c>
      <c r="L1938">
        <v>222.2</v>
      </c>
      <c r="M1938" t="s">
        <v>24</v>
      </c>
      <c r="N1938" t="str">
        <f>_xlfn.XLOOKUP(A1938,[1]!brca_metabric_clinical_data__2[Patient ID], [1]!brca_metabric_clinical_data__2[Tumor Size])</f>
        <v>8</v>
      </c>
      <c r="O1938" t="str">
        <f>_xlfn.XLOOKUP(A1938,[1]!brca_metabric_clinical_data__2[Sample ID],[1]!brca_metabric_clinical_data__2[Tumor Stage])</f>
        <v>NA</v>
      </c>
    </row>
    <row r="1939" spans="1:15" x14ac:dyDescent="0.45">
      <c r="A1939" t="s">
        <v>1974</v>
      </c>
      <c r="B1939">
        <v>62.45</v>
      </c>
      <c r="C1939" t="s">
        <v>16</v>
      </c>
      <c r="D1939" t="s">
        <v>17</v>
      </c>
      <c r="E1939" t="s">
        <v>18</v>
      </c>
      <c r="F1939" t="s">
        <v>43</v>
      </c>
      <c r="G1939" t="s">
        <v>20</v>
      </c>
      <c r="H1939" t="s">
        <v>21</v>
      </c>
      <c r="I1939" t="s">
        <v>20</v>
      </c>
      <c r="J1939" t="s">
        <v>27</v>
      </c>
      <c r="K1939">
        <v>8</v>
      </c>
      <c r="L1939">
        <v>170.8</v>
      </c>
      <c r="M1939" t="s">
        <v>24</v>
      </c>
      <c r="N1939" t="str">
        <f>_xlfn.XLOOKUP(A1939,[1]!brca_metabric_clinical_data__2[Patient ID], [1]!brca_metabric_clinical_data__2[Tumor Size])</f>
        <v>20</v>
      </c>
      <c r="O1939" t="str">
        <f>_xlfn.XLOOKUP(A1939,[1]!brca_metabric_clinical_data__2[Sample ID],[1]!brca_metabric_clinical_data__2[Tumor Stage])</f>
        <v>NA</v>
      </c>
    </row>
    <row r="1940" spans="1:15" x14ac:dyDescent="0.45">
      <c r="A1940" t="s">
        <v>1975</v>
      </c>
      <c r="B1940">
        <v>51.46</v>
      </c>
      <c r="C1940" t="s">
        <v>16</v>
      </c>
      <c r="D1940" t="s">
        <v>17</v>
      </c>
      <c r="E1940" t="s">
        <v>18</v>
      </c>
      <c r="F1940" t="s">
        <v>43</v>
      </c>
      <c r="G1940" t="s">
        <v>20</v>
      </c>
      <c r="H1940" t="s">
        <v>21</v>
      </c>
      <c r="I1940" t="s">
        <v>21</v>
      </c>
      <c r="J1940" t="s">
        <v>29</v>
      </c>
      <c r="K1940">
        <v>8</v>
      </c>
      <c r="L1940">
        <v>201.46666666666701</v>
      </c>
      <c r="M1940" t="s">
        <v>30</v>
      </c>
      <c r="N1940" t="str">
        <f>_xlfn.XLOOKUP(A1940,[1]!brca_metabric_clinical_data__2[Patient ID], [1]!brca_metabric_clinical_data__2[Tumor Size])</f>
        <v>22.32</v>
      </c>
      <c r="O1940" t="str">
        <f>_xlfn.XLOOKUP(A1940,[1]!brca_metabric_clinical_data__2[Sample ID],[1]!brca_metabric_clinical_data__2[Tumor Stage])</f>
        <v>NA</v>
      </c>
    </row>
    <row r="1941" spans="1:15" x14ac:dyDescent="0.45">
      <c r="A1941" t="s">
        <v>1976</v>
      </c>
      <c r="B1941">
        <v>77.37</v>
      </c>
      <c r="C1941" t="s">
        <v>16</v>
      </c>
      <c r="D1941" t="s">
        <v>17</v>
      </c>
      <c r="E1941" t="s">
        <v>18</v>
      </c>
      <c r="F1941" t="s">
        <v>43</v>
      </c>
      <c r="G1941" t="s">
        <v>20</v>
      </c>
      <c r="H1941" t="s">
        <v>21</v>
      </c>
      <c r="I1941" t="s">
        <v>20</v>
      </c>
      <c r="J1941" t="s">
        <v>613</v>
      </c>
      <c r="K1941">
        <v>9</v>
      </c>
      <c r="L1941">
        <v>23.933333333333302</v>
      </c>
      <c r="M1941" t="s">
        <v>30</v>
      </c>
      <c r="N1941" t="str">
        <f>_xlfn.XLOOKUP(A1941,[1]!brca_metabric_clinical_data__2[Patient ID], [1]!brca_metabric_clinical_data__2[Tumor Size])</f>
        <v>18</v>
      </c>
      <c r="O1941" t="str">
        <f>_xlfn.XLOOKUP(A1941,[1]!brca_metabric_clinical_data__2[Sample ID],[1]!brca_metabric_clinical_data__2[Tumor Stage])</f>
        <v>NA</v>
      </c>
    </row>
    <row r="1942" spans="1:15" x14ac:dyDescent="0.45">
      <c r="A1942" t="s">
        <v>1977</v>
      </c>
      <c r="B1942">
        <v>71.11</v>
      </c>
      <c r="C1942" t="s">
        <v>16</v>
      </c>
      <c r="D1942" t="s">
        <v>17</v>
      </c>
      <c r="E1942" t="s">
        <v>18</v>
      </c>
      <c r="F1942" t="s">
        <v>19</v>
      </c>
      <c r="G1942" t="s">
        <v>20</v>
      </c>
      <c r="H1942" t="s">
        <v>21</v>
      </c>
      <c r="I1942" t="s">
        <v>20</v>
      </c>
      <c r="J1942" t="s">
        <v>45</v>
      </c>
      <c r="K1942">
        <v>8</v>
      </c>
      <c r="L1942">
        <v>23.266666666666701</v>
      </c>
      <c r="M1942" t="s">
        <v>30</v>
      </c>
      <c r="N1942" t="str">
        <f>_xlfn.XLOOKUP(A1942,[1]!brca_metabric_clinical_data__2[Patient ID], [1]!brca_metabric_clinical_data__2[Tumor Size])</f>
        <v>27</v>
      </c>
      <c r="O1942" t="str">
        <f>_xlfn.XLOOKUP(A1942,[1]!brca_metabric_clinical_data__2[Sample ID],[1]!brca_metabric_clinical_data__2[Tumor Stage])</f>
        <v>NA</v>
      </c>
    </row>
    <row r="1943" spans="1:15" x14ac:dyDescent="0.45">
      <c r="A1943" t="s">
        <v>1978</v>
      </c>
      <c r="B1943">
        <v>47.85</v>
      </c>
      <c r="C1943" t="s">
        <v>16</v>
      </c>
      <c r="D1943" t="s">
        <v>26</v>
      </c>
      <c r="E1943" t="s">
        <v>18</v>
      </c>
      <c r="F1943" t="s">
        <v>19</v>
      </c>
      <c r="G1943" t="s">
        <v>20</v>
      </c>
      <c r="H1943" t="s">
        <v>20</v>
      </c>
      <c r="I1943" t="s">
        <v>20</v>
      </c>
      <c r="J1943" t="s">
        <v>29</v>
      </c>
      <c r="K1943">
        <v>7</v>
      </c>
      <c r="L1943">
        <v>171.1</v>
      </c>
      <c r="M1943" t="s">
        <v>24</v>
      </c>
      <c r="N1943" t="str">
        <f>_xlfn.XLOOKUP(A1943,[1]!brca_metabric_clinical_data__2[Patient ID], [1]!brca_metabric_clinical_data__2[Tumor Size])</f>
        <v>23</v>
      </c>
      <c r="O1943" t="str">
        <f>_xlfn.XLOOKUP(A1943,[1]!brca_metabric_clinical_data__2[Sample ID],[1]!brca_metabric_clinical_data__2[Tumor Stage])</f>
        <v>NA</v>
      </c>
    </row>
    <row r="1944" spans="1:15" x14ac:dyDescent="0.45">
      <c r="A1944" t="s">
        <v>1979</v>
      </c>
      <c r="B1944">
        <v>78.89</v>
      </c>
      <c r="C1944" t="s">
        <v>16</v>
      </c>
      <c r="D1944" t="s">
        <v>17</v>
      </c>
      <c r="E1944" t="s">
        <v>18</v>
      </c>
      <c r="F1944" t="s">
        <v>19</v>
      </c>
      <c r="G1944" t="s">
        <v>20</v>
      </c>
      <c r="H1944" t="s">
        <v>21</v>
      </c>
      <c r="I1944" t="s">
        <v>20</v>
      </c>
      <c r="J1944" t="s">
        <v>27</v>
      </c>
      <c r="K1944">
        <v>8</v>
      </c>
      <c r="L1944">
        <v>148.80000000000001</v>
      </c>
      <c r="M1944" t="s">
        <v>30</v>
      </c>
      <c r="N1944" t="str">
        <f>_xlfn.XLOOKUP(A1944,[1]!brca_metabric_clinical_data__2[Patient ID], [1]!brca_metabric_clinical_data__2[Tumor Size])</f>
        <v>17</v>
      </c>
      <c r="O1944" t="str">
        <f>_xlfn.XLOOKUP(A1944,[1]!brca_metabric_clinical_data__2[Sample ID],[1]!brca_metabric_clinical_data__2[Tumor Stage])</f>
        <v>NA</v>
      </c>
    </row>
    <row r="1945" spans="1:15" x14ac:dyDescent="0.45">
      <c r="A1945" t="s">
        <v>1980</v>
      </c>
      <c r="B1945">
        <v>54.81</v>
      </c>
      <c r="C1945" t="s">
        <v>16</v>
      </c>
      <c r="D1945" t="s">
        <v>17</v>
      </c>
      <c r="E1945" t="s">
        <v>18</v>
      </c>
      <c r="F1945" t="s">
        <v>19</v>
      </c>
      <c r="G1945" t="s">
        <v>20</v>
      </c>
      <c r="H1945" t="s">
        <v>20</v>
      </c>
      <c r="I1945" t="s">
        <v>21</v>
      </c>
      <c r="J1945" t="s">
        <v>27</v>
      </c>
      <c r="K1945">
        <v>8</v>
      </c>
      <c r="L1945">
        <v>184.166666666667</v>
      </c>
      <c r="M1945" t="s">
        <v>24</v>
      </c>
      <c r="N1945" t="str">
        <f>_xlfn.XLOOKUP(A1945,[1]!brca_metabric_clinical_data__2[Patient ID], [1]!brca_metabric_clinical_data__2[Tumor Size])</f>
        <v>12</v>
      </c>
      <c r="O1945" t="str">
        <f>_xlfn.XLOOKUP(A1945,[1]!brca_metabric_clinical_data__2[Sample ID],[1]!brca_metabric_clinical_data__2[Tumor Stage])</f>
        <v>NA</v>
      </c>
    </row>
    <row r="1946" spans="1:15" x14ac:dyDescent="0.45">
      <c r="A1946" t="s">
        <v>1981</v>
      </c>
      <c r="B1946">
        <v>75.13</v>
      </c>
      <c r="C1946" t="s">
        <v>16</v>
      </c>
      <c r="D1946" t="s">
        <v>17</v>
      </c>
      <c r="E1946" t="s">
        <v>18</v>
      </c>
      <c r="F1946" t="s">
        <v>43</v>
      </c>
      <c r="G1946" t="s">
        <v>20</v>
      </c>
      <c r="H1946" t="s">
        <v>21</v>
      </c>
      <c r="I1946" t="s">
        <v>21</v>
      </c>
      <c r="J1946" t="s">
        <v>27</v>
      </c>
      <c r="K1946">
        <v>8</v>
      </c>
      <c r="L1946">
        <v>58.6666666666667</v>
      </c>
      <c r="M1946" t="s">
        <v>30</v>
      </c>
      <c r="N1946" t="str">
        <f>_xlfn.XLOOKUP(A1946,[1]!brca_metabric_clinical_data__2[Patient ID], [1]!brca_metabric_clinical_data__2[Tumor Size])</f>
        <v>21</v>
      </c>
      <c r="O1946" t="str">
        <f>_xlfn.XLOOKUP(A1946,[1]!brca_metabric_clinical_data__2[Sample ID],[1]!brca_metabric_clinical_data__2[Tumor Stage])</f>
        <v>NA</v>
      </c>
    </row>
    <row r="1947" spans="1:15" x14ac:dyDescent="0.45">
      <c r="A1947" t="s">
        <v>1982</v>
      </c>
      <c r="B1947">
        <v>48.45</v>
      </c>
      <c r="C1947" t="s">
        <v>16</v>
      </c>
      <c r="D1947" t="s">
        <v>26</v>
      </c>
      <c r="E1947" t="s">
        <v>37</v>
      </c>
      <c r="F1947" t="s">
        <v>43</v>
      </c>
      <c r="G1947" t="s">
        <v>20</v>
      </c>
      <c r="H1947" t="s">
        <v>20</v>
      </c>
      <c r="I1947" t="s">
        <v>21</v>
      </c>
      <c r="J1947" t="s">
        <v>45</v>
      </c>
      <c r="K1947">
        <v>5</v>
      </c>
      <c r="L1947">
        <v>51</v>
      </c>
      <c r="M1947" t="s">
        <v>30</v>
      </c>
      <c r="N1947" t="str">
        <f>_xlfn.XLOOKUP(A1947,[1]!brca_metabric_clinical_data__2[Patient ID], [1]!brca_metabric_clinical_data__2[Tumor Size])</f>
        <v>17.7</v>
      </c>
      <c r="O1947" t="str">
        <f>_xlfn.XLOOKUP(A1947,[1]!brca_metabric_clinical_data__2[Sample ID],[1]!brca_metabric_clinical_data__2[Tumor Stage])</f>
        <v>NA</v>
      </c>
    </row>
    <row r="1948" spans="1:15" x14ac:dyDescent="0.45">
      <c r="A1948" t="s">
        <v>1983</v>
      </c>
      <c r="B1948">
        <v>54.66</v>
      </c>
      <c r="C1948" t="s">
        <v>16</v>
      </c>
      <c r="D1948" t="s">
        <v>17</v>
      </c>
      <c r="E1948" t="s">
        <v>18</v>
      </c>
      <c r="F1948" t="s">
        <v>43</v>
      </c>
      <c r="G1948" t="s">
        <v>20</v>
      </c>
      <c r="H1948" t="s">
        <v>21</v>
      </c>
      <c r="I1948" t="s">
        <v>20</v>
      </c>
      <c r="J1948" t="s">
        <v>45</v>
      </c>
      <c r="K1948">
        <v>5</v>
      </c>
      <c r="L1948">
        <v>21.566666666666698</v>
      </c>
      <c r="M1948" t="s">
        <v>30</v>
      </c>
      <c r="N1948" t="str">
        <f>_xlfn.XLOOKUP(A1948,[1]!brca_metabric_clinical_data__2[Patient ID], [1]!brca_metabric_clinical_data__2[Tumor Size])</f>
        <v>15.47</v>
      </c>
      <c r="O1948" t="str">
        <f>_xlfn.XLOOKUP(A1948,[1]!brca_metabric_clinical_data__2[Sample ID],[1]!brca_metabric_clinical_data__2[Tumor Stage])</f>
        <v>NA</v>
      </c>
    </row>
    <row r="1949" spans="1:15" x14ac:dyDescent="0.45">
      <c r="A1949" t="s">
        <v>1984</v>
      </c>
      <c r="B1949">
        <v>74.8</v>
      </c>
      <c r="C1949" t="s">
        <v>16</v>
      </c>
      <c r="D1949" t="s">
        <v>17</v>
      </c>
      <c r="E1949" t="s">
        <v>18</v>
      </c>
      <c r="F1949" t="s">
        <v>43</v>
      </c>
      <c r="G1949" t="s">
        <v>20</v>
      </c>
      <c r="H1949" t="s">
        <v>21</v>
      </c>
      <c r="I1949" t="s">
        <v>20</v>
      </c>
      <c r="J1949" t="s">
        <v>45</v>
      </c>
      <c r="K1949" t="s">
        <v>23</v>
      </c>
      <c r="L1949">
        <v>35.700000000000003</v>
      </c>
      <c r="M1949" t="s">
        <v>30</v>
      </c>
      <c r="N1949" t="str">
        <f>_xlfn.XLOOKUP(A1949,[1]!brca_metabric_clinical_data__2[Patient ID], [1]!brca_metabric_clinical_data__2[Tumor Size])</f>
        <v>35</v>
      </c>
      <c r="O1949" t="str">
        <f>_xlfn.XLOOKUP(A1949,[1]!brca_metabric_clinical_data__2[Sample ID],[1]!brca_metabric_clinical_data__2[Tumor Stage])</f>
        <v>NA</v>
      </c>
    </row>
    <row r="1950" spans="1:15" x14ac:dyDescent="0.45">
      <c r="A1950" t="s">
        <v>1985</v>
      </c>
      <c r="B1950">
        <v>69.72</v>
      </c>
      <c r="C1950" t="s">
        <v>16</v>
      </c>
      <c r="D1950" t="s">
        <v>17</v>
      </c>
      <c r="E1950" t="s">
        <v>18</v>
      </c>
      <c r="F1950" t="s">
        <v>19</v>
      </c>
      <c r="G1950" t="s">
        <v>20</v>
      </c>
      <c r="H1950" t="s">
        <v>21</v>
      </c>
      <c r="I1950" t="s">
        <v>20</v>
      </c>
      <c r="J1950" t="s">
        <v>29</v>
      </c>
      <c r="K1950">
        <v>3</v>
      </c>
      <c r="L1950">
        <v>59.966666666666697</v>
      </c>
      <c r="M1950" t="s">
        <v>30</v>
      </c>
      <c r="N1950" t="str">
        <f>_xlfn.XLOOKUP(A1950,[1]!brca_metabric_clinical_data__2[Patient ID], [1]!brca_metabric_clinical_data__2[Tumor Size])</f>
        <v>25</v>
      </c>
      <c r="O1950" t="str">
        <f>_xlfn.XLOOKUP(A1950,[1]!brca_metabric_clinical_data__2[Sample ID],[1]!brca_metabric_clinical_data__2[Tumor Stage])</f>
        <v>NA</v>
      </c>
    </row>
    <row r="1951" spans="1:15" x14ac:dyDescent="0.45">
      <c r="A1951" t="s">
        <v>1986</v>
      </c>
      <c r="B1951">
        <v>62.46</v>
      </c>
      <c r="C1951" t="s">
        <v>16</v>
      </c>
      <c r="D1951" t="s">
        <v>17</v>
      </c>
      <c r="E1951" t="s">
        <v>18</v>
      </c>
      <c r="F1951" t="s">
        <v>19</v>
      </c>
      <c r="G1951" t="s">
        <v>20</v>
      </c>
      <c r="H1951" t="s">
        <v>21</v>
      </c>
      <c r="I1951" t="s">
        <v>20</v>
      </c>
      <c r="J1951" t="s">
        <v>27</v>
      </c>
      <c r="K1951">
        <v>8</v>
      </c>
      <c r="L1951">
        <v>192.2</v>
      </c>
      <c r="M1951" t="s">
        <v>24</v>
      </c>
      <c r="N1951" t="str">
        <f>_xlfn.XLOOKUP(A1951,[1]!brca_metabric_clinical_data__2[Patient ID], [1]!brca_metabric_clinical_data__2[Tumor Size])</f>
        <v>23</v>
      </c>
      <c r="O1951" t="str">
        <f>_xlfn.XLOOKUP(A1951,[1]!brca_metabric_clinical_data__2[Sample ID],[1]!brca_metabric_clinical_data__2[Tumor Stage])</f>
        <v>NA</v>
      </c>
    </row>
    <row r="1952" spans="1:15" x14ac:dyDescent="0.45">
      <c r="A1952" t="s">
        <v>1987</v>
      </c>
      <c r="B1952">
        <v>50.92</v>
      </c>
      <c r="C1952" t="s">
        <v>16</v>
      </c>
      <c r="D1952" t="s">
        <v>17</v>
      </c>
      <c r="E1952" t="s">
        <v>37</v>
      </c>
      <c r="F1952" t="s">
        <v>43</v>
      </c>
      <c r="G1952" t="s">
        <v>21</v>
      </c>
      <c r="H1952" t="s">
        <v>21</v>
      </c>
      <c r="I1952" t="s">
        <v>21</v>
      </c>
      <c r="J1952" t="s">
        <v>45</v>
      </c>
      <c r="K1952">
        <v>5</v>
      </c>
      <c r="L1952">
        <v>34.700000000000003</v>
      </c>
      <c r="M1952" t="s">
        <v>30</v>
      </c>
      <c r="N1952" t="str">
        <f>_xlfn.XLOOKUP(A1952,[1]!brca_metabric_clinical_data__2[Patient ID], [1]!brca_metabric_clinical_data__2[Tumor Size])</f>
        <v>40</v>
      </c>
      <c r="O1952" t="str">
        <f>_xlfn.XLOOKUP(A1952,[1]!brca_metabric_clinical_data__2[Sample ID],[1]!brca_metabric_clinical_data__2[Tumor Stage])</f>
        <v>NA</v>
      </c>
    </row>
    <row r="1953" spans="1:15" x14ac:dyDescent="0.45">
      <c r="A1953" t="s">
        <v>1988</v>
      </c>
      <c r="B1953">
        <v>45.11</v>
      </c>
      <c r="C1953" t="s">
        <v>16</v>
      </c>
      <c r="D1953" t="s">
        <v>26</v>
      </c>
      <c r="E1953" t="s">
        <v>37</v>
      </c>
      <c r="F1953" t="s">
        <v>19</v>
      </c>
      <c r="G1953" t="s">
        <v>21</v>
      </c>
      <c r="H1953" t="s">
        <v>21</v>
      </c>
      <c r="I1953" t="s">
        <v>21</v>
      </c>
      <c r="J1953" t="s">
        <v>58</v>
      </c>
      <c r="K1953">
        <v>10</v>
      </c>
      <c r="L1953">
        <v>15.0666666666667</v>
      </c>
      <c r="M1953" t="s">
        <v>30</v>
      </c>
      <c r="N1953" t="str">
        <f>_xlfn.XLOOKUP(A1953,[1]!brca_metabric_clinical_data__2[Patient ID], [1]!brca_metabric_clinical_data__2[Tumor Size])</f>
        <v>30</v>
      </c>
      <c r="O1953" t="str">
        <f>_xlfn.XLOOKUP(A1953,[1]!brca_metabric_clinical_data__2[Sample ID],[1]!brca_metabric_clinical_data__2[Tumor Stage])</f>
        <v>NA</v>
      </c>
    </row>
    <row r="1954" spans="1:15" x14ac:dyDescent="0.45">
      <c r="A1954" t="s">
        <v>1989</v>
      </c>
      <c r="B1954">
        <v>52.41</v>
      </c>
      <c r="C1954" t="s">
        <v>16</v>
      </c>
      <c r="D1954" t="s">
        <v>17</v>
      </c>
      <c r="E1954" t="s">
        <v>37</v>
      </c>
      <c r="F1954" t="s">
        <v>43</v>
      </c>
      <c r="G1954" t="s">
        <v>21</v>
      </c>
      <c r="H1954" t="s">
        <v>20</v>
      </c>
      <c r="I1954" t="s">
        <v>21</v>
      </c>
      <c r="J1954" t="s">
        <v>45</v>
      </c>
      <c r="K1954">
        <v>5</v>
      </c>
      <c r="L1954">
        <v>31.1666666666667</v>
      </c>
      <c r="M1954" t="s">
        <v>24</v>
      </c>
      <c r="N1954" t="str">
        <f>_xlfn.XLOOKUP(A1954,[1]!brca_metabric_clinical_data__2[Patient ID], [1]!brca_metabric_clinical_data__2[Tumor Size])</f>
        <v>24.15</v>
      </c>
      <c r="O1954" t="str">
        <f>_xlfn.XLOOKUP(A1954,[1]!brca_metabric_clinical_data__2[Sample ID],[1]!brca_metabric_clinical_data__2[Tumor Stage])</f>
        <v>NA</v>
      </c>
    </row>
    <row r="1955" spans="1:15" x14ac:dyDescent="0.45">
      <c r="A1955" t="s">
        <v>1990</v>
      </c>
      <c r="B1955">
        <v>83.8</v>
      </c>
      <c r="C1955" t="s">
        <v>16</v>
      </c>
      <c r="D1955" t="s">
        <v>17</v>
      </c>
      <c r="E1955" t="s">
        <v>18</v>
      </c>
      <c r="F1955" t="s">
        <v>19</v>
      </c>
      <c r="G1955" t="s">
        <v>20</v>
      </c>
      <c r="H1955" t="s">
        <v>21</v>
      </c>
      <c r="I1955" t="s">
        <v>20</v>
      </c>
      <c r="J1955" t="s">
        <v>45</v>
      </c>
      <c r="K1955">
        <v>9</v>
      </c>
      <c r="L1955">
        <v>104.033333333333</v>
      </c>
      <c r="M1955" t="s">
        <v>30</v>
      </c>
      <c r="N1955" t="str">
        <f>_xlfn.XLOOKUP(A1955,[1]!brca_metabric_clinical_data__2[Patient ID], [1]!brca_metabric_clinical_data__2[Tumor Size])</f>
        <v>40</v>
      </c>
      <c r="O1955" t="str">
        <f>_xlfn.XLOOKUP(A1955,[1]!brca_metabric_clinical_data__2[Sample ID],[1]!brca_metabric_clinical_data__2[Tumor Stage])</f>
        <v>NA</v>
      </c>
    </row>
    <row r="1956" spans="1:15" x14ac:dyDescent="0.45">
      <c r="A1956" t="s">
        <v>1991</v>
      </c>
      <c r="B1956">
        <v>63.89</v>
      </c>
      <c r="C1956" t="s">
        <v>16</v>
      </c>
      <c r="D1956" t="s">
        <v>17</v>
      </c>
      <c r="E1956" t="s">
        <v>18</v>
      </c>
      <c r="F1956" t="s">
        <v>43</v>
      </c>
      <c r="G1956" t="s">
        <v>20</v>
      </c>
      <c r="H1956" t="s">
        <v>21</v>
      </c>
      <c r="I1956" t="s">
        <v>21</v>
      </c>
      <c r="J1956" t="s">
        <v>29</v>
      </c>
      <c r="K1956">
        <v>9</v>
      </c>
      <c r="L1956">
        <v>164.96666666666701</v>
      </c>
      <c r="M1956" t="s">
        <v>30</v>
      </c>
      <c r="N1956" t="str">
        <f>_xlfn.XLOOKUP(A1956,[1]!brca_metabric_clinical_data__2[Patient ID], [1]!brca_metabric_clinical_data__2[Tumor Size])</f>
        <v>30</v>
      </c>
      <c r="O1956" t="str">
        <f>_xlfn.XLOOKUP(A1956,[1]!brca_metabric_clinical_data__2[Sample ID],[1]!brca_metabric_clinical_data__2[Tumor Stage])</f>
        <v>NA</v>
      </c>
    </row>
    <row r="1957" spans="1:15" x14ac:dyDescent="0.45">
      <c r="A1957" t="s">
        <v>1992</v>
      </c>
      <c r="B1957">
        <v>60.57</v>
      </c>
      <c r="C1957" t="s">
        <v>16</v>
      </c>
      <c r="D1957" t="s">
        <v>17</v>
      </c>
      <c r="E1957" t="s">
        <v>18</v>
      </c>
      <c r="F1957" t="s">
        <v>19</v>
      </c>
      <c r="G1957" t="s">
        <v>20</v>
      </c>
      <c r="H1957" t="s">
        <v>21</v>
      </c>
      <c r="I1957" t="s">
        <v>21</v>
      </c>
      <c r="J1957" t="s">
        <v>38</v>
      </c>
      <c r="K1957" t="s">
        <v>23</v>
      </c>
      <c r="L1957">
        <v>42.966666666666697</v>
      </c>
      <c r="M1957" t="s">
        <v>30</v>
      </c>
      <c r="N1957" t="str">
        <f>_xlfn.XLOOKUP(A1957,[1]!brca_metabric_clinical_data__2[Patient ID], [1]!brca_metabric_clinical_data__2[Tumor Size])</f>
        <v>35</v>
      </c>
      <c r="O1957" t="str">
        <f>_xlfn.XLOOKUP(A1957,[1]!brca_metabric_clinical_data__2[Sample ID],[1]!brca_metabric_clinical_data__2[Tumor Stage])</f>
        <v>NA</v>
      </c>
    </row>
    <row r="1958" spans="1:15" x14ac:dyDescent="0.45">
      <c r="A1958" t="s">
        <v>1993</v>
      </c>
      <c r="B1958">
        <v>59.82</v>
      </c>
      <c r="C1958" t="s">
        <v>16</v>
      </c>
      <c r="D1958" t="s">
        <v>17</v>
      </c>
      <c r="E1958" t="s">
        <v>18</v>
      </c>
      <c r="F1958" t="s">
        <v>19</v>
      </c>
      <c r="G1958" t="s">
        <v>20</v>
      </c>
      <c r="H1958" t="s">
        <v>21</v>
      </c>
      <c r="I1958" t="s">
        <v>21</v>
      </c>
      <c r="J1958" t="s">
        <v>29</v>
      </c>
      <c r="K1958">
        <v>9</v>
      </c>
      <c r="L1958">
        <v>68.1666666666667</v>
      </c>
      <c r="M1958" t="s">
        <v>30</v>
      </c>
      <c r="N1958" t="str">
        <f>_xlfn.XLOOKUP(A1958,[1]!brca_metabric_clinical_data__2[Patient ID], [1]!brca_metabric_clinical_data__2[Tumor Size])</f>
        <v>40</v>
      </c>
      <c r="O1958" t="str">
        <f>_xlfn.XLOOKUP(A1958,[1]!brca_metabric_clinical_data__2[Sample ID],[1]!brca_metabric_clinical_data__2[Tumor Stage])</f>
        <v>NA</v>
      </c>
    </row>
    <row r="1959" spans="1:15" x14ac:dyDescent="0.45">
      <c r="A1959" t="s">
        <v>1994</v>
      </c>
      <c r="B1959">
        <v>28.37</v>
      </c>
      <c r="C1959" t="s">
        <v>16</v>
      </c>
      <c r="D1959" t="s">
        <v>26</v>
      </c>
      <c r="E1959" t="s">
        <v>37</v>
      </c>
      <c r="F1959" t="s">
        <v>43</v>
      </c>
      <c r="G1959" t="s">
        <v>21</v>
      </c>
      <c r="H1959" t="s">
        <v>20</v>
      </c>
      <c r="I1959" t="s">
        <v>21</v>
      </c>
      <c r="J1959" t="s">
        <v>58</v>
      </c>
      <c r="K1959">
        <v>10</v>
      </c>
      <c r="L1959">
        <v>195.36666666666699</v>
      </c>
      <c r="M1959" t="s">
        <v>30</v>
      </c>
      <c r="N1959" t="str">
        <f>_xlfn.XLOOKUP(A1959,[1]!brca_metabric_clinical_data__2[Patient ID], [1]!brca_metabric_clinical_data__2[Tumor Size])</f>
        <v>20.5</v>
      </c>
      <c r="O1959" t="str">
        <f>_xlfn.XLOOKUP(A1959,[1]!brca_metabric_clinical_data__2[Sample ID],[1]!brca_metabric_clinical_data__2[Tumor Stage])</f>
        <v>NA</v>
      </c>
    </row>
    <row r="1960" spans="1:15" x14ac:dyDescent="0.45">
      <c r="A1960" t="s">
        <v>1995</v>
      </c>
      <c r="B1960">
        <v>34.64</v>
      </c>
      <c r="C1960" t="s">
        <v>16</v>
      </c>
      <c r="D1960" t="s">
        <v>26</v>
      </c>
      <c r="E1960" t="s">
        <v>18</v>
      </c>
      <c r="F1960" t="s">
        <v>35</v>
      </c>
      <c r="G1960" t="s">
        <v>20</v>
      </c>
      <c r="H1960" t="s">
        <v>21</v>
      </c>
      <c r="I1960" t="s">
        <v>21</v>
      </c>
      <c r="J1960" t="s">
        <v>27</v>
      </c>
      <c r="K1960">
        <v>8</v>
      </c>
      <c r="L1960">
        <v>227.46666666666701</v>
      </c>
      <c r="M1960" t="s">
        <v>24</v>
      </c>
      <c r="N1960" t="str">
        <f>_xlfn.XLOOKUP(A1960,[1]!brca_metabric_clinical_data__2[Patient ID], [1]!brca_metabric_clinical_data__2[Tumor Size])</f>
        <v>50</v>
      </c>
      <c r="O1960" t="str">
        <f>_xlfn.XLOOKUP(A1960,[1]!brca_metabric_clinical_data__2[Sample ID],[1]!brca_metabric_clinical_data__2[Tumor Stage])</f>
        <v>NA</v>
      </c>
    </row>
    <row r="1961" spans="1:15" x14ac:dyDescent="0.45">
      <c r="A1961" t="s">
        <v>1996</v>
      </c>
      <c r="B1961">
        <v>36.6</v>
      </c>
      <c r="C1961" t="s">
        <v>16</v>
      </c>
      <c r="D1961" t="s">
        <v>26</v>
      </c>
      <c r="E1961" t="s">
        <v>37</v>
      </c>
      <c r="F1961" t="s">
        <v>43</v>
      </c>
      <c r="G1961" t="s">
        <v>21</v>
      </c>
      <c r="H1961" t="s">
        <v>21</v>
      </c>
      <c r="I1961" t="s">
        <v>21</v>
      </c>
      <c r="J1961" t="s">
        <v>58</v>
      </c>
      <c r="K1961">
        <v>10</v>
      </c>
      <c r="L1961">
        <v>21.1666666666667</v>
      </c>
      <c r="M1961" t="s">
        <v>30</v>
      </c>
      <c r="N1961" t="str">
        <f>_xlfn.XLOOKUP(A1961,[1]!brca_metabric_clinical_data__2[Patient ID], [1]!brca_metabric_clinical_data__2[Tumor Size])</f>
        <v>25</v>
      </c>
      <c r="O1961" t="str">
        <f>_xlfn.XLOOKUP(A1961,[1]!brca_metabric_clinical_data__2[Sample ID],[1]!brca_metabric_clinical_data__2[Tumor Stage])</f>
        <v>NA</v>
      </c>
    </row>
    <row r="1962" spans="1:15" x14ac:dyDescent="0.45">
      <c r="A1962" t="s">
        <v>1997</v>
      </c>
      <c r="B1962">
        <v>50.84</v>
      </c>
      <c r="C1962" t="s">
        <v>16</v>
      </c>
      <c r="D1962" t="s">
        <v>17</v>
      </c>
      <c r="E1962" t="s">
        <v>37</v>
      </c>
      <c r="F1962" t="s">
        <v>19</v>
      </c>
      <c r="G1962" t="s">
        <v>21</v>
      </c>
      <c r="H1962" t="s">
        <v>20</v>
      </c>
      <c r="I1962" t="s">
        <v>20</v>
      </c>
      <c r="J1962" t="s">
        <v>58</v>
      </c>
      <c r="K1962">
        <v>10</v>
      </c>
      <c r="L1962">
        <v>175.166666666667</v>
      </c>
      <c r="M1962" t="s">
        <v>24</v>
      </c>
      <c r="N1962" t="str">
        <f>_xlfn.XLOOKUP(A1962,[1]!brca_metabric_clinical_data__2[Patient ID], [1]!brca_metabric_clinical_data__2[Tumor Size])</f>
        <v>16</v>
      </c>
      <c r="O1962" t="str">
        <f>_xlfn.XLOOKUP(A1962,[1]!brca_metabric_clinical_data__2[Sample ID],[1]!brca_metabric_clinical_data__2[Tumor Stage])</f>
        <v>NA</v>
      </c>
    </row>
    <row r="1963" spans="1:15" x14ac:dyDescent="0.45">
      <c r="A1963" t="s">
        <v>1998</v>
      </c>
      <c r="B1963">
        <v>47.47</v>
      </c>
      <c r="C1963" t="s">
        <v>16</v>
      </c>
      <c r="D1963" t="s">
        <v>26</v>
      </c>
      <c r="E1963" t="s">
        <v>37</v>
      </c>
      <c r="F1963" t="s">
        <v>43</v>
      </c>
      <c r="G1963" t="s">
        <v>21</v>
      </c>
      <c r="H1963" t="s">
        <v>20</v>
      </c>
      <c r="I1963" t="s">
        <v>21</v>
      </c>
      <c r="J1963" t="s">
        <v>45</v>
      </c>
      <c r="K1963">
        <v>5</v>
      </c>
      <c r="L1963">
        <v>208.2</v>
      </c>
      <c r="M1963" t="s">
        <v>24</v>
      </c>
      <c r="N1963" t="str">
        <f>_xlfn.XLOOKUP(A1963,[1]!brca_metabric_clinical_data__2[Patient ID], [1]!brca_metabric_clinical_data__2[Tumor Size])</f>
        <v>20</v>
      </c>
      <c r="O1963" t="str">
        <f>_xlfn.XLOOKUP(A1963,[1]!brca_metabric_clinical_data__2[Sample ID],[1]!brca_metabric_clinical_data__2[Tumor Stage])</f>
        <v>NA</v>
      </c>
    </row>
    <row r="1964" spans="1:15" x14ac:dyDescent="0.45">
      <c r="A1964" t="s">
        <v>1999</v>
      </c>
      <c r="B1964">
        <v>30.02</v>
      </c>
      <c r="C1964" t="s">
        <v>16</v>
      </c>
      <c r="D1964" t="s">
        <v>26</v>
      </c>
      <c r="E1964" t="s">
        <v>37</v>
      </c>
      <c r="F1964" t="s">
        <v>43</v>
      </c>
      <c r="G1964" t="s">
        <v>21</v>
      </c>
      <c r="H1964" t="s">
        <v>20</v>
      </c>
      <c r="I1964" t="s">
        <v>20</v>
      </c>
      <c r="J1964" t="s">
        <v>45</v>
      </c>
      <c r="K1964">
        <v>5</v>
      </c>
      <c r="L1964">
        <v>44.4</v>
      </c>
      <c r="M1964" t="s">
        <v>30</v>
      </c>
      <c r="N1964" t="str">
        <f>_xlfn.XLOOKUP(A1964,[1]!brca_metabric_clinical_data__2[Patient ID], [1]!brca_metabric_clinical_data__2[Tumor Size])</f>
        <v>20</v>
      </c>
      <c r="O1964" t="str">
        <f>_xlfn.XLOOKUP(A1964,[1]!brca_metabric_clinical_data__2[Sample ID],[1]!brca_metabric_clinical_data__2[Tumor Stage])</f>
        <v>NA</v>
      </c>
    </row>
    <row r="1965" spans="1:15" x14ac:dyDescent="0.45">
      <c r="A1965" t="s">
        <v>2000</v>
      </c>
      <c r="B1965">
        <v>61.27</v>
      </c>
      <c r="C1965" t="s">
        <v>16</v>
      </c>
      <c r="D1965" t="s">
        <v>17</v>
      </c>
      <c r="E1965" t="s">
        <v>18</v>
      </c>
      <c r="F1965" t="s">
        <v>19</v>
      </c>
      <c r="G1965" t="s">
        <v>20</v>
      </c>
      <c r="H1965" t="s">
        <v>21</v>
      </c>
      <c r="I1965" t="s">
        <v>21</v>
      </c>
      <c r="J1965" t="s">
        <v>27</v>
      </c>
      <c r="K1965">
        <v>8</v>
      </c>
      <c r="L1965">
        <v>185.333333333333</v>
      </c>
      <c r="M1965" t="s">
        <v>24</v>
      </c>
      <c r="N1965" t="str">
        <f>_xlfn.XLOOKUP(A1965,[1]!brca_metabric_clinical_data__2[Patient ID], [1]!brca_metabric_clinical_data__2[Tumor Size])</f>
        <v>20</v>
      </c>
      <c r="O1965" t="str">
        <f>_xlfn.XLOOKUP(A1965,[1]!brca_metabric_clinical_data__2[Sample ID],[1]!brca_metabric_clinical_data__2[Tumor Stage])</f>
        <v>NA</v>
      </c>
    </row>
    <row r="1966" spans="1:15" x14ac:dyDescent="0.45">
      <c r="A1966" t="s">
        <v>2001</v>
      </c>
      <c r="B1966">
        <v>56.78</v>
      </c>
      <c r="C1966" t="s">
        <v>16</v>
      </c>
      <c r="D1966" t="s">
        <v>17</v>
      </c>
      <c r="E1966" t="s">
        <v>18</v>
      </c>
      <c r="F1966" t="s">
        <v>19</v>
      </c>
      <c r="G1966" t="s">
        <v>20</v>
      </c>
      <c r="H1966" t="s">
        <v>21</v>
      </c>
      <c r="I1966" t="s">
        <v>20</v>
      </c>
      <c r="J1966" t="s">
        <v>27</v>
      </c>
      <c r="K1966">
        <v>8</v>
      </c>
      <c r="L1966">
        <v>187.03333333333299</v>
      </c>
      <c r="M1966" t="s">
        <v>24</v>
      </c>
      <c r="N1966" t="str">
        <f>_xlfn.XLOOKUP(A1966,[1]!brca_metabric_clinical_data__2[Patient ID], [1]!brca_metabric_clinical_data__2[Tumor Size])</f>
        <v>30</v>
      </c>
      <c r="O1966" t="str">
        <f>_xlfn.XLOOKUP(A1966,[1]!brca_metabric_clinical_data__2[Sample ID],[1]!brca_metabric_clinical_data__2[Tumor Stage])</f>
        <v>NA</v>
      </c>
    </row>
    <row r="1967" spans="1:15" x14ac:dyDescent="0.45">
      <c r="A1967" t="s">
        <v>2002</v>
      </c>
      <c r="B1967">
        <v>67.89</v>
      </c>
      <c r="C1967" t="s">
        <v>16</v>
      </c>
      <c r="D1967" t="s">
        <v>17</v>
      </c>
      <c r="E1967" t="s">
        <v>18</v>
      </c>
      <c r="F1967" t="s">
        <v>19</v>
      </c>
      <c r="G1967" t="s">
        <v>20</v>
      </c>
      <c r="H1967" t="s">
        <v>21</v>
      </c>
      <c r="I1967" t="s">
        <v>20</v>
      </c>
      <c r="J1967" t="s">
        <v>27</v>
      </c>
      <c r="K1967">
        <v>3</v>
      </c>
      <c r="L1967">
        <v>241.3</v>
      </c>
      <c r="M1967" t="s">
        <v>30</v>
      </c>
      <c r="N1967" t="str">
        <f>_xlfn.XLOOKUP(A1967,[1]!brca_metabric_clinical_data__2[Patient ID], [1]!brca_metabric_clinical_data__2[Tumor Size])</f>
        <v>15</v>
      </c>
      <c r="O1967" t="str">
        <f>_xlfn.XLOOKUP(A1967,[1]!brca_metabric_clinical_data__2[Sample ID],[1]!brca_metabric_clinical_data__2[Tumor Stage])</f>
        <v>NA</v>
      </c>
    </row>
    <row r="1968" spans="1:15" x14ac:dyDescent="0.45">
      <c r="A1968" t="s">
        <v>2003</v>
      </c>
      <c r="B1968">
        <v>86.14</v>
      </c>
      <c r="C1968" t="s">
        <v>16</v>
      </c>
      <c r="D1968" t="s">
        <v>17</v>
      </c>
      <c r="E1968" t="s">
        <v>18</v>
      </c>
      <c r="F1968" t="s">
        <v>43</v>
      </c>
      <c r="G1968" t="s">
        <v>20</v>
      </c>
      <c r="H1968" t="s">
        <v>21</v>
      </c>
      <c r="I1968" t="s">
        <v>20</v>
      </c>
      <c r="J1968" t="s">
        <v>45</v>
      </c>
      <c r="K1968">
        <v>9</v>
      </c>
      <c r="L1968">
        <v>21.3</v>
      </c>
      <c r="M1968" t="s">
        <v>30</v>
      </c>
      <c r="N1968" t="str">
        <f>_xlfn.XLOOKUP(A1968,[1]!brca_metabric_clinical_data__2[Patient ID], [1]!brca_metabric_clinical_data__2[Tumor Size])</f>
        <v>50</v>
      </c>
      <c r="O1968" t="str">
        <f>_xlfn.XLOOKUP(A1968,[1]!brca_metabric_clinical_data__2[Sample ID],[1]!brca_metabric_clinical_data__2[Tumor Stage])</f>
        <v>NA</v>
      </c>
    </row>
    <row r="1969" spans="1:15" x14ac:dyDescent="0.45">
      <c r="A1969" t="s">
        <v>2004</v>
      </c>
      <c r="B1969">
        <v>63.5</v>
      </c>
      <c r="C1969" t="s">
        <v>16</v>
      </c>
      <c r="D1969" t="s">
        <v>17</v>
      </c>
      <c r="E1969" t="s">
        <v>18</v>
      </c>
      <c r="F1969" t="s">
        <v>19</v>
      </c>
      <c r="G1969" t="s">
        <v>20</v>
      </c>
      <c r="H1969" t="s">
        <v>21</v>
      </c>
      <c r="I1969" t="s">
        <v>20</v>
      </c>
      <c r="J1969" t="s">
        <v>27</v>
      </c>
      <c r="K1969">
        <v>7</v>
      </c>
      <c r="L1969">
        <v>195.53333333333299</v>
      </c>
      <c r="M1969" t="s">
        <v>24</v>
      </c>
      <c r="N1969" t="str">
        <f>_xlfn.XLOOKUP(A1969,[1]!brca_metabric_clinical_data__2[Patient ID], [1]!brca_metabric_clinical_data__2[Tumor Size])</f>
        <v>40</v>
      </c>
      <c r="O1969" t="str">
        <f>_xlfn.XLOOKUP(A1969,[1]!brca_metabric_clinical_data__2[Sample ID],[1]!brca_metabric_clinical_data__2[Tumor Stage])</f>
        <v>NA</v>
      </c>
    </row>
    <row r="1970" spans="1:15" x14ac:dyDescent="0.45">
      <c r="A1970" t="s">
        <v>2005</v>
      </c>
      <c r="B1970">
        <v>51.22</v>
      </c>
      <c r="C1970" t="s">
        <v>16</v>
      </c>
      <c r="D1970" t="s">
        <v>17</v>
      </c>
      <c r="E1970" t="s">
        <v>18</v>
      </c>
      <c r="F1970" t="s">
        <v>43</v>
      </c>
      <c r="G1970" t="s">
        <v>21</v>
      </c>
      <c r="H1970" t="s">
        <v>21</v>
      </c>
      <c r="I1970" t="s">
        <v>21</v>
      </c>
      <c r="J1970" t="s">
        <v>45</v>
      </c>
      <c r="K1970">
        <v>5</v>
      </c>
      <c r="L1970">
        <v>49.533333333333303</v>
      </c>
      <c r="M1970" t="s">
        <v>30</v>
      </c>
      <c r="N1970" t="str">
        <f>_xlfn.XLOOKUP(A1970,[1]!brca_metabric_clinical_data__2[Patient ID], [1]!brca_metabric_clinical_data__2[Tumor Size])</f>
        <v>16</v>
      </c>
      <c r="O1970" t="str">
        <f>_xlfn.XLOOKUP(A1970,[1]!brca_metabric_clinical_data__2[Sample ID],[1]!brca_metabric_clinical_data__2[Tumor Stage])</f>
        <v>NA</v>
      </c>
    </row>
    <row r="1971" spans="1:15" x14ac:dyDescent="0.45">
      <c r="A1971" t="s">
        <v>2006</v>
      </c>
      <c r="B1971">
        <v>54.42</v>
      </c>
      <c r="C1971" t="s">
        <v>16</v>
      </c>
      <c r="D1971" t="s">
        <v>17</v>
      </c>
      <c r="E1971" t="s">
        <v>18</v>
      </c>
      <c r="F1971" t="s">
        <v>35</v>
      </c>
      <c r="G1971" t="s">
        <v>21</v>
      </c>
      <c r="H1971" t="s">
        <v>21</v>
      </c>
      <c r="I1971" t="s">
        <v>21</v>
      </c>
      <c r="J1971" t="s">
        <v>29</v>
      </c>
      <c r="K1971">
        <v>6</v>
      </c>
      <c r="L1971">
        <v>28.866666666666699</v>
      </c>
      <c r="M1971" t="s">
        <v>30</v>
      </c>
      <c r="N1971" t="str">
        <f>_xlfn.XLOOKUP(A1971,[1]!brca_metabric_clinical_data__2[Patient ID], [1]!brca_metabric_clinical_data__2[Tumor Size])</f>
        <v>30</v>
      </c>
      <c r="O1971" t="str">
        <f>_xlfn.XLOOKUP(A1971,[1]!brca_metabric_clinical_data__2[Sample ID],[1]!brca_metabric_clinical_data__2[Tumor Stage])</f>
        <v>NA</v>
      </c>
    </row>
    <row r="1972" spans="1:15" x14ac:dyDescent="0.45">
      <c r="A1972" t="s">
        <v>2007</v>
      </c>
      <c r="B1972">
        <v>61.23</v>
      </c>
      <c r="C1972" t="s">
        <v>16</v>
      </c>
      <c r="D1972" t="s">
        <v>17</v>
      </c>
      <c r="E1972" t="s">
        <v>18</v>
      </c>
      <c r="F1972" t="s">
        <v>19</v>
      </c>
      <c r="G1972" t="s">
        <v>20</v>
      </c>
      <c r="H1972" t="s">
        <v>21</v>
      </c>
      <c r="I1972" t="s">
        <v>20</v>
      </c>
      <c r="J1972" t="s">
        <v>27</v>
      </c>
      <c r="K1972">
        <v>6</v>
      </c>
      <c r="L1972">
        <v>203</v>
      </c>
      <c r="M1972" t="s">
        <v>30</v>
      </c>
      <c r="N1972" t="str">
        <f>_xlfn.XLOOKUP(A1972,[1]!brca_metabric_clinical_data__2[Patient ID], [1]!brca_metabric_clinical_data__2[Tumor Size])</f>
        <v>15</v>
      </c>
      <c r="O1972" t="str">
        <f>_xlfn.XLOOKUP(A1972,[1]!brca_metabric_clinical_data__2[Sample ID],[1]!brca_metabric_clinical_data__2[Tumor Stage])</f>
        <v>NA</v>
      </c>
    </row>
    <row r="1973" spans="1:15" x14ac:dyDescent="0.45">
      <c r="A1973" t="s">
        <v>2008</v>
      </c>
      <c r="B1973">
        <v>53.14</v>
      </c>
      <c r="C1973" t="s">
        <v>16</v>
      </c>
      <c r="D1973" t="s">
        <v>17</v>
      </c>
      <c r="E1973" t="s">
        <v>18</v>
      </c>
      <c r="F1973" t="s">
        <v>43</v>
      </c>
      <c r="G1973" t="s">
        <v>20</v>
      </c>
      <c r="H1973" t="s">
        <v>21</v>
      </c>
      <c r="I1973" t="s">
        <v>21</v>
      </c>
      <c r="J1973" t="s">
        <v>22</v>
      </c>
      <c r="K1973">
        <v>6</v>
      </c>
      <c r="L1973">
        <v>109</v>
      </c>
      <c r="M1973" t="s">
        <v>30</v>
      </c>
      <c r="N1973" t="str">
        <f>_xlfn.XLOOKUP(A1973,[1]!brca_metabric_clinical_data__2[Patient ID], [1]!brca_metabric_clinical_data__2[Tumor Size])</f>
        <v>20</v>
      </c>
      <c r="O1973" t="str">
        <f>_xlfn.XLOOKUP(A1973,[1]!brca_metabric_clinical_data__2[Sample ID],[1]!brca_metabric_clinical_data__2[Tumor Stage])</f>
        <v>NA</v>
      </c>
    </row>
    <row r="1974" spans="1:15" x14ac:dyDescent="0.45">
      <c r="A1974" t="s">
        <v>2009</v>
      </c>
      <c r="B1974">
        <v>66.48</v>
      </c>
      <c r="C1974" t="s">
        <v>16</v>
      </c>
      <c r="D1974" t="s">
        <v>17</v>
      </c>
      <c r="E1974" t="s">
        <v>18</v>
      </c>
      <c r="F1974" t="s">
        <v>19</v>
      </c>
      <c r="G1974" t="s">
        <v>20</v>
      </c>
      <c r="H1974" t="s">
        <v>21</v>
      </c>
      <c r="I1974" t="s">
        <v>20</v>
      </c>
      <c r="J1974" t="s">
        <v>29</v>
      </c>
      <c r="K1974">
        <v>3</v>
      </c>
      <c r="L1974">
        <v>158.63333333333301</v>
      </c>
      <c r="M1974" t="s">
        <v>30</v>
      </c>
      <c r="N1974" t="str">
        <f>_xlfn.XLOOKUP(A1974,[1]!brca_metabric_clinical_data__2[Patient ID], [1]!brca_metabric_clinical_data__2[Tumor Size])</f>
        <v>25</v>
      </c>
      <c r="O1974" t="str">
        <f>_xlfn.XLOOKUP(A1974,[1]!brca_metabric_clinical_data__2[Sample ID],[1]!brca_metabric_clinical_data__2[Tumor Stage])</f>
        <v>NA</v>
      </c>
    </row>
    <row r="1975" spans="1:15" x14ac:dyDescent="0.45">
      <c r="A1975" t="s">
        <v>2010</v>
      </c>
      <c r="B1975">
        <v>63.09</v>
      </c>
      <c r="C1975" t="s">
        <v>16</v>
      </c>
      <c r="D1975" t="s">
        <v>17</v>
      </c>
      <c r="E1975" t="s">
        <v>18</v>
      </c>
      <c r="F1975" t="s">
        <v>43</v>
      </c>
      <c r="G1975" t="s">
        <v>20</v>
      </c>
      <c r="H1975" t="s">
        <v>21</v>
      </c>
      <c r="I1975" t="s">
        <v>20</v>
      </c>
      <c r="J1975" t="s">
        <v>29</v>
      </c>
      <c r="K1975">
        <v>5</v>
      </c>
      <c r="L1975">
        <v>96.966666666666697</v>
      </c>
      <c r="M1975" t="s">
        <v>30</v>
      </c>
      <c r="N1975" t="str">
        <f>_xlfn.XLOOKUP(A1975,[1]!brca_metabric_clinical_data__2[Patient ID], [1]!brca_metabric_clinical_data__2[Tumor Size])</f>
        <v>30</v>
      </c>
      <c r="O1975" t="str">
        <f>_xlfn.XLOOKUP(A1975,[1]!brca_metabric_clinical_data__2[Sample ID],[1]!brca_metabric_clinical_data__2[Tumor Stage])</f>
        <v>NA</v>
      </c>
    </row>
    <row r="1976" spans="1:15" x14ac:dyDescent="0.45">
      <c r="A1976" t="s">
        <v>2011</v>
      </c>
      <c r="B1976">
        <v>55.7</v>
      </c>
      <c r="C1976" t="s">
        <v>16</v>
      </c>
      <c r="D1976" t="s">
        <v>17</v>
      </c>
      <c r="E1976" t="s">
        <v>18</v>
      </c>
      <c r="F1976" t="s">
        <v>19</v>
      </c>
      <c r="G1976" t="s">
        <v>20</v>
      </c>
      <c r="H1976" t="s">
        <v>21</v>
      </c>
      <c r="I1976" t="s">
        <v>21</v>
      </c>
      <c r="J1976" t="s">
        <v>29</v>
      </c>
      <c r="K1976">
        <v>8</v>
      </c>
      <c r="L1976">
        <v>27.066666666666698</v>
      </c>
      <c r="M1976" t="s">
        <v>30</v>
      </c>
      <c r="N1976" t="str">
        <f>_xlfn.XLOOKUP(A1976,[1]!brca_metabric_clinical_data__2[Patient ID], [1]!brca_metabric_clinical_data__2[Tumor Size])</f>
        <v>30</v>
      </c>
      <c r="O1976" t="str">
        <f>_xlfn.XLOOKUP(A1976,[1]!brca_metabric_clinical_data__2[Sample ID],[1]!brca_metabric_clinical_data__2[Tumor Stage])</f>
        <v>NA</v>
      </c>
    </row>
    <row r="1977" spans="1:15" x14ac:dyDescent="0.45">
      <c r="A1977" t="s">
        <v>2012</v>
      </c>
      <c r="B1977">
        <v>51.87</v>
      </c>
      <c r="C1977" t="s">
        <v>16</v>
      </c>
      <c r="D1977" t="s">
        <v>17</v>
      </c>
      <c r="E1977" t="s">
        <v>18</v>
      </c>
      <c r="F1977" t="s">
        <v>43</v>
      </c>
      <c r="G1977" t="s">
        <v>20</v>
      </c>
      <c r="H1977" t="s">
        <v>21</v>
      </c>
      <c r="I1977" t="s">
        <v>20</v>
      </c>
      <c r="J1977" t="s">
        <v>38</v>
      </c>
      <c r="K1977" t="s">
        <v>23</v>
      </c>
      <c r="L1977">
        <v>126.666666666667</v>
      </c>
      <c r="M1977" t="s">
        <v>30</v>
      </c>
      <c r="N1977" t="str">
        <f>_xlfn.XLOOKUP(A1977,[1]!brca_metabric_clinical_data__2[Patient ID], [1]!brca_metabric_clinical_data__2[Tumor Size])</f>
        <v>65</v>
      </c>
      <c r="O1977" t="str">
        <f>_xlfn.XLOOKUP(A1977,[1]!brca_metabric_clinical_data__2[Sample ID],[1]!brca_metabric_clinical_data__2[Tumor Stage])</f>
        <v>NA</v>
      </c>
    </row>
    <row r="1978" spans="1:15" x14ac:dyDescent="0.45">
      <c r="A1978" t="s">
        <v>2013</v>
      </c>
      <c r="B1978">
        <v>53.87</v>
      </c>
      <c r="C1978" t="s">
        <v>16</v>
      </c>
      <c r="D1978" t="s">
        <v>17</v>
      </c>
      <c r="E1978" t="s">
        <v>18</v>
      </c>
      <c r="F1978" t="s">
        <v>43</v>
      </c>
      <c r="G1978" t="s">
        <v>20</v>
      </c>
      <c r="H1978" t="s">
        <v>21</v>
      </c>
      <c r="I1978" t="s">
        <v>20</v>
      </c>
      <c r="J1978" t="s">
        <v>22</v>
      </c>
      <c r="K1978">
        <v>1</v>
      </c>
      <c r="L1978">
        <v>6.8333333333333304</v>
      </c>
      <c r="M1978" t="s">
        <v>30</v>
      </c>
      <c r="N1978" t="str">
        <f>_xlfn.XLOOKUP(A1978,[1]!brca_metabric_clinical_data__2[Patient ID], [1]!brca_metabric_clinical_data__2[Tumor Size])</f>
        <v>50</v>
      </c>
      <c r="O1978" t="str">
        <f>_xlfn.XLOOKUP(A1978,[1]!brca_metabric_clinical_data__2[Sample ID],[1]!brca_metabric_clinical_data__2[Tumor Stage])</f>
        <v>NA</v>
      </c>
    </row>
    <row r="1979" spans="1:15" x14ac:dyDescent="0.45">
      <c r="A1979" t="s">
        <v>2014</v>
      </c>
      <c r="B1979">
        <v>52.9</v>
      </c>
      <c r="C1979" t="s">
        <v>16</v>
      </c>
      <c r="D1979" t="s">
        <v>17</v>
      </c>
      <c r="E1979" t="s">
        <v>18</v>
      </c>
      <c r="F1979" t="s">
        <v>43</v>
      </c>
      <c r="G1979" t="s">
        <v>20</v>
      </c>
      <c r="H1979" t="s">
        <v>21</v>
      </c>
      <c r="I1979" t="s">
        <v>21</v>
      </c>
      <c r="J1979" t="s">
        <v>29</v>
      </c>
      <c r="K1979">
        <v>6</v>
      </c>
      <c r="L1979">
        <v>78.466666666666697</v>
      </c>
      <c r="M1979" t="s">
        <v>30</v>
      </c>
      <c r="N1979" t="str">
        <f>_xlfn.XLOOKUP(A1979,[1]!brca_metabric_clinical_data__2[Patient ID], [1]!brca_metabric_clinical_data__2[Tumor Size])</f>
        <v>15</v>
      </c>
      <c r="O1979" t="str">
        <f>_xlfn.XLOOKUP(A1979,[1]!brca_metabric_clinical_data__2[Sample ID],[1]!brca_metabric_clinical_data__2[Tumor Stage])</f>
        <v>NA</v>
      </c>
    </row>
    <row r="1980" spans="1:15" x14ac:dyDescent="0.45">
      <c r="A1980" t="s">
        <v>2015</v>
      </c>
      <c r="B1980">
        <v>56.9</v>
      </c>
      <c r="C1980" t="s">
        <v>16</v>
      </c>
      <c r="D1980" t="s">
        <v>17</v>
      </c>
      <c r="E1980" t="s">
        <v>18</v>
      </c>
      <c r="F1980" t="s">
        <v>19</v>
      </c>
      <c r="G1980" t="s">
        <v>20</v>
      </c>
      <c r="H1980" t="s">
        <v>21</v>
      </c>
      <c r="I1980" t="s">
        <v>20</v>
      </c>
      <c r="J1980" t="s">
        <v>27</v>
      </c>
      <c r="K1980">
        <v>3</v>
      </c>
      <c r="L1980">
        <v>199.23333333333301</v>
      </c>
      <c r="M1980" t="s">
        <v>24</v>
      </c>
      <c r="N1980" t="str">
        <f>_xlfn.XLOOKUP(A1980,[1]!brca_metabric_clinical_data__2[Patient ID], [1]!brca_metabric_clinical_data__2[Tumor Size])</f>
        <v>45</v>
      </c>
      <c r="O1980" t="str">
        <f>_xlfn.XLOOKUP(A1980,[1]!brca_metabric_clinical_data__2[Sample ID],[1]!brca_metabric_clinical_data__2[Tumor Stage])</f>
        <v>NA</v>
      </c>
    </row>
    <row r="1981" spans="1:15" x14ac:dyDescent="0.45">
      <c r="A1981" t="s">
        <v>2016</v>
      </c>
      <c r="B1981">
        <v>59.2</v>
      </c>
      <c r="C1981" t="s">
        <v>16</v>
      </c>
      <c r="D1981" t="s">
        <v>17</v>
      </c>
      <c r="E1981" t="s">
        <v>18</v>
      </c>
      <c r="F1981" t="s">
        <v>43</v>
      </c>
      <c r="G1981" t="s">
        <v>20</v>
      </c>
      <c r="H1981" t="s">
        <v>21</v>
      </c>
      <c r="I1981" t="s">
        <v>20</v>
      </c>
      <c r="J1981" t="s">
        <v>29</v>
      </c>
      <c r="K1981">
        <v>1</v>
      </c>
      <c r="L1981">
        <v>82.733333333333306</v>
      </c>
      <c r="M1981" t="s">
        <v>30</v>
      </c>
      <c r="N1981" t="str">
        <f>_xlfn.XLOOKUP(A1981,[1]!brca_metabric_clinical_data__2[Patient ID], [1]!brca_metabric_clinical_data__2[Tumor Size])</f>
        <v>15</v>
      </c>
      <c r="O1981" t="str">
        <f>_xlfn.XLOOKUP(A1981,[1]!brca_metabric_clinical_data__2[Sample ID],[1]!brca_metabric_clinical_data__2[Tumor Stage])</f>
        <v>NA</v>
      </c>
    </row>
    <row r="1982" spans="1:15" x14ac:dyDescent="0.45">
      <c r="A1982" t="s">
        <v>2017</v>
      </c>
      <c r="B1982">
        <v>43.1</v>
      </c>
      <c r="C1982" t="s">
        <v>16</v>
      </c>
      <c r="D1982" t="s">
        <v>26</v>
      </c>
      <c r="E1982" t="s">
        <v>18</v>
      </c>
      <c r="F1982" t="s">
        <v>19</v>
      </c>
      <c r="G1982" t="s">
        <v>20</v>
      </c>
      <c r="H1982" t="s">
        <v>21</v>
      </c>
      <c r="I1982" t="s">
        <v>21</v>
      </c>
      <c r="J1982" t="s">
        <v>27</v>
      </c>
      <c r="K1982">
        <v>3</v>
      </c>
      <c r="L1982">
        <v>196.86666666666699</v>
      </c>
      <c r="M1982" t="s">
        <v>24</v>
      </c>
      <c r="N1982" t="str">
        <f>_xlfn.XLOOKUP(A1982,[1]!brca_metabric_clinical_data__2[Patient ID], [1]!brca_metabric_clinical_data__2[Tumor Size])</f>
        <v>25</v>
      </c>
      <c r="O1982" t="str">
        <f>_xlfn.XLOOKUP(A1982,[1]!brca_metabric_clinical_data__2[Sample ID],[1]!brca_metabric_clinical_data__2[Tumor Stage])</f>
        <v>NA</v>
      </c>
    </row>
    <row r="1983" spans="1:15" x14ac:dyDescent="0.45">
      <c r="A1983" t="s">
        <v>2018</v>
      </c>
      <c r="B1983">
        <v>42.88</v>
      </c>
      <c r="C1983" t="s">
        <v>16</v>
      </c>
      <c r="D1983" t="s">
        <v>26</v>
      </c>
      <c r="E1983" t="s">
        <v>18</v>
      </c>
      <c r="F1983" t="s">
        <v>43</v>
      </c>
      <c r="G1983" t="s">
        <v>20</v>
      </c>
      <c r="H1983" t="s">
        <v>20</v>
      </c>
      <c r="I1983" t="s">
        <v>21</v>
      </c>
      <c r="J1983" t="s">
        <v>29</v>
      </c>
      <c r="K1983">
        <v>5</v>
      </c>
      <c r="L1983">
        <v>44.733333333333299</v>
      </c>
      <c r="M1983" t="s">
        <v>30</v>
      </c>
      <c r="N1983" t="str">
        <f>_xlfn.XLOOKUP(A1983,[1]!brca_metabric_clinical_data__2[Patient ID], [1]!brca_metabric_clinical_data__2[Tumor Size])</f>
        <v>20</v>
      </c>
      <c r="O1983" t="str">
        <f>_xlfn.XLOOKUP(A1983,[1]!brca_metabric_clinical_data__2[Sample ID],[1]!brca_metabric_clinical_data__2[Tumor Stage])</f>
        <v>NA</v>
      </c>
    </row>
    <row r="1984" spans="1:15" x14ac:dyDescent="0.45">
      <c r="A1984" t="s">
        <v>2019</v>
      </c>
      <c r="B1984">
        <v>62.9</v>
      </c>
      <c r="C1984" t="s">
        <v>16</v>
      </c>
      <c r="D1984" t="s">
        <v>17</v>
      </c>
      <c r="E1984" t="s">
        <v>18</v>
      </c>
      <c r="F1984" t="s">
        <v>19</v>
      </c>
      <c r="G1984" t="s">
        <v>20</v>
      </c>
      <c r="H1984" t="s">
        <v>21</v>
      </c>
      <c r="I1984" t="s">
        <v>21</v>
      </c>
      <c r="J1984" t="s">
        <v>29</v>
      </c>
      <c r="K1984">
        <v>1</v>
      </c>
      <c r="L1984">
        <v>175.96666666666701</v>
      </c>
      <c r="M1984" t="s">
        <v>30</v>
      </c>
      <c r="N1984" t="str">
        <f>_xlfn.XLOOKUP(A1984,[1]!brca_metabric_clinical_data__2[Patient ID], [1]!brca_metabric_clinical_data__2[Tumor Size])</f>
        <v>25</v>
      </c>
      <c r="O1984" t="str">
        <f>_xlfn.XLOOKUP(A1984,[1]!brca_metabric_clinical_data__2[Sample ID],[1]!brca_metabric_clinical_data__2[Tumor Stage])</f>
        <v>NA</v>
      </c>
    </row>
    <row r="1985" spans="1:15" x14ac:dyDescent="0.45">
      <c r="A1985" t="s">
        <v>2020</v>
      </c>
      <c r="B1985">
        <v>61.16</v>
      </c>
      <c r="C1985" t="s">
        <v>16</v>
      </c>
      <c r="D1985" t="s">
        <v>17</v>
      </c>
      <c r="E1985" t="s">
        <v>18</v>
      </c>
      <c r="F1985" t="s">
        <v>19</v>
      </c>
      <c r="G1985" t="s">
        <v>20</v>
      </c>
      <c r="H1985" t="s">
        <v>21</v>
      </c>
      <c r="I1985" t="s">
        <v>20</v>
      </c>
      <c r="J1985" t="s">
        <v>29</v>
      </c>
      <c r="K1985">
        <v>1</v>
      </c>
      <c r="L1985">
        <v>86.233333333333306</v>
      </c>
      <c r="M1985" t="s">
        <v>30</v>
      </c>
      <c r="N1985" t="str">
        <f>_xlfn.XLOOKUP(A1985,[1]!brca_metabric_clinical_data__2[Patient ID], [1]!brca_metabric_clinical_data__2[Tumor Size])</f>
        <v>25</v>
      </c>
      <c r="O1985" t="str">
        <f>_xlfn.XLOOKUP(A1985,[1]!brca_metabric_clinical_data__2[Sample ID],[1]!brca_metabric_clinical_data__2[Tumor Stage])</f>
        <v>NA</v>
      </c>
    </row>
    <row r="1986" spans="1:15" x14ac:dyDescent="0.45">
      <c r="A1986" t="s">
        <v>2021</v>
      </c>
      <c r="B1986">
        <v>60.02</v>
      </c>
      <c r="C1986" t="s">
        <v>16</v>
      </c>
      <c r="D1986" t="s">
        <v>17</v>
      </c>
      <c r="E1986" t="s">
        <v>18</v>
      </c>
      <c r="F1986" t="s">
        <v>19</v>
      </c>
      <c r="G1986" t="s">
        <v>20</v>
      </c>
      <c r="H1986" t="s">
        <v>21</v>
      </c>
      <c r="I1986" t="s">
        <v>21</v>
      </c>
      <c r="J1986" t="s">
        <v>29</v>
      </c>
      <c r="K1986">
        <v>10</v>
      </c>
      <c r="L1986">
        <v>201.9</v>
      </c>
      <c r="M1986" t="s">
        <v>30</v>
      </c>
      <c r="N1986" t="str">
        <f>_xlfn.XLOOKUP(A1986,[1]!brca_metabric_clinical_data__2[Patient ID], [1]!brca_metabric_clinical_data__2[Tumor Size])</f>
        <v>20</v>
      </c>
      <c r="O1986" t="str">
        <f>_xlfn.XLOOKUP(A1986,[1]!brca_metabric_clinical_data__2[Sample ID],[1]!brca_metabric_clinical_data__2[Tumor Stage])</f>
        <v>NA</v>
      </c>
    </row>
    <row r="1987" spans="1:15" x14ac:dyDescent="0.45">
      <c r="A1987" t="s">
        <v>2022</v>
      </c>
      <c r="B1987">
        <v>55.64</v>
      </c>
      <c r="C1987" t="s">
        <v>16</v>
      </c>
      <c r="E1987" t="s">
        <v>18</v>
      </c>
      <c r="N1987" t="str">
        <f>_xlfn.XLOOKUP(A1987,[1]!brca_metabric_clinical_data__2[Patient ID], [1]!brca_metabric_clinical_data__2[Tumor Size])</f>
        <v>13</v>
      </c>
      <c r="O1987" t="str">
        <f>_xlfn.XLOOKUP(A1987,[1]!brca_metabric_clinical_data__2[Sample ID],[1]!brca_metabric_clinical_data__2[Tumor Stage])</f>
        <v>NA</v>
      </c>
    </row>
    <row r="1988" spans="1:15" x14ac:dyDescent="0.45">
      <c r="A1988" t="s">
        <v>2023</v>
      </c>
      <c r="B1988">
        <v>48</v>
      </c>
      <c r="C1988" t="s">
        <v>16</v>
      </c>
      <c r="N1988" t="str">
        <f>_xlfn.XLOOKUP(A1988,[1]!brca_metabric_clinical_data__2[Patient ID], [1]!brca_metabric_clinical_data__2[Tumor Size])</f>
        <v>31</v>
      </c>
      <c r="O1988" t="str">
        <f>_xlfn.XLOOKUP(A1988,[1]!brca_metabric_clinical_data__2[Sample ID],[1]!brca_metabric_clinical_data__2[Tumor Stage])</f>
        <v>2</v>
      </c>
    </row>
    <row r="1989" spans="1:15" x14ac:dyDescent="0.45">
      <c r="A1989" t="s">
        <v>2024</v>
      </c>
      <c r="B1989">
        <v>82</v>
      </c>
      <c r="C1989" t="s">
        <v>16</v>
      </c>
      <c r="N1989" t="str">
        <f>_xlfn.XLOOKUP(A1989,[1]!brca_metabric_clinical_data__2[Patient ID], [1]!brca_metabric_clinical_data__2[Tumor Size])</f>
        <v>24</v>
      </c>
      <c r="O1989" t="str">
        <f>_xlfn.XLOOKUP(A1989,[1]!brca_metabric_clinical_data__2[Sample ID],[1]!brca_metabric_clinical_data__2[Tumor Stage])</f>
        <v>2</v>
      </c>
    </row>
    <row r="1990" spans="1:15" x14ac:dyDescent="0.45">
      <c r="A1990" t="s">
        <v>2025</v>
      </c>
      <c r="B1990">
        <v>61</v>
      </c>
      <c r="C1990" t="s">
        <v>16</v>
      </c>
      <c r="N1990" t="str">
        <f>_xlfn.XLOOKUP(A1990,[1]!brca_metabric_clinical_data__2[Patient ID], [1]!brca_metabric_clinical_data__2[Tumor Size])</f>
        <v>49</v>
      </c>
      <c r="O1990" t="str">
        <f>_xlfn.XLOOKUP(A1990,[1]!brca_metabric_clinical_data__2[Sample ID],[1]!brca_metabric_clinical_data__2[Tumor Stage])</f>
        <v>2</v>
      </c>
    </row>
    <row r="1991" spans="1:15" x14ac:dyDescent="0.45">
      <c r="A1991" t="s">
        <v>2026</v>
      </c>
      <c r="B1991">
        <v>60</v>
      </c>
      <c r="C1991" t="s">
        <v>16</v>
      </c>
      <c r="N1991" t="str">
        <f>_xlfn.XLOOKUP(A1991,[1]!brca_metabric_clinical_data__2[Patient ID], [1]!brca_metabric_clinical_data__2[Tumor Size])</f>
        <v>19</v>
      </c>
      <c r="O1991" t="str">
        <f>_xlfn.XLOOKUP(A1991,[1]!brca_metabric_clinical_data__2[Sample ID],[1]!brca_metabric_clinical_data__2[Tumor Stage])</f>
        <v>1</v>
      </c>
    </row>
    <row r="1992" spans="1:15" x14ac:dyDescent="0.45">
      <c r="A1992" t="s">
        <v>2027</v>
      </c>
      <c r="B1992">
        <v>58</v>
      </c>
      <c r="C1992" t="s">
        <v>16</v>
      </c>
      <c r="N1992" t="str">
        <f>_xlfn.XLOOKUP(A1992,[1]!brca_metabric_clinical_data__2[Patient ID], [1]!brca_metabric_clinical_data__2[Tumor Size])</f>
        <v>20</v>
      </c>
      <c r="O1992" t="str">
        <f>_xlfn.XLOOKUP(A1992,[1]!brca_metabric_clinical_data__2[Sample ID],[1]!brca_metabric_clinical_data__2[Tumor Stage])</f>
        <v>2</v>
      </c>
    </row>
    <row r="1993" spans="1:15" x14ac:dyDescent="0.45">
      <c r="A1993" t="s">
        <v>2028</v>
      </c>
      <c r="B1993">
        <v>64</v>
      </c>
      <c r="C1993" t="s">
        <v>16</v>
      </c>
      <c r="E1993" t="s">
        <v>37</v>
      </c>
      <c r="N1993" t="str">
        <f>_xlfn.XLOOKUP(A1993,[1]!brca_metabric_clinical_data__2[Patient ID], [1]!brca_metabric_clinical_data__2[Tumor Size])</f>
        <v>15</v>
      </c>
      <c r="O1993" t="str">
        <f>_xlfn.XLOOKUP(A1993,[1]!brca_metabric_clinical_data__2[Sample ID],[1]!brca_metabric_clinical_data__2[Tumor Stage])</f>
        <v>1</v>
      </c>
    </row>
    <row r="1994" spans="1:15" x14ac:dyDescent="0.45">
      <c r="A1994" t="s">
        <v>2029</v>
      </c>
      <c r="B1994">
        <v>63</v>
      </c>
      <c r="C1994" t="s">
        <v>16</v>
      </c>
      <c r="N1994" t="str">
        <f>_xlfn.XLOOKUP(A1994,[1]!brca_metabric_clinical_data__2[Patient ID], [1]!brca_metabric_clinical_data__2[Tumor Size])</f>
        <v>18</v>
      </c>
      <c r="O1994" t="str">
        <f>_xlfn.XLOOKUP(A1994,[1]!brca_metabric_clinical_data__2[Sample ID],[1]!brca_metabric_clinical_data__2[Tumor Stage])</f>
        <v>1</v>
      </c>
    </row>
    <row r="1995" spans="1:15" x14ac:dyDescent="0.45">
      <c r="A1995" t="s">
        <v>2030</v>
      </c>
      <c r="B1995">
        <v>57</v>
      </c>
      <c r="C1995" t="s">
        <v>16</v>
      </c>
      <c r="N1995" t="str">
        <f>_xlfn.XLOOKUP(A1995,[1]!brca_metabric_clinical_data__2[Patient ID], [1]!brca_metabric_clinical_data__2[Tumor Size])</f>
        <v>NA</v>
      </c>
      <c r="O1995" t="str">
        <f>_xlfn.XLOOKUP(A1995,[1]!brca_metabric_clinical_data__2[Sample ID],[1]!brca_metabric_clinical_data__2[Tumor Stage])</f>
        <v>NA</v>
      </c>
    </row>
    <row r="1996" spans="1:15" x14ac:dyDescent="0.45">
      <c r="A1996" t="s">
        <v>2031</v>
      </c>
      <c r="B1996">
        <v>73</v>
      </c>
      <c r="C1996" t="s">
        <v>16</v>
      </c>
      <c r="N1996" t="str">
        <f>_xlfn.XLOOKUP(A1996,[1]!brca_metabric_clinical_data__2[Patient ID], [1]!brca_metabric_clinical_data__2[Tumor Size])</f>
        <v>7</v>
      </c>
      <c r="O1996" t="str">
        <f>_xlfn.XLOOKUP(A1996,[1]!brca_metabric_clinical_data__2[Sample ID],[1]!brca_metabric_clinical_data__2[Tumor Stage])</f>
        <v>1</v>
      </c>
    </row>
    <row r="1997" spans="1:15" x14ac:dyDescent="0.45">
      <c r="A1997" t="s">
        <v>2032</v>
      </c>
      <c r="B1997">
        <v>32</v>
      </c>
      <c r="C1997" t="s">
        <v>16</v>
      </c>
      <c r="N1997" t="str">
        <f>_xlfn.XLOOKUP(A1997,[1]!brca_metabric_clinical_data__2[Patient ID], [1]!brca_metabric_clinical_data__2[Tumor Size])</f>
        <v>NA</v>
      </c>
      <c r="O1997" t="str">
        <f>_xlfn.XLOOKUP(A1997,[1]!brca_metabric_clinical_data__2[Sample ID],[1]!brca_metabric_clinical_data__2[Tumor Stage])</f>
        <v>3</v>
      </c>
    </row>
    <row r="1998" spans="1:15" x14ac:dyDescent="0.45">
      <c r="A1998" t="s">
        <v>2033</v>
      </c>
      <c r="B1998">
        <v>66</v>
      </c>
      <c r="C1998" t="s">
        <v>16</v>
      </c>
      <c r="N1998" t="str">
        <f>_xlfn.XLOOKUP(A1998,[1]!brca_metabric_clinical_data__2[Patient ID], [1]!brca_metabric_clinical_data__2[Tumor Size])</f>
        <v>22</v>
      </c>
      <c r="O1998" t="str">
        <f>_xlfn.XLOOKUP(A1998,[1]!brca_metabric_clinical_data__2[Sample ID],[1]!brca_metabric_clinical_data__2[Tumor Stage])</f>
        <v>2</v>
      </c>
    </row>
    <row r="1999" spans="1:15" x14ac:dyDescent="0.45">
      <c r="A1999" t="s">
        <v>2034</v>
      </c>
      <c r="B1999">
        <v>78</v>
      </c>
      <c r="C1999" t="s">
        <v>16</v>
      </c>
      <c r="N1999" t="str">
        <f>_xlfn.XLOOKUP(A1999,[1]!brca_metabric_clinical_data__2[Patient ID], [1]!brca_metabric_clinical_data__2[Tumor Size])</f>
        <v>26</v>
      </c>
      <c r="O1999" t="str">
        <f>_xlfn.XLOOKUP(A1999,[1]!brca_metabric_clinical_data__2[Sample ID],[1]!brca_metabric_clinical_data__2[Tumor Stage])</f>
        <v>2</v>
      </c>
    </row>
    <row r="2000" spans="1:15" x14ac:dyDescent="0.45">
      <c r="A2000" t="s">
        <v>2035</v>
      </c>
      <c r="B2000">
        <v>76</v>
      </c>
      <c r="C2000" t="s">
        <v>16</v>
      </c>
      <c r="E2000" t="s">
        <v>37</v>
      </c>
      <c r="N2000" t="str">
        <f>_xlfn.XLOOKUP(A2000,[1]!brca_metabric_clinical_data__2[Patient ID], [1]!brca_metabric_clinical_data__2[Tumor Size])</f>
        <v>45</v>
      </c>
      <c r="O2000" t="str">
        <f>_xlfn.XLOOKUP(A2000,[1]!brca_metabric_clinical_data__2[Sample ID],[1]!brca_metabric_clinical_data__2[Tumor Stage])</f>
        <v>2</v>
      </c>
    </row>
    <row r="2001" spans="1:15" x14ac:dyDescent="0.45">
      <c r="A2001" t="s">
        <v>2036</v>
      </c>
      <c r="B2001">
        <v>64</v>
      </c>
      <c r="C2001" t="s">
        <v>16</v>
      </c>
      <c r="N2001" t="str">
        <f>_xlfn.XLOOKUP(A2001,[1]!brca_metabric_clinical_data__2[Patient ID], [1]!brca_metabric_clinical_data__2[Tumor Size])</f>
        <v>18</v>
      </c>
      <c r="O2001" t="str">
        <f>_xlfn.XLOOKUP(A2001,[1]!brca_metabric_clinical_data__2[Sample ID],[1]!brca_metabric_clinical_data__2[Tumor Stage])</f>
        <v>2</v>
      </c>
    </row>
    <row r="2002" spans="1:15" x14ac:dyDescent="0.45">
      <c r="A2002" t="s">
        <v>2037</v>
      </c>
      <c r="B2002">
        <v>51</v>
      </c>
      <c r="C2002" t="s">
        <v>16</v>
      </c>
      <c r="N2002" t="str">
        <f>_xlfn.XLOOKUP(A2002,[1]!brca_metabric_clinical_data__2[Patient ID], [1]!brca_metabric_clinical_data__2[Tumor Size])</f>
        <v>22</v>
      </c>
      <c r="O2002" t="str">
        <f>_xlfn.XLOOKUP(A2002,[1]!brca_metabric_clinical_data__2[Sample ID],[1]!brca_metabric_clinical_data__2[Tumor Stage])</f>
        <v>2</v>
      </c>
    </row>
    <row r="2003" spans="1:15" x14ac:dyDescent="0.45">
      <c r="A2003" t="s">
        <v>2038</v>
      </c>
      <c r="B2003">
        <v>53</v>
      </c>
      <c r="C2003" t="s">
        <v>16</v>
      </c>
      <c r="N2003" t="str">
        <f>_xlfn.XLOOKUP(A2003,[1]!brca_metabric_clinical_data__2[Patient ID], [1]!brca_metabric_clinical_data__2[Tumor Size])</f>
        <v>36</v>
      </c>
      <c r="O2003" t="str">
        <f>_xlfn.XLOOKUP(A2003,[1]!brca_metabric_clinical_data__2[Sample ID],[1]!brca_metabric_clinical_data__2[Tumor Stage])</f>
        <v>2</v>
      </c>
    </row>
    <row r="2004" spans="1:15" x14ac:dyDescent="0.45">
      <c r="A2004" t="s">
        <v>2039</v>
      </c>
      <c r="B2004">
        <v>59</v>
      </c>
      <c r="C2004" t="s">
        <v>16</v>
      </c>
      <c r="N2004" t="str">
        <f>_xlfn.XLOOKUP(A2004,[1]!brca_metabric_clinical_data__2[Patient ID], [1]!brca_metabric_clinical_data__2[Tumor Size])</f>
        <v>21</v>
      </c>
      <c r="O2004" t="str">
        <f>_xlfn.XLOOKUP(A2004,[1]!brca_metabric_clinical_data__2[Sample ID],[1]!brca_metabric_clinical_data__2[Tumor Stage])</f>
        <v>2</v>
      </c>
    </row>
    <row r="2005" spans="1:15" x14ac:dyDescent="0.45">
      <c r="A2005" t="s">
        <v>2040</v>
      </c>
      <c r="B2005">
        <v>51</v>
      </c>
      <c r="C2005" t="s">
        <v>16</v>
      </c>
      <c r="N2005" t="str">
        <f>_xlfn.XLOOKUP(A2005,[1]!brca_metabric_clinical_data__2[Patient ID], [1]!brca_metabric_clinical_data__2[Tumor Size])</f>
        <v>NA</v>
      </c>
      <c r="O2005" t="str">
        <f>_xlfn.XLOOKUP(A2005,[1]!brca_metabric_clinical_data__2[Sample ID],[1]!brca_metabric_clinical_data__2[Tumor Stage])</f>
        <v>2</v>
      </c>
    </row>
    <row r="2006" spans="1:15" x14ac:dyDescent="0.45">
      <c r="A2006" t="s">
        <v>2041</v>
      </c>
      <c r="B2006">
        <v>80</v>
      </c>
      <c r="C2006" t="s">
        <v>16</v>
      </c>
      <c r="N2006" t="str">
        <f>_xlfn.XLOOKUP(A2006,[1]!brca_metabric_clinical_data__2[Patient ID], [1]!brca_metabric_clinical_data__2[Tumor Size])</f>
        <v>40</v>
      </c>
      <c r="O2006" t="str">
        <f>_xlfn.XLOOKUP(A2006,[1]!brca_metabric_clinical_data__2[Sample ID],[1]!brca_metabric_clinical_data__2[Tumor Stage])</f>
        <v>3</v>
      </c>
    </row>
    <row r="2007" spans="1:15" x14ac:dyDescent="0.45">
      <c r="A2007" t="s">
        <v>2042</v>
      </c>
      <c r="B2007">
        <v>78</v>
      </c>
      <c r="C2007" t="s">
        <v>16</v>
      </c>
      <c r="N2007" t="str">
        <f>_xlfn.XLOOKUP(A2007,[1]!brca_metabric_clinical_data__2[Patient ID], [1]!brca_metabric_clinical_data__2[Tumor Size])</f>
        <v>30</v>
      </c>
      <c r="O2007" t="str">
        <f>_xlfn.XLOOKUP(A2007,[1]!brca_metabric_clinical_data__2[Sample ID],[1]!brca_metabric_clinical_data__2[Tumor Stage])</f>
        <v>2</v>
      </c>
    </row>
    <row r="2008" spans="1:15" x14ac:dyDescent="0.45">
      <c r="A2008" t="s">
        <v>2043</v>
      </c>
      <c r="B2008">
        <v>70</v>
      </c>
      <c r="C2008" t="s">
        <v>16</v>
      </c>
      <c r="N2008" t="str">
        <f>_xlfn.XLOOKUP(A2008,[1]!brca_metabric_clinical_data__2[Patient ID], [1]!brca_metabric_clinical_data__2[Tumor Size])</f>
        <v>90</v>
      </c>
      <c r="O2008" t="str">
        <f>_xlfn.XLOOKUP(A2008,[1]!brca_metabric_clinical_data__2[Sample ID],[1]!brca_metabric_clinical_data__2[Tumor Stage])</f>
        <v>2</v>
      </c>
    </row>
    <row r="2009" spans="1:15" x14ac:dyDescent="0.45">
      <c r="A2009" t="s">
        <v>2044</v>
      </c>
      <c r="B2009">
        <v>78</v>
      </c>
      <c r="C2009" t="s">
        <v>16</v>
      </c>
      <c r="N2009" t="str">
        <f>_xlfn.XLOOKUP(A2009,[1]!brca_metabric_clinical_data__2[Patient ID], [1]!brca_metabric_clinical_data__2[Tumor Size])</f>
        <v>75</v>
      </c>
      <c r="O2009" t="str">
        <f>_xlfn.XLOOKUP(A2009,[1]!brca_metabric_clinical_data__2[Sample ID],[1]!brca_metabric_clinical_data__2[Tumor Stage])</f>
        <v>3</v>
      </c>
    </row>
    <row r="2010" spans="1:15" x14ac:dyDescent="0.45">
      <c r="A2010" t="s">
        <v>2045</v>
      </c>
      <c r="B2010">
        <v>59</v>
      </c>
      <c r="C2010" t="s">
        <v>16</v>
      </c>
      <c r="N2010" t="str">
        <f>_xlfn.XLOOKUP(A2010,[1]!brca_metabric_clinical_data__2[Patient ID], [1]!brca_metabric_clinical_data__2[Tumor Size])</f>
        <v>8</v>
      </c>
      <c r="O2010" t="str">
        <f>_xlfn.XLOOKUP(A2010,[1]!brca_metabric_clinical_data__2[Sample ID],[1]!brca_metabric_clinical_data__2[Tumor Stage])</f>
        <v>1</v>
      </c>
    </row>
    <row r="2011" spans="1:15" x14ac:dyDescent="0.45">
      <c r="A2011" t="s">
        <v>2046</v>
      </c>
      <c r="B2011">
        <v>76</v>
      </c>
      <c r="C2011" t="s">
        <v>16</v>
      </c>
      <c r="N2011" t="str">
        <f>_xlfn.XLOOKUP(A2011,[1]!brca_metabric_clinical_data__2[Patient ID], [1]!brca_metabric_clinical_data__2[Tumor Size])</f>
        <v>51</v>
      </c>
      <c r="O2011" t="str">
        <f>_xlfn.XLOOKUP(A2011,[1]!brca_metabric_clinical_data__2[Sample ID],[1]!brca_metabric_clinical_data__2[Tumor Stage])</f>
        <v>3</v>
      </c>
    </row>
    <row r="2012" spans="1:15" x14ac:dyDescent="0.45">
      <c r="A2012" t="s">
        <v>2047</v>
      </c>
      <c r="B2012">
        <v>75</v>
      </c>
      <c r="C2012" t="s">
        <v>16</v>
      </c>
      <c r="N2012" t="str">
        <f>_xlfn.XLOOKUP(A2012,[1]!brca_metabric_clinical_data__2[Patient ID], [1]!brca_metabric_clinical_data__2[Tumor Size])</f>
        <v>69</v>
      </c>
      <c r="O2012" t="str">
        <f>_xlfn.XLOOKUP(A2012,[1]!brca_metabric_clinical_data__2[Sample ID],[1]!brca_metabric_clinical_data__2[Tumor Stage])</f>
        <v>3</v>
      </c>
    </row>
    <row r="2013" spans="1:15" x14ac:dyDescent="0.45">
      <c r="A2013" t="s">
        <v>2048</v>
      </c>
      <c r="B2013">
        <v>54</v>
      </c>
      <c r="C2013" t="s">
        <v>16</v>
      </c>
      <c r="N2013" t="str">
        <f>_xlfn.XLOOKUP(A2013,[1]!brca_metabric_clinical_data__2[Patient ID], [1]!brca_metabric_clinical_data__2[Tumor Size])</f>
        <v>51</v>
      </c>
      <c r="O2013" t="str">
        <f>_xlfn.XLOOKUP(A2013,[1]!brca_metabric_clinical_data__2[Sample ID],[1]!brca_metabric_clinical_data__2[Tumor Stage])</f>
        <v>2</v>
      </c>
    </row>
    <row r="2014" spans="1:15" x14ac:dyDescent="0.45">
      <c r="A2014" t="s">
        <v>2049</v>
      </c>
      <c r="B2014">
        <v>87</v>
      </c>
      <c r="C2014" t="s">
        <v>16</v>
      </c>
      <c r="N2014" t="str">
        <f>_xlfn.XLOOKUP(A2014,[1]!brca_metabric_clinical_data__2[Patient ID], [1]!brca_metabric_clinical_data__2[Tumor Size])</f>
        <v>51</v>
      </c>
      <c r="O2014" t="str">
        <f>_xlfn.XLOOKUP(A2014,[1]!brca_metabric_clinical_data__2[Sample ID],[1]!brca_metabric_clinical_data__2[Tumor Stage])</f>
        <v>2</v>
      </c>
    </row>
    <row r="2015" spans="1:15" x14ac:dyDescent="0.45">
      <c r="A2015" t="s">
        <v>2050</v>
      </c>
      <c r="B2015">
        <v>67</v>
      </c>
      <c r="C2015" t="s">
        <v>16</v>
      </c>
      <c r="N2015" t="str">
        <f>_xlfn.XLOOKUP(A2015,[1]!brca_metabric_clinical_data__2[Patient ID], [1]!brca_metabric_clinical_data__2[Tumor Size])</f>
        <v>25</v>
      </c>
      <c r="O2015" t="str">
        <f>_xlfn.XLOOKUP(A2015,[1]!brca_metabric_clinical_data__2[Sample ID],[1]!brca_metabric_clinical_data__2[Tumor Stage])</f>
        <v>2</v>
      </c>
    </row>
    <row r="2016" spans="1:15" x14ac:dyDescent="0.45">
      <c r="A2016" t="s">
        <v>2051</v>
      </c>
      <c r="B2016">
        <v>64</v>
      </c>
      <c r="C2016" t="s">
        <v>16</v>
      </c>
      <c r="E2016" t="s">
        <v>18</v>
      </c>
      <c r="N2016" t="str">
        <f>_xlfn.XLOOKUP(A2016,[1]!brca_metabric_clinical_data__2[Patient ID], [1]!brca_metabric_clinical_data__2[Tumor Size])</f>
        <v>27</v>
      </c>
      <c r="O2016" t="str">
        <f>_xlfn.XLOOKUP(A2016,[1]!brca_metabric_clinical_data__2[Sample ID],[1]!brca_metabric_clinical_data__2[Tumor Stage])</f>
        <v>NA</v>
      </c>
    </row>
    <row r="2017" spans="1:15" x14ac:dyDescent="0.45">
      <c r="A2017" t="s">
        <v>2052</v>
      </c>
      <c r="B2017">
        <v>42</v>
      </c>
      <c r="C2017" t="s">
        <v>16</v>
      </c>
      <c r="N2017" t="str">
        <f>_xlfn.XLOOKUP(A2017,[1]!brca_metabric_clinical_data__2[Patient ID], [1]!brca_metabric_clinical_data__2[Tumor Size])</f>
        <v>47</v>
      </c>
      <c r="O2017" t="str">
        <f>_xlfn.XLOOKUP(A2017,[1]!brca_metabric_clinical_data__2[Sample ID],[1]!brca_metabric_clinical_data__2[Tumor Stage])</f>
        <v>2</v>
      </c>
    </row>
    <row r="2018" spans="1:15" x14ac:dyDescent="0.45">
      <c r="A2018" t="s">
        <v>2053</v>
      </c>
      <c r="B2018">
        <v>89</v>
      </c>
      <c r="C2018" t="s">
        <v>16</v>
      </c>
      <c r="E2018" t="s">
        <v>18</v>
      </c>
      <c r="N2018" t="str">
        <f>_xlfn.XLOOKUP(A2018,[1]!brca_metabric_clinical_data__2[Patient ID], [1]!brca_metabric_clinical_data__2[Tumor Size])</f>
        <v>35</v>
      </c>
      <c r="O2018" t="str">
        <f>_xlfn.XLOOKUP(A2018,[1]!brca_metabric_clinical_data__2[Sample ID],[1]!brca_metabric_clinical_data__2[Tumor Stage])</f>
        <v>2</v>
      </c>
    </row>
    <row r="2019" spans="1:15" x14ac:dyDescent="0.45">
      <c r="A2019" t="s">
        <v>2054</v>
      </c>
      <c r="B2019">
        <v>70</v>
      </c>
      <c r="C2019" t="s">
        <v>16</v>
      </c>
      <c r="N2019" t="str">
        <f>_xlfn.XLOOKUP(A2019,[1]!brca_metabric_clinical_data__2[Patient ID], [1]!brca_metabric_clinical_data__2[Tumor Size])</f>
        <v>42</v>
      </c>
      <c r="O2019" t="str">
        <f>_xlfn.XLOOKUP(A2019,[1]!brca_metabric_clinical_data__2[Sample ID],[1]!brca_metabric_clinical_data__2[Tumor Stage])</f>
        <v>2</v>
      </c>
    </row>
    <row r="2020" spans="1:15" x14ac:dyDescent="0.45">
      <c r="A2020" t="s">
        <v>2055</v>
      </c>
      <c r="B2020">
        <v>49</v>
      </c>
      <c r="C2020" t="s">
        <v>16</v>
      </c>
      <c r="E2020" t="s">
        <v>18</v>
      </c>
      <c r="N2020" t="str">
        <f>_xlfn.XLOOKUP(A2020,[1]!brca_metabric_clinical_data__2[Patient ID], [1]!brca_metabric_clinical_data__2[Tumor Size])</f>
        <v>24</v>
      </c>
      <c r="O2020" t="str">
        <f>_xlfn.XLOOKUP(A2020,[1]!brca_metabric_clinical_data__2[Sample ID],[1]!brca_metabric_clinical_data__2[Tumor Stage])</f>
        <v>NA</v>
      </c>
    </row>
    <row r="2021" spans="1:15" x14ac:dyDescent="0.45">
      <c r="A2021" t="s">
        <v>2056</v>
      </c>
      <c r="B2021">
        <v>65</v>
      </c>
      <c r="C2021" t="s">
        <v>16</v>
      </c>
      <c r="N2021" t="str">
        <f>_xlfn.XLOOKUP(A2021,[1]!brca_metabric_clinical_data__2[Patient ID], [1]!brca_metabric_clinical_data__2[Tumor Size])</f>
        <v>18</v>
      </c>
      <c r="O2021" t="str">
        <f>_xlfn.XLOOKUP(A2021,[1]!brca_metabric_clinical_data__2[Sample ID],[1]!brca_metabric_clinical_data__2[Tumor Stage])</f>
        <v>1</v>
      </c>
    </row>
    <row r="2022" spans="1:15" x14ac:dyDescent="0.45">
      <c r="A2022" t="s">
        <v>2057</v>
      </c>
      <c r="B2022">
        <v>52</v>
      </c>
      <c r="C2022" t="s">
        <v>16</v>
      </c>
      <c r="E2022" t="s">
        <v>18</v>
      </c>
      <c r="N2022" t="str">
        <f>_xlfn.XLOOKUP(A2022,[1]!brca_metabric_clinical_data__2[Patient ID], [1]!brca_metabric_clinical_data__2[Tumor Size])</f>
        <v>30</v>
      </c>
      <c r="O2022" t="str">
        <f>_xlfn.XLOOKUP(A2022,[1]!brca_metabric_clinical_data__2[Sample ID],[1]!brca_metabric_clinical_data__2[Tumor Stage])</f>
        <v>2</v>
      </c>
    </row>
    <row r="2023" spans="1:15" x14ac:dyDescent="0.45">
      <c r="A2023" t="s">
        <v>2058</v>
      </c>
      <c r="B2023">
        <v>73</v>
      </c>
      <c r="C2023" t="s">
        <v>16</v>
      </c>
      <c r="E2023" t="s">
        <v>18</v>
      </c>
      <c r="N2023" t="str">
        <f>_xlfn.XLOOKUP(A2023,[1]!brca_metabric_clinical_data__2[Patient ID], [1]!brca_metabric_clinical_data__2[Tumor Size])</f>
        <v>36</v>
      </c>
      <c r="O2023" t="str">
        <f>_xlfn.XLOOKUP(A2023,[1]!brca_metabric_clinical_data__2[Sample ID],[1]!brca_metabric_clinical_data__2[Tumor Stage])</f>
        <v>2</v>
      </c>
    </row>
    <row r="2024" spans="1:15" x14ac:dyDescent="0.45">
      <c r="A2024" t="s">
        <v>2059</v>
      </c>
      <c r="B2024">
        <v>83</v>
      </c>
      <c r="C2024" t="s">
        <v>16</v>
      </c>
      <c r="E2024" t="s">
        <v>18</v>
      </c>
      <c r="N2024" t="str">
        <f>_xlfn.XLOOKUP(A2024,[1]!brca_metabric_clinical_data__2[Patient ID], [1]!brca_metabric_clinical_data__2[Tumor Size])</f>
        <v>20</v>
      </c>
      <c r="O2024" t="str">
        <f>_xlfn.XLOOKUP(A2024,[1]!brca_metabric_clinical_data__2[Sample ID],[1]!brca_metabric_clinical_data__2[Tumor Stage])</f>
        <v>1</v>
      </c>
    </row>
    <row r="2025" spans="1:15" x14ac:dyDescent="0.45">
      <c r="A2025" t="s">
        <v>2060</v>
      </c>
      <c r="B2025">
        <v>62</v>
      </c>
      <c r="C2025" t="s">
        <v>16</v>
      </c>
      <c r="E2025" t="s">
        <v>18</v>
      </c>
      <c r="N2025" t="str">
        <f>_xlfn.XLOOKUP(A2025,[1]!brca_metabric_clinical_data__2[Patient ID], [1]!brca_metabric_clinical_data__2[Tumor Size])</f>
        <v>88</v>
      </c>
      <c r="O2025" t="str">
        <f>_xlfn.XLOOKUP(A2025,[1]!brca_metabric_clinical_data__2[Sample ID],[1]!brca_metabric_clinical_data__2[Tumor Stage])</f>
        <v>NA</v>
      </c>
    </row>
    <row r="2026" spans="1:15" x14ac:dyDescent="0.45">
      <c r="A2026" t="s">
        <v>2061</v>
      </c>
      <c r="B2026">
        <v>36</v>
      </c>
      <c r="C2026" t="s">
        <v>16</v>
      </c>
      <c r="E2026" t="s">
        <v>37</v>
      </c>
      <c r="N2026" t="str">
        <f>_xlfn.XLOOKUP(A2026,[1]!brca_metabric_clinical_data__2[Patient ID], [1]!brca_metabric_clinical_data__2[Tumor Size])</f>
        <v>NA</v>
      </c>
      <c r="O2026" t="str">
        <f>_xlfn.XLOOKUP(A2026,[1]!brca_metabric_clinical_data__2[Sample ID],[1]!brca_metabric_clinical_data__2[Tumor Stage])</f>
        <v>NA</v>
      </c>
    </row>
    <row r="2027" spans="1:15" x14ac:dyDescent="0.45">
      <c r="A2027" t="s">
        <v>2062</v>
      </c>
      <c r="B2027">
        <v>64</v>
      </c>
      <c r="C2027" t="s">
        <v>16</v>
      </c>
      <c r="E2027" t="s">
        <v>18</v>
      </c>
      <c r="N2027" t="str">
        <f>_xlfn.XLOOKUP(A2027,[1]!brca_metabric_clinical_data__2[Patient ID], [1]!brca_metabric_clinical_data__2[Tumor Size])</f>
        <v>NA</v>
      </c>
      <c r="O2027" t="str">
        <f>_xlfn.XLOOKUP(A2027,[1]!brca_metabric_clinical_data__2[Sample ID],[1]!brca_metabric_clinical_data__2[Tumor Stage])</f>
        <v>NA</v>
      </c>
    </row>
    <row r="2028" spans="1:15" x14ac:dyDescent="0.45">
      <c r="A2028" t="s">
        <v>2063</v>
      </c>
      <c r="B2028">
        <v>53</v>
      </c>
      <c r="C2028" t="s">
        <v>16</v>
      </c>
      <c r="E2028" t="s">
        <v>37</v>
      </c>
      <c r="N2028" t="str">
        <f>_xlfn.XLOOKUP(A2028,[1]!brca_metabric_clinical_data__2[Patient ID], [1]!brca_metabric_clinical_data__2[Tumor Size])</f>
        <v>NA</v>
      </c>
      <c r="O2028" t="str">
        <f>_xlfn.XLOOKUP(A2028,[1]!brca_metabric_clinical_data__2[Sample ID],[1]!brca_metabric_clinical_data__2[Tumor Stage])</f>
        <v>NA</v>
      </c>
    </row>
    <row r="2029" spans="1:15" x14ac:dyDescent="0.45">
      <c r="A2029" t="s">
        <v>2064</v>
      </c>
      <c r="B2029">
        <v>40</v>
      </c>
      <c r="C2029" t="s">
        <v>16</v>
      </c>
      <c r="E2029" t="s">
        <v>18</v>
      </c>
      <c r="N2029" t="str">
        <f>_xlfn.XLOOKUP(A2029,[1]!brca_metabric_clinical_data__2[Patient ID], [1]!brca_metabric_clinical_data__2[Tumor Size])</f>
        <v>NA</v>
      </c>
      <c r="O2029" t="str">
        <f>_xlfn.XLOOKUP(A2029,[1]!brca_metabric_clinical_data__2[Sample ID],[1]!brca_metabric_clinical_data__2[Tumor Stage])</f>
        <v>NA</v>
      </c>
    </row>
    <row r="2030" spans="1:15" x14ac:dyDescent="0.45">
      <c r="A2030" t="s">
        <v>2065</v>
      </c>
      <c r="B2030">
        <v>59</v>
      </c>
      <c r="C2030" t="s">
        <v>16</v>
      </c>
      <c r="E2030" t="s">
        <v>18</v>
      </c>
      <c r="N2030" t="str">
        <f>_xlfn.XLOOKUP(A2030,[1]!brca_metabric_clinical_data__2[Patient ID], [1]!brca_metabric_clinical_data__2[Tumor Size])</f>
        <v>NA</v>
      </c>
      <c r="O2030" t="str">
        <f>_xlfn.XLOOKUP(A2030,[1]!brca_metabric_clinical_data__2[Sample ID],[1]!brca_metabric_clinical_data__2[Tumor Stage])</f>
        <v>NA</v>
      </c>
    </row>
    <row r="2031" spans="1:15" x14ac:dyDescent="0.45">
      <c r="A2031" t="s">
        <v>2066</v>
      </c>
      <c r="B2031">
        <v>46</v>
      </c>
      <c r="C2031" t="s">
        <v>16</v>
      </c>
      <c r="E2031" t="s">
        <v>18</v>
      </c>
      <c r="N2031" t="str">
        <f>_xlfn.XLOOKUP(A2031,[1]!brca_metabric_clinical_data__2[Patient ID], [1]!brca_metabric_clinical_data__2[Tumor Size])</f>
        <v>NA</v>
      </c>
      <c r="O2031" t="str">
        <f>_xlfn.XLOOKUP(A2031,[1]!brca_metabric_clinical_data__2[Sample ID],[1]!brca_metabric_clinical_data__2[Tumor Stage])</f>
        <v>NA</v>
      </c>
    </row>
    <row r="2032" spans="1:15" x14ac:dyDescent="0.45">
      <c r="A2032" t="s">
        <v>2067</v>
      </c>
      <c r="B2032">
        <v>41</v>
      </c>
      <c r="C2032" t="s">
        <v>16</v>
      </c>
      <c r="E2032" t="s">
        <v>18</v>
      </c>
      <c r="N2032" t="str">
        <f>_xlfn.XLOOKUP(A2032,[1]!brca_metabric_clinical_data__2[Patient ID], [1]!brca_metabric_clinical_data__2[Tumor Size])</f>
        <v>NA</v>
      </c>
      <c r="O2032" t="str">
        <f>_xlfn.XLOOKUP(A2032,[1]!brca_metabric_clinical_data__2[Sample ID],[1]!brca_metabric_clinical_data__2[Tumor Stage])</f>
        <v>NA</v>
      </c>
    </row>
    <row r="2033" spans="1:15" x14ac:dyDescent="0.45">
      <c r="A2033" t="s">
        <v>2068</v>
      </c>
      <c r="B2033">
        <v>54</v>
      </c>
      <c r="C2033" t="s">
        <v>16</v>
      </c>
      <c r="E2033" t="s">
        <v>18</v>
      </c>
      <c r="N2033" t="str">
        <f>_xlfn.XLOOKUP(A2033,[1]!brca_metabric_clinical_data__2[Patient ID], [1]!brca_metabric_clinical_data__2[Tumor Size])</f>
        <v>NA</v>
      </c>
      <c r="O2033" t="str">
        <f>_xlfn.XLOOKUP(A2033,[1]!brca_metabric_clinical_data__2[Sample ID],[1]!brca_metabric_clinical_data__2[Tumor Stage])</f>
        <v>NA</v>
      </c>
    </row>
    <row r="2034" spans="1:15" x14ac:dyDescent="0.45">
      <c r="A2034" t="s">
        <v>2069</v>
      </c>
      <c r="B2034">
        <v>70</v>
      </c>
      <c r="C2034" t="s">
        <v>16</v>
      </c>
      <c r="E2034" t="s">
        <v>37</v>
      </c>
      <c r="N2034" t="str">
        <f>_xlfn.XLOOKUP(A2034,[1]!brca_metabric_clinical_data__2[Patient ID], [1]!brca_metabric_clinical_data__2[Tumor Size])</f>
        <v>NA</v>
      </c>
      <c r="O2034" t="str">
        <f>_xlfn.XLOOKUP(A2034,[1]!brca_metabric_clinical_data__2[Sample ID],[1]!brca_metabric_clinical_data__2[Tumor Stage])</f>
        <v>NA</v>
      </c>
    </row>
    <row r="2035" spans="1:15" x14ac:dyDescent="0.45">
      <c r="A2035" t="s">
        <v>2070</v>
      </c>
      <c r="B2035">
        <v>45</v>
      </c>
      <c r="C2035" t="s">
        <v>16</v>
      </c>
      <c r="E2035" t="s">
        <v>18</v>
      </c>
      <c r="N2035" t="str">
        <f>_xlfn.XLOOKUP(A2035,[1]!brca_metabric_clinical_data__2[Patient ID], [1]!brca_metabric_clinical_data__2[Tumor Size])</f>
        <v>NA</v>
      </c>
      <c r="O2035" t="str">
        <f>_xlfn.XLOOKUP(A2035,[1]!brca_metabric_clinical_data__2[Sample ID],[1]!brca_metabric_clinical_data__2[Tumor Stage])</f>
        <v>NA</v>
      </c>
    </row>
    <row r="2036" spans="1:15" x14ac:dyDescent="0.45">
      <c r="A2036" t="s">
        <v>2071</v>
      </c>
      <c r="B2036">
        <v>64</v>
      </c>
      <c r="C2036" t="s">
        <v>16</v>
      </c>
      <c r="E2036" t="s">
        <v>18</v>
      </c>
      <c r="N2036" t="str">
        <f>_xlfn.XLOOKUP(A2036,[1]!brca_metabric_clinical_data__2[Patient ID], [1]!brca_metabric_clinical_data__2[Tumor Size])</f>
        <v>NA</v>
      </c>
      <c r="O2036" t="str">
        <f>_xlfn.XLOOKUP(A2036,[1]!brca_metabric_clinical_data__2[Sample ID],[1]!brca_metabric_clinical_data__2[Tumor Stage])</f>
        <v>NA</v>
      </c>
    </row>
    <row r="2037" spans="1:15" x14ac:dyDescent="0.45">
      <c r="A2037" t="s">
        <v>2072</v>
      </c>
      <c r="B2037">
        <v>35</v>
      </c>
      <c r="C2037" t="s">
        <v>16</v>
      </c>
      <c r="E2037" t="s">
        <v>18</v>
      </c>
      <c r="N2037" t="str">
        <f>_xlfn.XLOOKUP(A2037,[1]!brca_metabric_clinical_data__2[Patient ID], [1]!brca_metabric_clinical_data__2[Tumor Size])</f>
        <v>NA</v>
      </c>
      <c r="O2037" t="str">
        <f>_xlfn.XLOOKUP(A2037,[1]!brca_metabric_clinical_data__2[Sample ID],[1]!brca_metabric_clinical_data__2[Tumor Stage])</f>
        <v>NA</v>
      </c>
    </row>
    <row r="2038" spans="1:15" x14ac:dyDescent="0.45">
      <c r="A2038" t="s">
        <v>2073</v>
      </c>
      <c r="B2038">
        <v>51</v>
      </c>
      <c r="C2038" t="s">
        <v>16</v>
      </c>
      <c r="E2038" t="s">
        <v>18</v>
      </c>
      <c r="N2038" t="str">
        <f>_xlfn.XLOOKUP(A2038,[1]!brca_metabric_clinical_data__2[Patient ID], [1]!brca_metabric_clinical_data__2[Tumor Size])</f>
        <v>NA</v>
      </c>
      <c r="O2038" t="str">
        <f>_xlfn.XLOOKUP(A2038,[1]!brca_metabric_clinical_data__2[Sample ID],[1]!brca_metabric_clinical_data__2[Tumor Stage])</f>
        <v>NA</v>
      </c>
    </row>
    <row r="2039" spans="1:15" x14ac:dyDescent="0.45">
      <c r="A2039" t="s">
        <v>2074</v>
      </c>
      <c r="B2039">
        <v>43</v>
      </c>
      <c r="C2039" t="s">
        <v>16</v>
      </c>
      <c r="E2039" t="s">
        <v>18</v>
      </c>
      <c r="N2039" t="str">
        <f>_xlfn.XLOOKUP(A2039,[1]!brca_metabric_clinical_data__2[Patient ID], [1]!brca_metabric_clinical_data__2[Tumor Size])</f>
        <v>NA</v>
      </c>
      <c r="O2039" t="str">
        <f>_xlfn.XLOOKUP(A2039,[1]!brca_metabric_clinical_data__2[Sample ID],[1]!brca_metabric_clinical_data__2[Tumor Stage])</f>
        <v>NA</v>
      </c>
    </row>
    <row r="2040" spans="1:15" x14ac:dyDescent="0.45">
      <c r="A2040" t="s">
        <v>2075</v>
      </c>
      <c r="B2040">
        <v>49</v>
      </c>
      <c r="C2040" t="s">
        <v>16</v>
      </c>
      <c r="E2040" t="s">
        <v>37</v>
      </c>
      <c r="N2040" t="str">
        <f>_xlfn.XLOOKUP(A2040,[1]!brca_metabric_clinical_data__2[Patient ID], [1]!brca_metabric_clinical_data__2[Tumor Size])</f>
        <v>NA</v>
      </c>
      <c r="O2040" t="str">
        <f>_xlfn.XLOOKUP(A2040,[1]!brca_metabric_clinical_data__2[Sample ID],[1]!brca_metabric_clinical_data__2[Tumor Stage])</f>
        <v>NA</v>
      </c>
    </row>
    <row r="2041" spans="1:15" x14ac:dyDescent="0.45">
      <c r="A2041" t="s">
        <v>2076</v>
      </c>
      <c r="B2041">
        <v>67</v>
      </c>
      <c r="C2041" t="s">
        <v>16</v>
      </c>
      <c r="E2041" t="s">
        <v>37</v>
      </c>
      <c r="N2041" t="str">
        <f>_xlfn.XLOOKUP(A2041,[1]!brca_metabric_clinical_data__2[Patient ID], [1]!brca_metabric_clinical_data__2[Tumor Size])</f>
        <v>NA</v>
      </c>
      <c r="O2041" t="str">
        <f>_xlfn.XLOOKUP(A2041,[1]!brca_metabric_clinical_data__2[Sample ID],[1]!brca_metabric_clinical_data__2[Tumor Stage])</f>
        <v>NA</v>
      </c>
    </row>
    <row r="2042" spans="1:15" x14ac:dyDescent="0.45">
      <c r="A2042" t="s">
        <v>2077</v>
      </c>
      <c r="B2042">
        <v>52</v>
      </c>
      <c r="C2042" t="s">
        <v>16</v>
      </c>
      <c r="E2042" t="s">
        <v>18</v>
      </c>
      <c r="N2042" t="str">
        <f>_xlfn.XLOOKUP(A2042,[1]!brca_metabric_clinical_data__2[Patient ID], [1]!brca_metabric_clinical_data__2[Tumor Size])</f>
        <v>NA</v>
      </c>
      <c r="O2042" t="str">
        <f>_xlfn.XLOOKUP(A2042,[1]!brca_metabric_clinical_data__2[Sample ID],[1]!brca_metabric_clinical_data__2[Tumor Stage])</f>
        <v>NA</v>
      </c>
    </row>
    <row r="2043" spans="1:15" x14ac:dyDescent="0.45">
      <c r="A2043" t="s">
        <v>2078</v>
      </c>
      <c r="B2043">
        <v>56</v>
      </c>
      <c r="C2043" t="s">
        <v>16</v>
      </c>
      <c r="E2043" t="s">
        <v>37</v>
      </c>
      <c r="N2043" t="str">
        <f>_xlfn.XLOOKUP(A2043,[1]!brca_metabric_clinical_data__2[Patient ID], [1]!brca_metabric_clinical_data__2[Tumor Size])</f>
        <v>NA</v>
      </c>
      <c r="O2043" t="str">
        <f>_xlfn.XLOOKUP(A2043,[1]!brca_metabric_clinical_data__2[Sample ID],[1]!brca_metabric_clinical_data__2[Tumor Stage])</f>
        <v>NA</v>
      </c>
    </row>
    <row r="2044" spans="1:15" x14ac:dyDescent="0.45">
      <c r="A2044" t="s">
        <v>2079</v>
      </c>
      <c r="B2044">
        <v>35</v>
      </c>
      <c r="C2044" t="s">
        <v>16</v>
      </c>
      <c r="E2044" t="s">
        <v>18</v>
      </c>
      <c r="N2044" t="str">
        <f>_xlfn.XLOOKUP(A2044,[1]!brca_metabric_clinical_data__2[Patient ID], [1]!brca_metabric_clinical_data__2[Tumor Size])</f>
        <v>NA</v>
      </c>
      <c r="O2044" t="str">
        <f>_xlfn.XLOOKUP(A2044,[1]!brca_metabric_clinical_data__2[Sample ID],[1]!brca_metabric_clinical_data__2[Tumor Stage])</f>
        <v>NA</v>
      </c>
    </row>
    <row r="2045" spans="1:15" x14ac:dyDescent="0.45">
      <c r="A2045" t="s">
        <v>2080</v>
      </c>
      <c r="B2045">
        <v>38</v>
      </c>
      <c r="C2045" t="s">
        <v>16</v>
      </c>
      <c r="E2045" t="s">
        <v>18</v>
      </c>
      <c r="N2045" t="str">
        <f>_xlfn.XLOOKUP(A2045,[1]!brca_metabric_clinical_data__2[Patient ID], [1]!brca_metabric_clinical_data__2[Tumor Size])</f>
        <v>NA</v>
      </c>
      <c r="O2045" t="str">
        <f>_xlfn.XLOOKUP(A2045,[1]!brca_metabric_clinical_data__2[Sample ID],[1]!brca_metabric_clinical_data__2[Tumor Stage])</f>
        <v>NA</v>
      </c>
    </row>
    <row r="2046" spans="1:15" x14ac:dyDescent="0.45">
      <c r="A2046" t="s">
        <v>2081</v>
      </c>
      <c r="B2046">
        <v>53</v>
      </c>
      <c r="C2046" t="s">
        <v>16</v>
      </c>
      <c r="E2046" t="s">
        <v>18</v>
      </c>
      <c r="N2046" t="str">
        <f>_xlfn.XLOOKUP(A2046,[1]!brca_metabric_clinical_data__2[Patient ID], [1]!brca_metabric_clinical_data__2[Tumor Size])</f>
        <v>NA</v>
      </c>
      <c r="O2046" t="str">
        <f>_xlfn.XLOOKUP(A2046,[1]!brca_metabric_clinical_data__2[Sample ID],[1]!brca_metabric_clinical_data__2[Tumor Stage])</f>
        <v>NA</v>
      </c>
    </row>
    <row r="2047" spans="1:15" x14ac:dyDescent="0.45">
      <c r="A2047" t="s">
        <v>2082</v>
      </c>
      <c r="B2047">
        <v>45</v>
      </c>
      <c r="C2047" t="s">
        <v>16</v>
      </c>
      <c r="E2047" t="s">
        <v>18</v>
      </c>
      <c r="N2047" t="str">
        <f>_xlfn.XLOOKUP(A2047,[1]!brca_metabric_clinical_data__2[Patient ID], [1]!brca_metabric_clinical_data__2[Tumor Size])</f>
        <v>NA</v>
      </c>
      <c r="O2047" t="str">
        <f>_xlfn.XLOOKUP(A2047,[1]!brca_metabric_clinical_data__2[Sample ID],[1]!brca_metabric_clinical_data__2[Tumor Stage])</f>
        <v>NA</v>
      </c>
    </row>
    <row r="2048" spans="1:15" x14ac:dyDescent="0.45">
      <c r="A2048" t="s">
        <v>2083</v>
      </c>
      <c r="B2048">
        <v>58</v>
      </c>
      <c r="C2048" t="s">
        <v>16</v>
      </c>
      <c r="E2048" t="s">
        <v>18</v>
      </c>
      <c r="N2048" t="str">
        <f>_xlfn.XLOOKUP(A2048,[1]!brca_metabric_clinical_data__2[Patient ID], [1]!brca_metabric_clinical_data__2[Tumor Size])</f>
        <v>NA</v>
      </c>
      <c r="O2048" t="str">
        <f>_xlfn.XLOOKUP(A2048,[1]!brca_metabric_clinical_data__2[Sample ID],[1]!brca_metabric_clinical_data__2[Tumor Stage])</f>
        <v>NA</v>
      </c>
    </row>
    <row r="2049" spans="1:15" x14ac:dyDescent="0.45">
      <c r="A2049" t="s">
        <v>2084</v>
      </c>
      <c r="B2049">
        <v>58</v>
      </c>
      <c r="C2049" t="s">
        <v>16</v>
      </c>
      <c r="E2049" t="s">
        <v>18</v>
      </c>
      <c r="N2049" t="str">
        <f>_xlfn.XLOOKUP(A2049,[1]!brca_metabric_clinical_data__2[Patient ID], [1]!brca_metabric_clinical_data__2[Tumor Size])</f>
        <v>NA</v>
      </c>
      <c r="O2049" t="str">
        <f>_xlfn.XLOOKUP(A2049,[1]!brca_metabric_clinical_data__2[Sample ID],[1]!brca_metabric_clinical_data__2[Tumor Stage])</f>
        <v>NA</v>
      </c>
    </row>
    <row r="2050" spans="1:15" x14ac:dyDescent="0.45">
      <c r="A2050" t="s">
        <v>2085</v>
      </c>
      <c r="B2050">
        <v>43</v>
      </c>
      <c r="C2050" t="s">
        <v>16</v>
      </c>
      <c r="E2050" t="s">
        <v>18</v>
      </c>
      <c r="N2050" t="str">
        <f>_xlfn.XLOOKUP(A2050,[1]!brca_metabric_clinical_data__2[Patient ID], [1]!brca_metabric_clinical_data__2[Tumor Size])</f>
        <v>NA</v>
      </c>
      <c r="O2050" t="str">
        <f>_xlfn.XLOOKUP(A2050,[1]!brca_metabric_clinical_data__2[Sample ID],[1]!brca_metabric_clinical_data__2[Tumor Stage])</f>
        <v>NA</v>
      </c>
    </row>
    <row r="2051" spans="1:15" x14ac:dyDescent="0.45">
      <c r="A2051" t="s">
        <v>2086</v>
      </c>
      <c r="B2051">
        <v>49</v>
      </c>
      <c r="C2051" t="s">
        <v>16</v>
      </c>
      <c r="E2051" t="s">
        <v>18</v>
      </c>
      <c r="N2051" t="str">
        <f>_xlfn.XLOOKUP(A2051,[1]!brca_metabric_clinical_data__2[Patient ID], [1]!brca_metabric_clinical_data__2[Tumor Size])</f>
        <v>NA</v>
      </c>
      <c r="O2051" t="str">
        <f>_xlfn.XLOOKUP(A2051,[1]!brca_metabric_clinical_data__2[Sample ID],[1]!brca_metabric_clinical_data__2[Tumor Stage])</f>
        <v>NA</v>
      </c>
    </row>
    <row r="2052" spans="1:15" x14ac:dyDescent="0.45">
      <c r="A2052" t="s">
        <v>2087</v>
      </c>
      <c r="B2052">
        <v>62</v>
      </c>
      <c r="C2052" t="s">
        <v>16</v>
      </c>
      <c r="E2052" t="s">
        <v>37</v>
      </c>
      <c r="N2052" t="str">
        <f>_xlfn.XLOOKUP(A2052,[1]!brca_metabric_clinical_data__2[Patient ID], [1]!brca_metabric_clinical_data__2[Tumor Size])</f>
        <v>NA</v>
      </c>
      <c r="O2052" t="str">
        <f>_xlfn.XLOOKUP(A2052,[1]!brca_metabric_clinical_data__2[Sample ID],[1]!brca_metabric_clinical_data__2[Tumor Stage])</f>
        <v>NA</v>
      </c>
    </row>
    <row r="2053" spans="1:15" x14ac:dyDescent="0.45">
      <c r="A2053" t="s">
        <v>2088</v>
      </c>
      <c r="B2053">
        <v>46</v>
      </c>
      <c r="C2053" t="s">
        <v>16</v>
      </c>
      <c r="E2053" t="s">
        <v>18</v>
      </c>
      <c r="N2053" t="str">
        <f>_xlfn.XLOOKUP(A2053,[1]!brca_metabric_clinical_data__2[Patient ID], [1]!brca_metabric_clinical_data__2[Tumor Size])</f>
        <v>NA</v>
      </c>
      <c r="O2053" t="str">
        <f>_xlfn.XLOOKUP(A2053,[1]!brca_metabric_clinical_data__2[Sample ID],[1]!brca_metabric_clinical_data__2[Tumor Stage])</f>
        <v>NA</v>
      </c>
    </row>
    <row r="2054" spans="1:15" x14ac:dyDescent="0.45">
      <c r="A2054" t="s">
        <v>2089</v>
      </c>
      <c r="B2054">
        <v>75</v>
      </c>
      <c r="C2054" t="s">
        <v>16</v>
      </c>
      <c r="E2054" t="s">
        <v>37</v>
      </c>
      <c r="N2054" t="str">
        <f>_xlfn.XLOOKUP(A2054,[1]!brca_metabric_clinical_data__2[Patient ID], [1]!brca_metabric_clinical_data__2[Tumor Size])</f>
        <v>NA</v>
      </c>
      <c r="O2054" t="str">
        <f>_xlfn.XLOOKUP(A2054,[1]!brca_metabric_clinical_data__2[Sample ID],[1]!brca_metabric_clinical_data__2[Tumor Stage])</f>
        <v>NA</v>
      </c>
    </row>
    <row r="2055" spans="1:15" x14ac:dyDescent="0.45">
      <c r="A2055" t="s">
        <v>2090</v>
      </c>
      <c r="B2055">
        <v>36</v>
      </c>
      <c r="C2055" t="s">
        <v>16</v>
      </c>
      <c r="E2055" t="s">
        <v>37</v>
      </c>
      <c r="N2055" t="str">
        <f>_xlfn.XLOOKUP(A2055,[1]!brca_metabric_clinical_data__2[Patient ID], [1]!brca_metabric_clinical_data__2[Tumor Size])</f>
        <v>NA</v>
      </c>
      <c r="O2055" t="str">
        <f>_xlfn.XLOOKUP(A2055,[1]!brca_metabric_clinical_data__2[Sample ID],[1]!brca_metabric_clinical_data__2[Tumor Stage])</f>
        <v>NA</v>
      </c>
    </row>
    <row r="2056" spans="1:15" x14ac:dyDescent="0.45">
      <c r="A2056" t="s">
        <v>2091</v>
      </c>
      <c r="B2056">
        <v>39</v>
      </c>
      <c r="C2056" t="s">
        <v>16</v>
      </c>
      <c r="E2056" t="s">
        <v>18</v>
      </c>
      <c r="N2056" t="str">
        <f>_xlfn.XLOOKUP(A2056,[1]!brca_metabric_clinical_data__2[Patient ID], [1]!brca_metabric_clinical_data__2[Tumor Size])</f>
        <v>30</v>
      </c>
      <c r="O2056" t="str">
        <f>_xlfn.XLOOKUP(A2056,[1]!brca_metabric_clinical_data__2[Sample ID],[1]!brca_metabric_clinical_data__2[Tumor Stage])</f>
        <v>NA</v>
      </c>
    </row>
    <row r="2057" spans="1:15" x14ac:dyDescent="0.45">
      <c r="A2057" t="s">
        <v>2092</v>
      </c>
      <c r="C2057" t="s">
        <v>16</v>
      </c>
      <c r="N2057" t="str">
        <f>_xlfn.XLOOKUP(A2057,[1]!brca_metabric_clinical_data__2[Patient ID], [1]!brca_metabric_clinical_data__2[Tumor Size])</f>
        <v>NA</v>
      </c>
      <c r="O2057" t="str">
        <f>_xlfn.XLOOKUP(A2057,[1]!brca_metabric_clinical_data__2[Sample ID],[1]!brca_metabric_clinical_data__2[Tumor Stage])</f>
        <v>0</v>
      </c>
    </row>
    <row r="2058" spans="1:15" x14ac:dyDescent="0.45">
      <c r="A2058" t="s">
        <v>2093</v>
      </c>
      <c r="B2058">
        <v>50</v>
      </c>
      <c r="C2058" t="s">
        <v>16</v>
      </c>
      <c r="E2058" t="s">
        <v>18</v>
      </c>
      <c r="N2058" t="str">
        <f>_xlfn.XLOOKUP(A2058,[1]!brca_metabric_clinical_data__2[Patient ID], [1]!brca_metabric_clinical_data__2[Tumor Size])</f>
        <v>53</v>
      </c>
      <c r="O2058" t="str">
        <f>_xlfn.XLOOKUP(A2058,[1]!brca_metabric_clinical_data__2[Sample ID],[1]!brca_metabric_clinical_data__2[Tumor Stage])</f>
        <v>NA</v>
      </c>
    </row>
    <row r="2059" spans="1:15" x14ac:dyDescent="0.45">
      <c r="A2059" t="s">
        <v>2094</v>
      </c>
      <c r="B2059">
        <v>73</v>
      </c>
      <c r="C2059" t="s">
        <v>16</v>
      </c>
      <c r="E2059" t="s">
        <v>18</v>
      </c>
      <c r="N2059" t="str">
        <f>_xlfn.XLOOKUP(A2059,[1]!brca_metabric_clinical_data__2[Patient ID], [1]!brca_metabric_clinical_data__2[Tumor Size])</f>
        <v>13</v>
      </c>
      <c r="O2059" t="str">
        <f>_xlfn.XLOOKUP(A2059,[1]!brca_metabric_clinical_data__2[Sample ID],[1]!brca_metabric_clinical_data__2[Tumor Stage])</f>
        <v>1</v>
      </c>
    </row>
    <row r="2060" spans="1:15" x14ac:dyDescent="0.45">
      <c r="A2060" t="s">
        <v>2095</v>
      </c>
      <c r="B2060">
        <v>56.22</v>
      </c>
      <c r="C2060" t="s">
        <v>16</v>
      </c>
      <c r="E2060" t="s">
        <v>18</v>
      </c>
      <c r="N2060" t="str">
        <f>_xlfn.XLOOKUP(A2060,[1]!brca_metabric_clinical_data__2[Patient ID], [1]!brca_metabric_clinical_data__2[Tumor Size])</f>
        <v>100</v>
      </c>
      <c r="O2060" t="str">
        <f>_xlfn.XLOOKUP(A2060,[1]!brca_metabric_clinical_data__2[Sample ID],[1]!brca_metabric_clinical_data__2[Tumor Stage])</f>
        <v>3</v>
      </c>
    </row>
    <row r="2061" spans="1:15" x14ac:dyDescent="0.45">
      <c r="A2061" t="s">
        <v>2096</v>
      </c>
      <c r="B2061">
        <v>44.28</v>
      </c>
      <c r="C2061" t="s">
        <v>16</v>
      </c>
      <c r="E2061" t="s">
        <v>18</v>
      </c>
      <c r="N2061" t="str">
        <f>_xlfn.XLOOKUP(A2061,[1]!brca_metabric_clinical_data__2[Patient ID], [1]!brca_metabric_clinical_data__2[Tumor Size])</f>
        <v>10</v>
      </c>
      <c r="O2061" t="str">
        <f>_xlfn.XLOOKUP(A2061,[1]!brca_metabric_clinical_data__2[Sample ID],[1]!brca_metabric_clinical_data__2[Tumor Stage])</f>
        <v>1</v>
      </c>
    </row>
    <row r="2062" spans="1:15" x14ac:dyDescent="0.45">
      <c r="A2062" t="s">
        <v>2097</v>
      </c>
      <c r="B2062">
        <v>58.77</v>
      </c>
      <c r="C2062" t="s">
        <v>16</v>
      </c>
      <c r="E2062" t="s">
        <v>18</v>
      </c>
      <c r="N2062" t="str">
        <f>_xlfn.XLOOKUP(A2062,[1]!brca_metabric_clinical_data__2[Patient ID], [1]!brca_metabric_clinical_data__2[Tumor Size])</f>
        <v>22</v>
      </c>
      <c r="O2062" t="str">
        <f>_xlfn.XLOOKUP(A2062,[1]!brca_metabric_clinical_data__2[Sample ID],[1]!brca_metabric_clinical_data__2[Tumor Stage])</f>
        <v>1</v>
      </c>
    </row>
    <row r="2063" spans="1:15" x14ac:dyDescent="0.45">
      <c r="A2063" t="s">
        <v>2098</v>
      </c>
      <c r="B2063">
        <v>57.81</v>
      </c>
      <c r="C2063" t="s">
        <v>16</v>
      </c>
      <c r="E2063" t="s">
        <v>18</v>
      </c>
      <c r="N2063" t="str">
        <f>_xlfn.XLOOKUP(A2063,[1]!brca_metabric_clinical_data__2[Patient ID], [1]!brca_metabric_clinical_data__2[Tumor Size])</f>
        <v>20</v>
      </c>
      <c r="O2063" t="str">
        <f>_xlfn.XLOOKUP(A2063,[1]!brca_metabric_clinical_data__2[Sample ID],[1]!brca_metabric_clinical_data__2[Tumor Stage])</f>
        <v>1</v>
      </c>
    </row>
    <row r="2064" spans="1:15" x14ac:dyDescent="0.45">
      <c r="A2064" t="s">
        <v>2099</v>
      </c>
      <c r="B2064">
        <v>50.1</v>
      </c>
      <c r="C2064" t="s">
        <v>16</v>
      </c>
      <c r="E2064" t="s">
        <v>18</v>
      </c>
      <c r="N2064" t="str">
        <f>_xlfn.XLOOKUP(A2064,[1]!brca_metabric_clinical_data__2[Patient ID], [1]!brca_metabric_clinical_data__2[Tumor Size])</f>
        <v>13</v>
      </c>
      <c r="O2064" t="str">
        <f>_xlfn.XLOOKUP(A2064,[1]!brca_metabric_clinical_data__2[Sample ID],[1]!brca_metabric_clinical_data__2[Tumor Stage])</f>
        <v>1</v>
      </c>
    </row>
    <row r="2065" spans="1:15" x14ac:dyDescent="0.45">
      <c r="A2065" t="s">
        <v>2100</v>
      </c>
      <c r="B2065">
        <v>40.840000000000003</v>
      </c>
      <c r="C2065" t="s">
        <v>16</v>
      </c>
      <c r="E2065" t="s">
        <v>18</v>
      </c>
      <c r="N2065" t="str">
        <f>_xlfn.XLOOKUP(A2065,[1]!brca_metabric_clinical_data__2[Patient ID], [1]!brca_metabric_clinical_data__2[Tumor Size])</f>
        <v>35</v>
      </c>
      <c r="O2065" t="str">
        <f>_xlfn.XLOOKUP(A2065,[1]!brca_metabric_clinical_data__2[Sample ID],[1]!brca_metabric_clinical_data__2[Tumor Stage])</f>
        <v>2</v>
      </c>
    </row>
    <row r="2066" spans="1:15" x14ac:dyDescent="0.45">
      <c r="A2066" t="s">
        <v>2101</v>
      </c>
      <c r="B2066">
        <v>51.24</v>
      </c>
      <c r="C2066" t="s">
        <v>16</v>
      </c>
      <c r="E2066" t="s">
        <v>18</v>
      </c>
      <c r="N2066" t="str">
        <f>_xlfn.XLOOKUP(A2066,[1]!brca_metabric_clinical_data__2[Patient ID], [1]!brca_metabric_clinical_data__2[Tumor Size])</f>
        <v>15</v>
      </c>
      <c r="O2066" t="str">
        <f>_xlfn.XLOOKUP(A2066,[1]!brca_metabric_clinical_data__2[Sample ID],[1]!brca_metabric_clinical_data__2[Tumor Stage])</f>
        <v>2</v>
      </c>
    </row>
    <row r="2067" spans="1:15" x14ac:dyDescent="0.45">
      <c r="A2067" t="s">
        <v>2102</v>
      </c>
      <c r="B2067">
        <v>32.840000000000003</v>
      </c>
      <c r="C2067" t="s">
        <v>16</v>
      </c>
      <c r="E2067" t="s">
        <v>37</v>
      </c>
      <c r="N2067" t="str">
        <f>_xlfn.XLOOKUP(A2067,[1]!brca_metabric_clinical_data__2[Patient ID], [1]!brca_metabric_clinical_data__2[Tumor Size])</f>
        <v>7</v>
      </c>
      <c r="O2067" t="str">
        <f>_xlfn.XLOOKUP(A2067,[1]!brca_metabric_clinical_data__2[Sample ID],[1]!brca_metabric_clinical_data__2[Tumor Stage])</f>
        <v>1</v>
      </c>
    </row>
    <row r="2068" spans="1:15" x14ac:dyDescent="0.45">
      <c r="A2068" t="s">
        <v>2103</v>
      </c>
      <c r="B2068">
        <v>64.2</v>
      </c>
      <c r="C2068" t="s">
        <v>16</v>
      </c>
      <c r="E2068" t="s">
        <v>18</v>
      </c>
      <c r="N2068" t="str">
        <f>_xlfn.XLOOKUP(A2068,[1]!brca_metabric_clinical_data__2[Patient ID], [1]!brca_metabric_clinical_data__2[Tumor Size])</f>
        <v>32</v>
      </c>
      <c r="O2068" t="str">
        <f>_xlfn.XLOOKUP(A2068,[1]!brca_metabric_clinical_data__2[Sample ID],[1]!brca_metabric_clinical_data__2[Tumor Stage])</f>
        <v>1</v>
      </c>
    </row>
    <row r="2069" spans="1:15" x14ac:dyDescent="0.45">
      <c r="A2069" t="s">
        <v>2104</v>
      </c>
      <c r="B2069">
        <v>38.6</v>
      </c>
      <c r="C2069" t="s">
        <v>16</v>
      </c>
      <c r="E2069" t="s">
        <v>18</v>
      </c>
      <c r="N2069" t="str">
        <f>_xlfn.XLOOKUP(A2069,[1]!brca_metabric_clinical_data__2[Patient ID], [1]!brca_metabric_clinical_data__2[Tumor Size])</f>
        <v>12</v>
      </c>
      <c r="O2069" t="str">
        <f>_xlfn.XLOOKUP(A2069,[1]!brca_metabric_clinical_data__2[Sample ID],[1]!brca_metabric_clinical_data__2[Tumor Stage])</f>
        <v>1</v>
      </c>
    </row>
    <row r="2070" spans="1:15" x14ac:dyDescent="0.45">
      <c r="A2070" t="s">
        <v>2105</v>
      </c>
      <c r="B2070">
        <v>50.65</v>
      </c>
      <c r="C2070" t="s">
        <v>16</v>
      </c>
      <c r="E2070" t="s">
        <v>37</v>
      </c>
      <c r="N2070" t="str">
        <f>_xlfn.XLOOKUP(A2070,[1]!brca_metabric_clinical_data__2[Patient ID], [1]!brca_metabric_clinical_data__2[Tumor Size])</f>
        <v>19</v>
      </c>
      <c r="O2070" t="str">
        <f>_xlfn.XLOOKUP(A2070,[1]!brca_metabric_clinical_data__2[Sample ID],[1]!brca_metabric_clinical_data__2[Tumor Stage])</f>
        <v>2</v>
      </c>
    </row>
    <row r="2071" spans="1:15" x14ac:dyDescent="0.45">
      <c r="A2071" t="s">
        <v>2106</v>
      </c>
      <c r="B2071">
        <v>56.49</v>
      </c>
      <c r="C2071" t="s">
        <v>16</v>
      </c>
      <c r="E2071" t="s">
        <v>37</v>
      </c>
      <c r="N2071" t="str">
        <f>_xlfn.XLOOKUP(A2071,[1]!brca_metabric_clinical_data__2[Patient ID], [1]!brca_metabric_clinical_data__2[Tumor Size])</f>
        <v>49</v>
      </c>
      <c r="O2071" t="str">
        <f>_xlfn.XLOOKUP(A2071,[1]!brca_metabric_clinical_data__2[Sample ID],[1]!brca_metabric_clinical_data__2[Tumor Stage])</f>
        <v>1</v>
      </c>
    </row>
    <row r="2072" spans="1:15" x14ac:dyDescent="0.45">
      <c r="A2072" t="s">
        <v>2107</v>
      </c>
      <c r="B2072">
        <v>65.7</v>
      </c>
      <c r="C2072" t="s">
        <v>16</v>
      </c>
      <c r="E2072" t="s">
        <v>37</v>
      </c>
      <c r="N2072" t="str">
        <f>_xlfn.XLOOKUP(A2072,[1]!brca_metabric_clinical_data__2[Patient ID], [1]!brca_metabric_clinical_data__2[Tumor Size])</f>
        <v>18</v>
      </c>
      <c r="O2072" t="str">
        <f>_xlfn.XLOOKUP(A2072,[1]!brca_metabric_clinical_data__2[Sample ID],[1]!brca_metabric_clinical_data__2[Tumor Stage])</f>
        <v>1</v>
      </c>
    </row>
    <row r="2073" spans="1:15" x14ac:dyDescent="0.45">
      <c r="A2073" t="s">
        <v>2108</v>
      </c>
      <c r="B2073">
        <v>54.54</v>
      </c>
      <c r="C2073" t="s">
        <v>16</v>
      </c>
      <c r="E2073" t="s">
        <v>18</v>
      </c>
      <c r="N2073" t="str">
        <f>_xlfn.XLOOKUP(A2073,[1]!brca_metabric_clinical_data__2[Patient ID], [1]!brca_metabric_clinical_data__2[Tumor Size])</f>
        <v>25</v>
      </c>
      <c r="O2073" t="str">
        <f>_xlfn.XLOOKUP(A2073,[1]!brca_metabric_clinical_data__2[Sample ID],[1]!brca_metabric_clinical_data__2[Tumor Stage])</f>
        <v>2</v>
      </c>
    </row>
    <row r="2074" spans="1:15" x14ac:dyDescent="0.45">
      <c r="A2074" t="s">
        <v>2109</v>
      </c>
      <c r="B2074">
        <v>62.14</v>
      </c>
      <c r="C2074" t="s">
        <v>16</v>
      </c>
      <c r="E2074" t="s">
        <v>37</v>
      </c>
      <c r="N2074" t="str">
        <f>_xlfn.XLOOKUP(A2074,[1]!brca_metabric_clinical_data__2[Patient ID], [1]!brca_metabric_clinical_data__2[Tumor Size])</f>
        <v>15</v>
      </c>
      <c r="O2074" t="str">
        <f>_xlfn.XLOOKUP(A2074,[1]!brca_metabric_clinical_data__2[Sample ID],[1]!brca_metabric_clinical_data__2[Tumor Stage])</f>
        <v>1</v>
      </c>
    </row>
    <row r="2075" spans="1:15" x14ac:dyDescent="0.45">
      <c r="A2075" t="s">
        <v>2110</v>
      </c>
      <c r="B2075">
        <v>52.63</v>
      </c>
      <c r="C2075" t="s">
        <v>16</v>
      </c>
      <c r="E2075" t="s">
        <v>37</v>
      </c>
      <c r="N2075" t="str">
        <f>_xlfn.XLOOKUP(A2075,[1]!brca_metabric_clinical_data__2[Patient ID], [1]!brca_metabric_clinical_data__2[Tumor Size])</f>
        <v>15</v>
      </c>
      <c r="O2075" t="str">
        <f>_xlfn.XLOOKUP(A2075,[1]!brca_metabric_clinical_data__2[Sample ID],[1]!brca_metabric_clinical_data__2[Tumor Stage])</f>
        <v>1</v>
      </c>
    </row>
    <row r="2076" spans="1:15" x14ac:dyDescent="0.45">
      <c r="A2076" t="s">
        <v>2111</v>
      </c>
      <c r="B2076">
        <v>54.84</v>
      </c>
      <c r="C2076" t="s">
        <v>16</v>
      </c>
      <c r="E2076" t="s">
        <v>37</v>
      </c>
      <c r="N2076" t="str">
        <f>_xlfn.XLOOKUP(A2076,[1]!brca_metabric_clinical_data__2[Patient ID], [1]!brca_metabric_clinical_data__2[Tumor Size])</f>
        <v>20</v>
      </c>
      <c r="O2076" t="str">
        <f>_xlfn.XLOOKUP(A2076,[1]!brca_metabric_clinical_data__2[Sample ID],[1]!brca_metabric_clinical_data__2[Tumor Stage])</f>
        <v>1</v>
      </c>
    </row>
    <row r="2077" spans="1:15" x14ac:dyDescent="0.45">
      <c r="A2077" t="s">
        <v>2112</v>
      </c>
      <c r="B2077">
        <v>50.52</v>
      </c>
      <c r="C2077" t="s">
        <v>16</v>
      </c>
      <c r="E2077" t="s">
        <v>37</v>
      </c>
      <c r="N2077" t="str">
        <f>_xlfn.XLOOKUP(A2077,[1]!brca_metabric_clinical_data__2[Patient ID], [1]!brca_metabric_clinical_data__2[Tumor Size])</f>
        <v>30</v>
      </c>
      <c r="O2077" t="str">
        <f>_xlfn.XLOOKUP(A2077,[1]!brca_metabric_clinical_data__2[Sample ID],[1]!brca_metabric_clinical_data__2[Tumor Stage])</f>
        <v>2</v>
      </c>
    </row>
    <row r="2078" spans="1:15" x14ac:dyDescent="0.45">
      <c r="A2078" t="s">
        <v>2113</v>
      </c>
      <c r="B2078">
        <v>39.78</v>
      </c>
      <c r="C2078" t="s">
        <v>16</v>
      </c>
      <c r="E2078" t="s">
        <v>37</v>
      </c>
      <c r="N2078" t="str">
        <f>_xlfn.XLOOKUP(A2078,[1]!brca_metabric_clinical_data__2[Patient ID], [1]!brca_metabric_clinical_data__2[Tumor Size])</f>
        <v>15</v>
      </c>
      <c r="O2078" t="str">
        <f>_xlfn.XLOOKUP(A2078,[1]!brca_metabric_clinical_data__2[Sample ID],[1]!brca_metabric_clinical_data__2[Tumor Stage])</f>
        <v>2</v>
      </c>
    </row>
    <row r="2079" spans="1:15" x14ac:dyDescent="0.45">
      <c r="A2079" t="s">
        <v>2114</v>
      </c>
      <c r="B2079">
        <v>47</v>
      </c>
      <c r="C2079" t="s">
        <v>16</v>
      </c>
      <c r="E2079" t="s">
        <v>37</v>
      </c>
      <c r="N2079" t="str">
        <f>_xlfn.XLOOKUP(A2079,[1]!brca_metabric_clinical_data__2[Patient ID], [1]!brca_metabric_clinical_data__2[Tumor Size])</f>
        <v>45</v>
      </c>
      <c r="O2079" t="str">
        <f>_xlfn.XLOOKUP(A2079,[1]!brca_metabric_clinical_data__2[Sample ID],[1]!brca_metabric_clinical_data__2[Tumor Stage])</f>
        <v>2</v>
      </c>
    </row>
    <row r="2080" spans="1:15" x14ac:dyDescent="0.45">
      <c r="A2080" t="s">
        <v>2115</v>
      </c>
      <c r="B2080">
        <v>50.22</v>
      </c>
      <c r="C2080" t="s">
        <v>16</v>
      </c>
      <c r="E2080" t="s">
        <v>18</v>
      </c>
      <c r="N2080" t="str">
        <f>_xlfn.XLOOKUP(A2080,[1]!brca_metabric_clinical_data__2[Patient ID], [1]!brca_metabric_clinical_data__2[Tumor Size])</f>
        <v>23</v>
      </c>
      <c r="O2080" t="str">
        <f>_xlfn.XLOOKUP(A2080,[1]!brca_metabric_clinical_data__2[Sample ID],[1]!brca_metabric_clinical_data__2[Tumor Stage])</f>
        <v>1</v>
      </c>
    </row>
    <row r="2081" spans="1:15" x14ac:dyDescent="0.45">
      <c r="A2081" t="s">
        <v>2116</v>
      </c>
      <c r="B2081">
        <v>41.52</v>
      </c>
      <c r="C2081" t="s">
        <v>16</v>
      </c>
      <c r="E2081" t="s">
        <v>37</v>
      </c>
      <c r="N2081" t="str">
        <f>_xlfn.XLOOKUP(A2081,[1]!brca_metabric_clinical_data__2[Patient ID], [1]!brca_metabric_clinical_data__2[Tumor Size])</f>
        <v>42</v>
      </c>
      <c r="O2081" t="str">
        <f>_xlfn.XLOOKUP(A2081,[1]!brca_metabric_clinical_data__2[Sample ID],[1]!brca_metabric_clinical_data__2[Tumor Stage])</f>
        <v>3</v>
      </c>
    </row>
    <row r="2082" spans="1:15" x14ac:dyDescent="0.45">
      <c r="A2082" t="s">
        <v>2117</v>
      </c>
      <c r="B2082">
        <v>47.13</v>
      </c>
      <c r="C2082" t="s">
        <v>16</v>
      </c>
      <c r="E2082" t="s">
        <v>37</v>
      </c>
      <c r="N2082" t="str">
        <f>_xlfn.XLOOKUP(A2082,[1]!brca_metabric_clinical_data__2[Patient ID], [1]!brca_metabric_clinical_data__2[Tumor Size])</f>
        <v>13</v>
      </c>
      <c r="O2082" t="str">
        <f>_xlfn.XLOOKUP(A2082,[1]!brca_metabric_clinical_data__2[Sample ID],[1]!brca_metabric_clinical_data__2[Tumor Stage])</f>
        <v>1</v>
      </c>
    </row>
    <row r="2083" spans="1:15" x14ac:dyDescent="0.45">
      <c r="A2083" t="s">
        <v>2118</v>
      </c>
      <c r="B2083">
        <v>50.34</v>
      </c>
      <c r="C2083" t="s">
        <v>16</v>
      </c>
      <c r="E2083" t="s">
        <v>37</v>
      </c>
      <c r="N2083" t="str">
        <f>_xlfn.XLOOKUP(A2083,[1]!brca_metabric_clinical_data__2[Patient ID], [1]!brca_metabric_clinical_data__2[Tumor Size])</f>
        <v>30</v>
      </c>
      <c r="O2083" t="str">
        <f>_xlfn.XLOOKUP(A2083,[1]!brca_metabric_clinical_data__2[Sample ID],[1]!brca_metabric_clinical_data__2[Tumor Stage])</f>
        <v>NA</v>
      </c>
    </row>
    <row r="2084" spans="1:15" x14ac:dyDescent="0.45">
      <c r="A2084" t="s">
        <v>2119</v>
      </c>
      <c r="B2084">
        <v>50</v>
      </c>
      <c r="C2084" t="s">
        <v>16</v>
      </c>
      <c r="E2084" t="s">
        <v>37</v>
      </c>
      <c r="N2084" t="str">
        <f>_xlfn.XLOOKUP(A2084,[1]!brca_metabric_clinical_data__2[Patient ID], [1]!brca_metabric_clinical_data__2[Tumor Size])</f>
        <v>22</v>
      </c>
      <c r="O2084" t="str">
        <f>_xlfn.XLOOKUP(A2084,[1]!brca_metabric_clinical_data__2[Sample ID],[1]!brca_metabric_clinical_data__2[Tumor Stage])</f>
        <v>NA</v>
      </c>
    </row>
    <row r="2085" spans="1:15" x14ac:dyDescent="0.45">
      <c r="A2085" t="s">
        <v>2120</v>
      </c>
      <c r="B2085">
        <v>40.200000000000003</v>
      </c>
      <c r="C2085" t="s">
        <v>16</v>
      </c>
      <c r="E2085" t="s">
        <v>37</v>
      </c>
      <c r="N2085" t="str">
        <f>_xlfn.XLOOKUP(A2085,[1]!brca_metabric_clinical_data__2[Patient ID], [1]!brca_metabric_clinical_data__2[Tumor Size])</f>
        <v>17</v>
      </c>
      <c r="O2085" t="str">
        <f>_xlfn.XLOOKUP(A2085,[1]!brca_metabric_clinical_data__2[Sample ID],[1]!brca_metabric_clinical_data__2[Tumor Stage])</f>
        <v>NA</v>
      </c>
    </row>
    <row r="2086" spans="1:15" x14ac:dyDescent="0.45">
      <c r="A2086" t="s">
        <v>2121</v>
      </c>
      <c r="B2086">
        <v>56.65</v>
      </c>
      <c r="C2086" t="s">
        <v>16</v>
      </c>
      <c r="E2086" t="s">
        <v>37</v>
      </c>
      <c r="N2086" t="str">
        <f>_xlfn.XLOOKUP(A2086,[1]!brca_metabric_clinical_data__2[Patient ID], [1]!brca_metabric_clinical_data__2[Tumor Size])</f>
        <v>13.6</v>
      </c>
      <c r="O2086" t="str">
        <f>_xlfn.XLOOKUP(A2086,[1]!brca_metabric_clinical_data__2[Sample ID],[1]!brca_metabric_clinical_data__2[Tumor Stage])</f>
        <v>NA</v>
      </c>
    </row>
    <row r="2087" spans="1:15" x14ac:dyDescent="0.45">
      <c r="A2087" t="s">
        <v>2122</v>
      </c>
      <c r="B2087">
        <v>83.87</v>
      </c>
      <c r="C2087" t="s">
        <v>16</v>
      </c>
      <c r="E2087" t="s">
        <v>18</v>
      </c>
      <c r="N2087" t="str">
        <f>_xlfn.XLOOKUP(A2087,[1]!brca_metabric_clinical_data__2[Patient ID], [1]!brca_metabric_clinical_data__2[Tumor Size])</f>
        <v>25</v>
      </c>
      <c r="O2087" t="str">
        <f>_xlfn.XLOOKUP(A2087,[1]!brca_metabric_clinical_data__2[Sample ID],[1]!brca_metabric_clinical_data__2[Tumor Stage])</f>
        <v>NA</v>
      </c>
    </row>
    <row r="2088" spans="1:15" x14ac:dyDescent="0.45">
      <c r="A2088" t="s">
        <v>2123</v>
      </c>
      <c r="B2088">
        <v>68.05</v>
      </c>
      <c r="C2088" t="s">
        <v>16</v>
      </c>
      <c r="E2088" t="s">
        <v>37</v>
      </c>
      <c r="N2088" t="str">
        <f>_xlfn.XLOOKUP(A2088,[1]!brca_metabric_clinical_data__2[Patient ID], [1]!brca_metabric_clinical_data__2[Tumor Size])</f>
        <v>35</v>
      </c>
      <c r="O2088" t="str">
        <f>_xlfn.XLOOKUP(A2088,[1]!brca_metabric_clinical_data__2[Sample ID],[1]!brca_metabric_clinical_data__2[Tumor Stage])</f>
        <v>NA</v>
      </c>
    </row>
    <row r="2089" spans="1:15" x14ac:dyDescent="0.45">
      <c r="A2089" t="s">
        <v>2124</v>
      </c>
      <c r="B2089">
        <v>75.680000000000007</v>
      </c>
      <c r="C2089" t="s">
        <v>16</v>
      </c>
      <c r="E2089" t="s">
        <v>37</v>
      </c>
      <c r="N2089" t="str">
        <f>_xlfn.XLOOKUP(A2089,[1]!brca_metabric_clinical_data__2[Patient ID], [1]!brca_metabric_clinical_data__2[Tumor Size])</f>
        <v>45</v>
      </c>
      <c r="O2089" t="str">
        <f>_xlfn.XLOOKUP(A2089,[1]!brca_metabric_clinical_data__2[Sample ID],[1]!brca_metabric_clinical_data__2[Tumor Stage])</f>
        <v>NA</v>
      </c>
    </row>
    <row r="2090" spans="1:15" x14ac:dyDescent="0.45">
      <c r="A2090" t="s">
        <v>2125</v>
      </c>
      <c r="B2090">
        <v>40.409999999999997</v>
      </c>
      <c r="C2090" t="s">
        <v>16</v>
      </c>
      <c r="E2090" t="s">
        <v>37</v>
      </c>
      <c r="N2090" t="str">
        <f>_xlfn.XLOOKUP(A2090,[1]!brca_metabric_clinical_data__2[Patient ID], [1]!brca_metabric_clinical_data__2[Tumor Size])</f>
        <v>8</v>
      </c>
      <c r="O2090" t="str">
        <f>_xlfn.XLOOKUP(A2090,[1]!brca_metabric_clinical_data__2[Sample ID],[1]!brca_metabric_clinical_data__2[Tumor Stage])</f>
        <v>NA</v>
      </c>
    </row>
    <row r="2091" spans="1:15" x14ac:dyDescent="0.45">
      <c r="A2091" t="s">
        <v>2126</v>
      </c>
      <c r="B2091">
        <v>80.790000000000006</v>
      </c>
      <c r="C2091" t="s">
        <v>16</v>
      </c>
      <c r="E2091" t="s">
        <v>37</v>
      </c>
      <c r="N2091" t="str">
        <f>_xlfn.XLOOKUP(A2091,[1]!brca_metabric_clinical_data__2[Patient ID], [1]!brca_metabric_clinical_data__2[Tumor Size])</f>
        <v>55</v>
      </c>
      <c r="O2091" t="str">
        <f>_xlfn.XLOOKUP(A2091,[1]!brca_metabric_clinical_data__2[Sample ID],[1]!brca_metabric_clinical_data__2[Tumor Stage])</f>
        <v>NA</v>
      </c>
    </row>
    <row r="2092" spans="1:15" x14ac:dyDescent="0.45">
      <c r="A2092" t="s">
        <v>2127</v>
      </c>
      <c r="B2092">
        <v>46.65</v>
      </c>
      <c r="C2092" t="s">
        <v>16</v>
      </c>
      <c r="E2092" t="s">
        <v>37</v>
      </c>
      <c r="N2092" t="str">
        <f>_xlfn.XLOOKUP(A2092,[1]!brca_metabric_clinical_data__2[Patient ID], [1]!brca_metabric_clinical_data__2[Tumor Size])</f>
        <v>66</v>
      </c>
      <c r="O2092" t="str">
        <f>_xlfn.XLOOKUP(A2092,[1]!brca_metabric_clinical_data__2[Sample ID],[1]!brca_metabric_clinical_data__2[Tumor Stage])</f>
        <v>NA</v>
      </c>
    </row>
    <row r="2093" spans="1:15" x14ac:dyDescent="0.45">
      <c r="A2093" t="s">
        <v>2128</v>
      </c>
      <c r="B2093">
        <v>88.45</v>
      </c>
      <c r="C2093" t="s">
        <v>16</v>
      </c>
      <c r="E2093" t="s">
        <v>18</v>
      </c>
      <c r="N2093" t="str">
        <f>_xlfn.XLOOKUP(A2093,[1]!brca_metabric_clinical_data__2[Patient ID], [1]!brca_metabric_clinical_data__2[Tumor Size])</f>
        <v>24</v>
      </c>
      <c r="O2093" t="str">
        <f>_xlfn.XLOOKUP(A2093,[1]!brca_metabric_clinical_data__2[Sample ID],[1]!brca_metabric_clinical_data__2[Tumor Stage])</f>
        <v>NA</v>
      </c>
    </row>
    <row r="2094" spans="1:15" x14ac:dyDescent="0.45">
      <c r="A2094" t="s">
        <v>2129</v>
      </c>
      <c r="B2094">
        <v>75.61</v>
      </c>
      <c r="C2094" t="s">
        <v>16</v>
      </c>
      <c r="E2094" t="s">
        <v>18</v>
      </c>
      <c r="N2094" t="str">
        <f>_xlfn.XLOOKUP(A2094,[1]!brca_metabric_clinical_data__2[Patient ID], [1]!brca_metabric_clinical_data__2[Tumor Size])</f>
        <v>40</v>
      </c>
      <c r="O2094" t="str">
        <f>_xlfn.XLOOKUP(A2094,[1]!brca_metabric_clinical_data__2[Sample ID],[1]!brca_metabric_clinical_data__2[Tumor Stage])</f>
        <v>NA</v>
      </c>
    </row>
    <row r="2095" spans="1:15" x14ac:dyDescent="0.45">
      <c r="A2095" t="s">
        <v>2130</v>
      </c>
      <c r="B2095">
        <v>58.85</v>
      </c>
      <c r="C2095" t="s">
        <v>16</v>
      </c>
      <c r="E2095" t="s">
        <v>18</v>
      </c>
      <c r="N2095" t="str">
        <f>_xlfn.XLOOKUP(A2095,[1]!brca_metabric_clinical_data__2[Patient ID], [1]!brca_metabric_clinical_data__2[Tumor Size])</f>
        <v>20</v>
      </c>
      <c r="O2095" t="str">
        <f>_xlfn.XLOOKUP(A2095,[1]!brca_metabric_clinical_data__2[Sample ID],[1]!brca_metabric_clinical_data__2[Tumor Stage])</f>
        <v>NA</v>
      </c>
    </row>
    <row r="2096" spans="1:15" x14ac:dyDescent="0.45">
      <c r="A2096" t="s">
        <v>2131</v>
      </c>
      <c r="B2096">
        <v>43.28</v>
      </c>
      <c r="C2096" t="s">
        <v>16</v>
      </c>
      <c r="E2096" t="s">
        <v>37</v>
      </c>
      <c r="N2096" t="str">
        <f>_xlfn.XLOOKUP(A2096,[1]!brca_metabric_clinical_data__2[Patient ID], [1]!brca_metabric_clinical_data__2[Tumor Size])</f>
        <v>25</v>
      </c>
      <c r="O2096" t="str">
        <f>_xlfn.XLOOKUP(A2096,[1]!brca_metabric_clinical_data__2[Sample ID],[1]!brca_metabric_clinical_data__2[Tumor Stage])</f>
        <v>NA</v>
      </c>
    </row>
    <row r="2097" spans="1:15" x14ac:dyDescent="0.45">
      <c r="A2097" t="s">
        <v>2132</v>
      </c>
      <c r="B2097">
        <v>56.8</v>
      </c>
      <c r="C2097" t="s">
        <v>16</v>
      </c>
      <c r="E2097" t="s">
        <v>18</v>
      </c>
      <c r="N2097" t="str">
        <f>_xlfn.XLOOKUP(A2097,[1]!brca_metabric_clinical_data__2[Patient ID], [1]!brca_metabric_clinical_data__2[Tumor Size])</f>
        <v>20.8</v>
      </c>
      <c r="O2097" t="str">
        <f>_xlfn.XLOOKUP(A2097,[1]!brca_metabric_clinical_data__2[Sample ID],[1]!brca_metabric_clinical_data__2[Tumor Stage])</f>
        <v>NA</v>
      </c>
    </row>
    <row r="2098" spans="1:15" x14ac:dyDescent="0.45">
      <c r="A2098" t="s">
        <v>2133</v>
      </c>
      <c r="B2098">
        <v>50.99</v>
      </c>
      <c r="C2098" t="s">
        <v>16</v>
      </c>
      <c r="E2098" t="s">
        <v>18</v>
      </c>
      <c r="N2098" t="str">
        <f>_xlfn.XLOOKUP(A2098,[1]!brca_metabric_clinical_data__2[Patient ID], [1]!brca_metabric_clinical_data__2[Tumor Size])</f>
        <v>27.3</v>
      </c>
      <c r="O2098" t="str">
        <f>_xlfn.XLOOKUP(A2098,[1]!brca_metabric_clinical_data__2[Sample ID],[1]!brca_metabric_clinical_data__2[Tumor Stage])</f>
        <v>NA</v>
      </c>
    </row>
    <row r="2099" spans="1:15" x14ac:dyDescent="0.45">
      <c r="A2099" t="s">
        <v>2134</v>
      </c>
      <c r="B2099">
        <v>47.93</v>
      </c>
      <c r="C2099" t="s">
        <v>16</v>
      </c>
      <c r="E2099" t="s">
        <v>37</v>
      </c>
      <c r="N2099" t="str">
        <f>_xlfn.XLOOKUP(A2099,[1]!brca_metabric_clinical_data__2[Patient ID], [1]!brca_metabric_clinical_data__2[Tumor Size])</f>
        <v>21</v>
      </c>
      <c r="O2099" t="str">
        <f>_xlfn.XLOOKUP(A2099,[1]!brca_metabric_clinical_data__2[Sample ID],[1]!brca_metabric_clinical_data__2[Tumor Stage])</f>
        <v>NA</v>
      </c>
    </row>
    <row r="2100" spans="1:15" x14ac:dyDescent="0.45">
      <c r="A2100" t="s">
        <v>2135</v>
      </c>
      <c r="B2100">
        <v>77.73</v>
      </c>
      <c r="C2100" t="s">
        <v>16</v>
      </c>
      <c r="E2100" t="s">
        <v>18</v>
      </c>
      <c r="N2100" t="str">
        <f>_xlfn.XLOOKUP(A2100,[1]!brca_metabric_clinical_data__2[Patient ID], [1]!brca_metabric_clinical_data__2[Tumor Size])</f>
        <v>25</v>
      </c>
      <c r="O2100" t="str">
        <f>_xlfn.XLOOKUP(A2100,[1]!brca_metabric_clinical_data__2[Sample ID],[1]!brca_metabric_clinical_data__2[Tumor Stage])</f>
        <v>NA</v>
      </c>
    </row>
    <row r="2101" spans="1:15" x14ac:dyDescent="0.45">
      <c r="A2101" t="s">
        <v>2136</v>
      </c>
      <c r="B2101">
        <v>65.239999999999995</v>
      </c>
      <c r="C2101" t="s">
        <v>16</v>
      </c>
      <c r="E2101" t="s">
        <v>18</v>
      </c>
      <c r="N2101" t="str">
        <f>_xlfn.XLOOKUP(A2101,[1]!brca_metabric_clinical_data__2[Patient ID], [1]!brca_metabric_clinical_data__2[Tumor Size])</f>
        <v>21.1</v>
      </c>
      <c r="O2101" t="str">
        <f>_xlfn.XLOOKUP(A2101,[1]!brca_metabric_clinical_data__2[Sample ID],[1]!brca_metabric_clinical_data__2[Tumor Stage])</f>
        <v>NA</v>
      </c>
    </row>
    <row r="2102" spans="1:15" x14ac:dyDescent="0.45">
      <c r="A2102" t="s">
        <v>2137</v>
      </c>
      <c r="B2102">
        <v>72.77</v>
      </c>
      <c r="C2102" t="s">
        <v>16</v>
      </c>
      <c r="E2102" t="s">
        <v>18</v>
      </c>
      <c r="N2102" t="str">
        <f>_xlfn.XLOOKUP(A2102,[1]!brca_metabric_clinical_data__2[Patient ID], [1]!brca_metabric_clinical_data__2[Tumor Size])</f>
        <v>22.8</v>
      </c>
      <c r="O2102" t="str">
        <f>_xlfn.XLOOKUP(A2102,[1]!brca_metabric_clinical_data__2[Sample ID],[1]!brca_metabric_clinical_data__2[Tumor Stage])</f>
        <v>NA</v>
      </c>
    </row>
    <row r="2103" spans="1:15" x14ac:dyDescent="0.45">
      <c r="A2103" t="s">
        <v>2138</v>
      </c>
      <c r="B2103">
        <v>52.28</v>
      </c>
      <c r="C2103" t="s">
        <v>16</v>
      </c>
      <c r="E2103" t="s">
        <v>18</v>
      </c>
      <c r="N2103" t="str">
        <f>_xlfn.XLOOKUP(A2103,[1]!brca_metabric_clinical_data__2[Patient ID], [1]!brca_metabric_clinical_data__2[Tumor Size])</f>
        <v>47</v>
      </c>
      <c r="O2103" t="str">
        <f>_xlfn.XLOOKUP(A2103,[1]!brca_metabric_clinical_data__2[Sample ID],[1]!brca_metabric_clinical_data__2[Tumor Stage])</f>
        <v>NA</v>
      </c>
    </row>
    <row r="2104" spans="1:15" x14ac:dyDescent="0.45">
      <c r="A2104" t="s">
        <v>2139</v>
      </c>
      <c r="B2104">
        <v>82.41</v>
      </c>
      <c r="C2104" t="s">
        <v>16</v>
      </c>
      <c r="E2104" t="s">
        <v>37</v>
      </c>
      <c r="N2104" t="str">
        <f>_xlfn.XLOOKUP(A2104,[1]!brca_metabric_clinical_data__2[Patient ID], [1]!brca_metabric_clinical_data__2[Tumor Size])</f>
        <v>45</v>
      </c>
      <c r="O2104" t="str">
        <f>_xlfn.XLOOKUP(A2104,[1]!brca_metabric_clinical_data__2[Sample ID],[1]!brca_metabric_clinical_data__2[Tumor Stage])</f>
        <v>NA</v>
      </c>
    </row>
    <row r="2105" spans="1:15" x14ac:dyDescent="0.45">
      <c r="A2105" t="s">
        <v>2140</v>
      </c>
      <c r="B2105">
        <v>66.13</v>
      </c>
      <c r="C2105" t="s">
        <v>16</v>
      </c>
      <c r="E2105" t="s">
        <v>18</v>
      </c>
      <c r="N2105" t="str">
        <f>_xlfn.XLOOKUP(A2105,[1]!brca_metabric_clinical_data__2[Patient ID], [1]!brca_metabric_clinical_data__2[Tumor Size])</f>
        <v>NA</v>
      </c>
      <c r="O2105" t="str">
        <f>_xlfn.XLOOKUP(A2105,[1]!brca_metabric_clinical_data__2[Sample ID],[1]!brca_metabric_clinical_data__2[Tumor Stage])</f>
        <v>NA</v>
      </c>
    </row>
    <row r="2106" spans="1:15" x14ac:dyDescent="0.45">
      <c r="A2106" t="s">
        <v>2141</v>
      </c>
      <c r="B2106">
        <v>54.59</v>
      </c>
      <c r="C2106" t="s">
        <v>16</v>
      </c>
      <c r="E2106" t="s">
        <v>37</v>
      </c>
      <c r="N2106" t="str">
        <f>_xlfn.XLOOKUP(A2106,[1]!brca_metabric_clinical_data__2[Patient ID], [1]!brca_metabric_clinical_data__2[Tumor Size])</f>
        <v>26</v>
      </c>
      <c r="O2106" t="str">
        <f>_xlfn.XLOOKUP(A2106,[1]!brca_metabric_clinical_data__2[Sample ID],[1]!brca_metabric_clinical_data__2[Tumor Stage])</f>
        <v>NA</v>
      </c>
    </row>
    <row r="2107" spans="1:15" x14ac:dyDescent="0.45">
      <c r="A2107" t="s">
        <v>2142</v>
      </c>
      <c r="B2107">
        <v>70.34</v>
      </c>
      <c r="C2107" t="s">
        <v>16</v>
      </c>
      <c r="E2107" t="s">
        <v>18</v>
      </c>
      <c r="N2107" t="str">
        <f>_xlfn.XLOOKUP(A2107,[1]!brca_metabric_clinical_data__2[Patient ID], [1]!brca_metabric_clinical_data__2[Tumor Size])</f>
        <v>21</v>
      </c>
      <c r="O2107" t="str">
        <f>_xlfn.XLOOKUP(A2107,[1]!brca_metabric_clinical_data__2[Sample ID],[1]!brca_metabric_clinical_data__2[Tumor Stage])</f>
        <v>NA</v>
      </c>
    </row>
    <row r="2108" spans="1:15" x14ac:dyDescent="0.45">
      <c r="A2108" t="s">
        <v>2143</v>
      </c>
      <c r="B2108">
        <v>73.42</v>
      </c>
      <c r="C2108" t="s">
        <v>16</v>
      </c>
      <c r="E2108" t="s">
        <v>18</v>
      </c>
      <c r="N2108" t="str">
        <f>_xlfn.XLOOKUP(A2108,[1]!brca_metabric_clinical_data__2[Patient ID], [1]!brca_metabric_clinical_data__2[Tumor Size])</f>
        <v>25.2</v>
      </c>
      <c r="O2108" t="str">
        <f>_xlfn.XLOOKUP(A2108,[1]!brca_metabric_clinical_data__2[Sample ID],[1]!brca_metabric_clinical_data__2[Tumor Stage])</f>
        <v>NA</v>
      </c>
    </row>
    <row r="2109" spans="1:15" x14ac:dyDescent="0.45">
      <c r="A2109" t="s">
        <v>2144</v>
      </c>
      <c r="B2109">
        <v>79.92</v>
      </c>
      <c r="C2109" t="s">
        <v>16</v>
      </c>
      <c r="E2109" t="s">
        <v>18</v>
      </c>
      <c r="N2109" t="str">
        <f>_xlfn.XLOOKUP(A2109,[1]!brca_metabric_clinical_data__2[Patient ID], [1]!brca_metabric_clinical_data__2[Tumor Size])</f>
        <v>26.7</v>
      </c>
      <c r="O2109" t="str">
        <f>_xlfn.XLOOKUP(A2109,[1]!brca_metabric_clinical_data__2[Sample ID],[1]!brca_metabric_clinical_data__2[Tumor Stage])</f>
        <v>NA</v>
      </c>
    </row>
    <row r="2110" spans="1:15" x14ac:dyDescent="0.45">
      <c r="A2110" t="s">
        <v>2145</v>
      </c>
      <c r="B2110">
        <v>46.99</v>
      </c>
      <c r="C2110" t="s">
        <v>16</v>
      </c>
      <c r="E2110" t="s">
        <v>37</v>
      </c>
      <c r="N2110" t="str">
        <f>_xlfn.XLOOKUP(A2110,[1]!brca_metabric_clinical_data__2[Patient ID], [1]!brca_metabric_clinical_data__2[Tumor Size])</f>
        <v>8</v>
      </c>
      <c r="O2110" t="str">
        <f>_xlfn.XLOOKUP(A2110,[1]!brca_metabric_clinical_data__2[Sample ID],[1]!brca_metabric_clinical_data__2[Tumor Stage])</f>
        <v>NA</v>
      </c>
    </row>
    <row r="2111" spans="1:15" x14ac:dyDescent="0.45">
      <c r="A2111" t="s">
        <v>2146</v>
      </c>
      <c r="B2111">
        <v>45.54</v>
      </c>
      <c r="C2111" t="s">
        <v>16</v>
      </c>
      <c r="E2111" t="s">
        <v>18</v>
      </c>
      <c r="N2111" t="str">
        <f>_xlfn.XLOOKUP(A2111,[1]!brca_metabric_clinical_data__2[Patient ID], [1]!brca_metabric_clinical_data__2[Tumor Size])</f>
        <v>8.9</v>
      </c>
      <c r="O2111" t="str">
        <f>_xlfn.XLOOKUP(A2111,[1]!brca_metabric_clinical_data__2[Sample ID],[1]!brca_metabric_clinical_data__2[Tumor Stage])</f>
        <v>NA</v>
      </c>
    </row>
    <row r="2112" spans="1:15" x14ac:dyDescent="0.45">
      <c r="A2112" t="s">
        <v>2147</v>
      </c>
      <c r="B2112">
        <v>58.5</v>
      </c>
      <c r="C2112" t="s">
        <v>16</v>
      </c>
      <c r="E2112" t="s">
        <v>18</v>
      </c>
      <c r="N2112" t="str">
        <f>_xlfn.XLOOKUP(A2112,[1]!brca_metabric_clinical_data__2[Patient ID], [1]!brca_metabric_clinical_data__2[Tumor Size])</f>
        <v>34</v>
      </c>
      <c r="O2112" t="str">
        <f>_xlfn.XLOOKUP(A2112,[1]!brca_metabric_clinical_data__2[Sample ID],[1]!brca_metabric_clinical_data__2[Tumor Stage])</f>
        <v>NA</v>
      </c>
    </row>
    <row r="2113" spans="1:15" x14ac:dyDescent="0.45">
      <c r="A2113" t="s">
        <v>2148</v>
      </c>
      <c r="B2113">
        <v>70.5</v>
      </c>
      <c r="C2113" t="s">
        <v>16</v>
      </c>
      <c r="E2113" t="s">
        <v>37</v>
      </c>
      <c r="N2113" t="str">
        <f>_xlfn.XLOOKUP(A2113,[1]!brca_metabric_clinical_data__2[Patient ID], [1]!brca_metabric_clinical_data__2[Tumor Size])</f>
        <v>21</v>
      </c>
      <c r="O2113" t="str">
        <f>_xlfn.XLOOKUP(A2113,[1]!brca_metabric_clinical_data__2[Sample ID],[1]!brca_metabric_clinical_data__2[Tumor Stage])</f>
        <v>NA</v>
      </c>
    </row>
    <row r="2114" spans="1:15" x14ac:dyDescent="0.45">
      <c r="A2114" t="s">
        <v>2149</v>
      </c>
      <c r="B2114">
        <v>50.78</v>
      </c>
      <c r="C2114" t="s">
        <v>16</v>
      </c>
      <c r="E2114" t="s">
        <v>18</v>
      </c>
      <c r="N2114" t="str">
        <f>_xlfn.XLOOKUP(A2114,[1]!brca_metabric_clinical_data__2[Patient ID], [1]!brca_metabric_clinical_data__2[Tumor Size])</f>
        <v>19.1</v>
      </c>
      <c r="O2114" t="str">
        <f>_xlfn.XLOOKUP(A2114,[1]!brca_metabric_clinical_data__2[Sample ID],[1]!brca_metabric_clinical_data__2[Tumor Stage])</f>
        <v>NA</v>
      </c>
    </row>
    <row r="2115" spans="1:15" x14ac:dyDescent="0.45">
      <c r="A2115" t="s">
        <v>2150</v>
      </c>
      <c r="B2115">
        <v>44.19</v>
      </c>
      <c r="C2115" t="s">
        <v>16</v>
      </c>
      <c r="E2115" t="s">
        <v>18</v>
      </c>
      <c r="N2115" t="str">
        <f>_xlfn.XLOOKUP(A2115,[1]!brca_metabric_clinical_data__2[Patient ID], [1]!brca_metabric_clinical_data__2[Tumor Size])</f>
        <v>7</v>
      </c>
      <c r="O2115" t="str">
        <f>_xlfn.XLOOKUP(A2115,[1]!brca_metabric_clinical_data__2[Sample ID],[1]!brca_metabric_clinical_data__2[Tumor Stage])</f>
        <v>NA</v>
      </c>
    </row>
    <row r="2116" spans="1:15" x14ac:dyDescent="0.45">
      <c r="A2116" t="s">
        <v>2151</v>
      </c>
      <c r="B2116">
        <v>40.479999999999997</v>
      </c>
      <c r="C2116" t="s">
        <v>16</v>
      </c>
      <c r="E2116" t="s">
        <v>37</v>
      </c>
      <c r="N2116" t="str">
        <f>_xlfn.XLOOKUP(A2116,[1]!brca_metabric_clinical_data__2[Patient ID], [1]!brca_metabric_clinical_data__2[Tumor Size])</f>
        <v>25</v>
      </c>
      <c r="O2116" t="str">
        <f>_xlfn.XLOOKUP(A2116,[1]!brca_metabric_clinical_data__2[Sample ID],[1]!brca_metabric_clinical_data__2[Tumor Stage])</f>
        <v>NA</v>
      </c>
    </row>
    <row r="2117" spans="1:15" x14ac:dyDescent="0.45">
      <c r="A2117" t="s">
        <v>2152</v>
      </c>
      <c r="B2117">
        <v>52.28</v>
      </c>
      <c r="C2117" t="s">
        <v>16</v>
      </c>
      <c r="E2117" t="s">
        <v>37</v>
      </c>
      <c r="N2117" t="str">
        <f>_xlfn.XLOOKUP(A2117,[1]!brca_metabric_clinical_data__2[Patient ID], [1]!brca_metabric_clinical_data__2[Tumor Size])</f>
        <v>11.4</v>
      </c>
      <c r="O2117" t="str">
        <f>_xlfn.XLOOKUP(A2117,[1]!brca_metabric_clinical_data__2[Sample ID],[1]!brca_metabric_clinical_data__2[Tumor Stage])</f>
        <v>NA</v>
      </c>
    </row>
    <row r="2118" spans="1:15" x14ac:dyDescent="0.45">
      <c r="A2118" t="s">
        <v>2153</v>
      </c>
      <c r="B2118">
        <v>74.400000000000006</v>
      </c>
      <c r="C2118" t="s">
        <v>16</v>
      </c>
      <c r="E2118" t="s">
        <v>18</v>
      </c>
      <c r="N2118" t="str">
        <f>_xlfn.XLOOKUP(A2118,[1]!brca_metabric_clinical_data__2[Patient ID], [1]!brca_metabric_clinical_data__2[Tumor Size])</f>
        <v>14.9</v>
      </c>
      <c r="O2118" t="str">
        <f>_xlfn.XLOOKUP(A2118,[1]!brca_metabric_clinical_data__2[Sample ID],[1]!brca_metabric_clinical_data__2[Tumor Stage])</f>
        <v>NA</v>
      </c>
    </row>
    <row r="2119" spans="1:15" x14ac:dyDescent="0.45">
      <c r="A2119" t="s">
        <v>2154</v>
      </c>
      <c r="B2119">
        <v>56.09</v>
      </c>
      <c r="C2119" t="s">
        <v>16</v>
      </c>
      <c r="E2119" t="s">
        <v>18</v>
      </c>
      <c r="N2119" t="str">
        <f>_xlfn.XLOOKUP(A2119,[1]!brca_metabric_clinical_data__2[Patient ID], [1]!brca_metabric_clinical_data__2[Tumor Size])</f>
        <v>24.4</v>
      </c>
      <c r="O2119" t="str">
        <f>_xlfn.XLOOKUP(A2119,[1]!brca_metabric_clinical_data__2[Sample ID],[1]!brca_metabric_clinical_data__2[Tumor Stage])</f>
        <v>NA</v>
      </c>
    </row>
    <row r="2120" spans="1:15" x14ac:dyDescent="0.45">
      <c r="A2120" t="s">
        <v>2155</v>
      </c>
      <c r="B2120">
        <v>66.040000000000006</v>
      </c>
      <c r="C2120" t="s">
        <v>16</v>
      </c>
      <c r="E2120" t="s">
        <v>18</v>
      </c>
      <c r="N2120" t="str">
        <f>_xlfn.XLOOKUP(A2120,[1]!brca_metabric_clinical_data__2[Patient ID], [1]!brca_metabric_clinical_data__2[Tumor Size])</f>
        <v>30</v>
      </c>
      <c r="O2120" t="str">
        <f>_xlfn.XLOOKUP(A2120,[1]!brca_metabric_clinical_data__2[Sample ID],[1]!brca_metabric_clinical_data__2[Tumor Stage])</f>
        <v>NA</v>
      </c>
    </row>
    <row r="2121" spans="1:15" x14ac:dyDescent="0.45">
      <c r="A2121" t="s">
        <v>2156</v>
      </c>
      <c r="B2121">
        <v>65.22</v>
      </c>
      <c r="C2121" t="s">
        <v>16</v>
      </c>
      <c r="E2121" t="s">
        <v>18</v>
      </c>
      <c r="N2121" t="str">
        <f>_xlfn.XLOOKUP(A2121,[1]!brca_metabric_clinical_data__2[Patient ID], [1]!brca_metabric_clinical_data__2[Tumor Size])</f>
        <v>20.33</v>
      </c>
      <c r="O2121" t="str">
        <f>_xlfn.XLOOKUP(A2121,[1]!brca_metabric_clinical_data__2[Sample ID],[1]!brca_metabric_clinical_data__2[Tumor Stage])</f>
        <v>NA</v>
      </c>
    </row>
    <row r="2122" spans="1:15" x14ac:dyDescent="0.45">
      <c r="A2122" t="s">
        <v>2157</v>
      </c>
      <c r="B2122">
        <v>63.19</v>
      </c>
      <c r="C2122" t="s">
        <v>16</v>
      </c>
      <c r="E2122" t="s">
        <v>18</v>
      </c>
      <c r="N2122" t="str">
        <f>_xlfn.XLOOKUP(A2122,[1]!brca_metabric_clinical_data__2[Patient ID], [1]!brca_metabric_clinical_data__2[Tumor Size])</f>
        <v>17.06</v>
      </c>
      <c r="O2122" t="str">
        <f>_xlfn.XLOOKUP(A2122,[1]!brca_metabric_clinical_data__2[Sample ID],[1]!brca_metabric_clinical_data__2[Tumor Stage])</f>
        <v>NA</v>
      </c>
    </row>
    <row r="2123" spans="1:15" x14ac:dyDescent="0.45">
      <c r="A2123" t="s">
        <v>2158</v>
      </c>
      <c r="B2123">
        <v>65.709999999999994</v>
      </c>
      <c r="C2123" t="s">
        <v>16</v>
      </c>
      <c r="E2123" t="s">
        <v>18</v>
      </c>
      <c r="N2123" t="str">
        <f>_xlfn.XLOOKUP(A2123,[1]!brca_metabric_clinical_data__2[Patient ID], [1]!brca_metabric_clinical_data__2[Tumor Size])</f>
        <v>18.95</v>
      </c>
      <c r="O2123" t="str">
        <f>_xlfn.XLOOKUP(A2123,[1]!brca_metabric_clinical_data__2[Sample ID],[1]!brca_metabric_clinical_data__2[Tumor Stage])</f>
        <v>NA</v>
      </c>
    </row>
    <row r="2124" spans="1:15" x14ac:dyDescent="0.45">
      <c r="A2124" t="s">
        <v>2159</v>
      </c>
      <c r="B2124">
        <v>62.29</v>
      </c>
      <c r="C2124" t="s">
        <v>16</v>
      </c>
      <c r="E2124" t="s">
        <v>18</v>
      </c>
      <c r="N2124" t="str">
        <f>_xlfn.XLOOKUP(A2124,[1]!brca_metabric_clinical_data__2[Patient ID], [1]!brca_metabric_clinical_data__2[Tumor Size])</f>
        <v>32</v>
      </c>
      <c r="O2124" t="str">
        <f>_xlfn.XLOOKUP(A2124,[1]!brca_metabric_clinical_data__2[Sample ID],[1]!brca_metabric_clinical_data__2[Tumor Stage])</f>
        <v>NA</v>
      </c>
    </row>
    <row r="2125" spans="1:15" x14ac:dyDescent="0.45">
      <c r="A2125" t="s">
        <v>2160</v>
      </c>
      <c r="B2125">
        <v>47.55</v>
      </c>
      <c r="C2125" t="s">
        <v>16</v>
      </c>
      <c r="E2125" t="s">
        <v>37</v>
      </c>
      <c r="N2125" t="str">
        <f>_xlfn.XLOOKUP(A2125,[1]!brca_metabric_clinical_data__2[Patient ID], [1]!brca_metabric_clinical_data__2[Tumor Size])</f>
        <v>31.7</v>
      </c>
      <c r="O2125" t="str">
        <f>_xlfn.XLOOKUP(A2125,[1]!brca_metabric_clinical_data__2[Sample ID],[1]!brca_metabric_clinical_data__2[Tumor Stage])</f>
        <v>NA</v>
      </c>
    </row>
    <row r="2126" spans="1:15" x14ac:dyDescent="0.45">
      <c r="A2126" t="s">
        <v>2161</v>
      </c>
      <c r="B2126">
        <v>42.57</v>
      </c>
      <c r="C2126" t="s">
        <v>16</v>
      </c>
      <c r="E2126" t="s">
        <v>37</v>
      </c>
      <c r="N2126" t="str">
        <f>_xlfn.XLOOKUP(A2126,[1]!brca_metabric_clinical_data__2[Patient ID], [1]!brca_metabric_clinical_data__2[Tumor Size])</f>
        <v>26</v>
      </c>
      <c r="O2126" t="str">
        <f>_xlfn.XLOOKUP(A2126,[1]!brca_metabric_clinical_data__2[Sample ID],[1]!brca_metabric_clinical_data__2[Tumor Stage])</f>
        <v>NA</v>
      </c>
    </row>
    <row r="2127" spans="1:15" x14ac:dyDescent="0.45">
      <c r="A2127" t="s">
        <v>2162</v>
      </c>
      <c r="B2127">
        <v>69.55</v>
      </c>
      <c r="C2127" t="s">
        <v>16</v>
      </c>
      <c r="E2127" t="s">
        <v>18</v>
      </c>
      <c r="N2127" t="str">
        <f>_xlfn.XLOOKUP(A2127,[1]!brca_metabric_clinical_data__2[Patient ID], [1]!brca_metabric_clinical_data__2[Tumor Size])</f>
        <v>50</v>
      </c>
      <c r="O2127" t="str">
        <f>_xlfn.XLOOKUP(A2127,[1]!brca_metabric_clinical_data__2[Sample ID],[1]!brca_metabric_clinical_data__2[Tumor Stage])</f>
        <v>NA</v>
      </c>
    </row>
    <row r="2128" spans="1:15" x14ac:dyDescent="0.45">
      <c r="A2128" t="s">
        <v>2163</v>
      </c>
      <c r="B2128">
        <v>64.19</v>
      </c>
      <c r="C2128" t="s">
        <v>16</v>
      </c>
      <c r="E2128" t="s">
        <v>18</v>
      </c>
      <c r="N2128" t="str">
        <f>_xlfn.XLOOKUP(A2128,[1]!brca_metabric_clinical_data__2[Patient ID], [1]!brca_metabric_clinical_data__2[Tumor Size])</f>
        <v>30</v>
      </c>
      <c r="O2128" t="str">
        <f>_xlfn.XLOOKUP(A2128,[1]!brca_metabric_clinical_data__2[Sample ID],[1]!brca_metabric_clinical_data__2[Tumor Stage])</f>
        <v>NA</v>
      </c>
    </row>
    <row r="2129" spans="1:15" x14ac:dyDescent="0.45">
      <c r="A2129" t="s">
        <v>2164</v>
      </c>
      <c r="B2129">
        <v>59.48</v>
      </c>
      <c r="C2129" t="s">
        <v>16</v>
      </c>
      <c r="E2129" t="s">
        <v>18</v>
      </c>
      <c r="N2129" t="str">
        <f>_xlfn.XLOOKUP(A2129,[1]!brca_metabric_clinical_data__2[Patient ID], [1]!brca_metabric_clinical_data__2[Tumor Size])</f>
        <v>4</v>
      </c>
      <c r="O2129" t="str">
        <f>_xlfn.XLOOKUP(A2129,[1]!brca_metabric_clinical_data__2[Sample ID],[1]!brca_metabric_clinical_data__2[Tumor Stage])</f>
        <v>NA</v>
      </c>
    </row>
    <row r="2130" spans="1:15" x14ac:dyDescent="0.45">
      <c r="A2130" t="s">
        <v>2165</v>
      </c>
      <c r="B2130">
        <v>63.01</v>
      </c>
      <c r="C2130" t="s">
        <v>16</v>
      </c>
      <c r="E2130" t="s">
        <v>37</v>
      </c>
      <c r="N2130" t="str">
        <f>_xlfn.XLOOKUP(A2130,[1]!brca_metabric_clinical_data__2[Patient ID], [1]!brca_metabric_clinical_data__2[Tumor Size])</f>
        <v>19</v>
      </c>
      <c r="O2130" t="str">
        <f>_xlfn.XLOOKUP(A2130,[1]!brca_metabric_clinical_data__2[Sample ID],[1]!brca_metabric_clinical_data__2[Tumor Stage])</f>
        <v>1</v>
      </c>
    </row>
    <row r="2131" spans="1:15" x14ac:dyDescent="0.45">
      <c r="A2131" t="s">
        <v>2166</v>
      </c>
      <c r="B2131">
        <v>59.61</v>
      </c>
      <c r="C2131" t="s">
        <v>16</v>
      </c>
      <c r="E2131" t="s">
        <v>18</v>
      </c>
      <c r="N2131" t="str">
        <f>_xlfn.XLOOKUP(A2131,[1]!brca_metabric_clinical_data__2[Patient ID], [1]!brca_metabric_clinical_data__2[Tumor Size])</f>
        <v>21</v>
      </c>
      <c r="O2131" t="str">
        <f>_xlfn.XLOOKUP(A2131,[1]!brca_metabric_clinical_data__2[Sample ID],[1]!brca_metabric_clinical_data__2[Tumor Stage])</f>
        <v>2</v>
      </c>
    </row>
    <row r="2132" spans="1:15" x14ac:dyDescent="0.45">
      <c r="A2132" t="s">
        <v>2167</v>
      </c>
      <c r="B2132">
        <v>67.36</v>
      </c>
      <c r="C2132" t="s">
        <v>16</v>
      </c>
      <c r="E2132" t="s">
        <v>37</v>
      </c>
      <c r="N2132" t="str">
        <f>_xlfn.XLOOKUP(A2132,[1]!brca_metabric_clinical_data__2[Patient ID], [1]!brca_metabric_clinical_data__2[Tumor Size])</f>
        <v>33</v>
      </c>
      <c r="O2132" t="str">
        <f>_xlfn.XLOOKUP(A2132,[1]!brca_metabric_clinical_data__2[Sample ID],[1]!brca_metabric_clinical_data__2[Tumor Stage])</f>
        <v>2</v>
      </c>
    </row>
    <row r="2133" spans="1:15" x14ac:dyDescent="0.45">
      <c r="A2133" t="s">
        <v>2168</v>
      </c>
      <c r="B2133">
        <v>49.98</v>
      </c>
      <c r="C2133" t="s">
        <v>16</v>
      </c>
      <c r="E2133" t="s">
        <v>37</v>
      </c>
      <c r="N2133" t="str">
        <f>_xlfn.XLOOKUP(A2133,[1]!brca_metabric_clinical_data__2[Patient ID], [1]!brca_metabric_clinical_data__2[Tumor Size])</f>
        <v>46</v>
      </c>
      <c r="O2133" t="str">
        <f>_xlfn.XLOOKUP(A2133,[1]!brca_metabric_clinical_data__2[Sample ID],[1]!brca_metabric_clinical_data__2[Tumor Stage])</f>
        <v>2</v>
      </c>
    </row>
    <row r="2134" spans="1:15" x14ac:dyDescent="0.45">
      <c r="A2134" t="s">
        <v>2169</v>
      </c>
      <c r="B2134">
        <v>54.15</v>
      </c>
      <c r="C2134" t="s">
        <v>16</v>
      </c>
      <c r="E2134" t="s">
        <v>18</v>
      </c>
      <c r="N2134" t="str">
        <f>_xlfn.XLOOKUP(A2134,[1]!brca_metabric_clinical_data__2[Patient ID], [1]!brca_metabric_clinical_data__2[Tumor Size])</f>
        <v>14</v>
      </c>
      <c r="O2134" t="str">
        <f>_xlfn.XLOOKUP(A2134,[1]!brca_metabric_clinical_data__2[Sample ID],[1]!brca_metabric_clinical_data__2[Tumor Stage])</f>
        <v>1</v>
      </c>
    </row>
    <row r="2135" spans="1:15" x14ac:dyDescent="0.45">
      <c r="A2135" t="s">
        <v>2170</v>
      </c>
      <c r="B2135">
        <v>63.93</v>
      </c>
      <c r="C2135" t="s">
        <v>16</v>
      </c>
      <c r="E2135" t="s">
        <v>18</v>
      </c>
      <c r="N2135" t="str">
        <f>_xlfn.XLOOKUP(A2135,[1]!brca_metabric_clinical_data__2[Patient ID], [1]!brca_metabric_clinical_data__2[Tumor Size])</f>
        <v>19</v>
      </c>
      <c r="O2135" t="str">
        <f>_xlfn.XLOOKUP(A2135,[1]!brca_metabric_clinical_data__2[Sample ID],[1]!brca_metabric_clinical_data__2[Tumor Stage])</f>
        <v>1</v>
      </c>
    </row>
    <row r="2136" spans="1:15" x14ac:dyDescent="0.45">
      <c r="A2136" t="s">
        <v>2171</v>
      </c>
      <c r="B2136">
        <v>61.83</v>
      </c>
      <c r="C2136" t="s">
        <v>16</v>
      </c>
      <c r="E2136" t="s">
        <v>18</v>
      </c>
      <c r="N2136" t="str">
        <f>_xlfn.XLOOKUP(A2136,[1]!brca_metabric_clinical_data__2[Patient ID], [1]!brca_metabric_clinical_data__2[Tumor Size])</f>
        <v>18</v>
      </c>
      <c r="O2136" t="str">
        <f>_xlfn.XLOOKUP(A2136,[1]!brca_metabric_clinical_data__2[Sample ID],[1]!brca_metabric_clinical_data__2[Tumor Stage])</f>
        <v>2</v>
      </c>
    </row>
    <row r="2137" spans="1:15" x14ac:dyDescent="0.45">
      <c r="A2137" t="s">
        <v>2172</v>
      </c>
      <c r="B2137">
        <v>62.81</v>
      </c>
      <c r="C2137" t="s">
        <v>16</v>
      </c>
      <c r="E2137" t="s">
        <v>37</v>
      </c>
      <c r="N2137" t="str">
        <f>_xlfn.XLOOKUP(A2137,[1]!brca_metabric_clinical_data__2[Patient ID], [1]!brca_metabric_clinical_data__2[Tumor Size])</f>
        <v>NA</v>
      </c>
      <c r="O2137" t="str">
        <f>_xlfn.XLOOKUP(A2137,[1]!brca_metabric_clinical_data__2[Sample ID],[1]!brca_metabric_clinical_data__2[Tumor Stage])</f>
        <v>NA</v>
      </c>
    </row>
    <row r="2138" spans="1:15" x14ac:dyDescent="0.45">
      <c r="A2138" t="s">
        <v>2173</v>
      </c>
      <c r="B2138">
        <v>70.239999999999995</v>
      </c>
      <c r="C2138" t="s">
        <v>16</v>
      </c>
      <c r="E2138" t="s">
        <v>18</v>
      </c>
      <c r="N2138" t="str">
        <f>_xlfn.XLOOKUP(A2138,[1]!brca_metabric_clinical_data__2[Patient ID], [1]!brca_metabric_clinical_data__2[Tumor Size])</f>
        <v>14</v>
      </c>
      <c r="O2138" t="str">
        <f>_xlfn.XLOOKUP(A2138,[1]!brca_metabric_clinical_data__2[Sample ID],[1]!brca_metabric_clinical_data__2[Tumor Stage])</f>
        <v>0</v>
      </c>
    </row>
    <row r="2139" spans="1:15" x14ac:dyDescent="0.45">
      <c r="A2139" t="s">
        <v>2174</v>
      </c>
      <c r="B2139">
        <v>63.07</v>
      </c>
      <c r="C2139" t="s">
        <v>16</v>
      </c>
      <c r="E2139" t="s">
        <v>37</v>
      </c>
      <c r="N2139" t="str">
        <f>_xlfn.XLOOKUP(A2139,[1]!brca_metabric_clinical_data__2[Patient ID], [1]!brca_metabric_clinical_data__2[Tumor Size])</f>
        <v>37</v>
      </c>
      <c r="O2139" t="str">
        <f>_xlfn.XLOOKUP(A2139,[1]!brca_metabric_clinical_data__2[Sample ID],[1]!brca_metabric_clinical_data__2[Tumor Stage])</f>
        <v>2</v>
      </c>
    </row>
    <row r="2140" spans="1:15" x14ac:dyDescent="0.45">
      <c r="A2140" t="s">
        <v>2175</v>
      </c>
      <c r="B2140">
        <v>57.43</v>
      </c>
      <c r="C2140" t="s">
        <v>16</v>
      </c>
      <c r="E2140" t="s">
        <v>18</v>
      </c>
      <c r="N2140" t="str">
        <f>_xlfn.XLOOKUP(A2140,[1]!brca_metabric_clinical_data__2[Patient ID], [1]!brca_metabric_clinical_data__2[Tumor Size])</f>
        <v>19</v>
      </c>
      <c r="O2140" t="str">
        <f>_xlfn.XLOOKUP(A2140,[1]!brca_metabric_clinical_data__2[Sample ID],[1]!brca_metabric_clinical_data__2[Tumor Stage])</f>
        <v>1</v>
      </c>
    </row>
    <row r="2141" spans="1:15" x14ac:dyDescent="0.45">
      <c r="A2141" t="s">
        <v>2176</v>
      </c>
      <c r="B2141">
        <v>86.4</v>
      </c>
      <c r="C2141" t="s">
        <v>16</v>
      </c>
      <c r="E2141" t="s">
        <v>37</v>
      </c>
      <c r="N2141" t="str">
        <f>_xlfn.XLOOKUP(A2141,[1]!brca_metabric_clinical_data__2[Patient ID], [1]!brca_metabric_clinical_data__2[Tumor Size])</f>
        <v>31</v>
      </c>
      <c r="O2141" t="str">
        <f>_xlfn.XLOOKUP(A2141,[1]!brca_metabric_clinical_data__2[Sample ID],[1]!brca_metabric_clinical_data__2[Tumor Stage])</f>
        <v>2</v>
      </c>
    </row>
    <row r="2142" spans="1:15" x14ac:dyDescent="0.45">
      <c r="A2142" t="s">
        <v>2177</v>
      </c>
      <c r="B2142">
        <v>35.01</v>
      </c>
      <c r="C2142" t="s">
        <v>16</v>
      </c>
      <c r="E2142" t="s">
        <v>18</v>
      </c>
      <c r="N2142" t="str">
        <f>_xlfn.XLOOKUP(A2142,[1]!brca_metabric_clinical_data__2[Patient ID], [1]!brca_metabric_clinical_data__2[Tumor Size])</f>
        <v>20</v>
      </c>
      <c r="O2142" t="str">
        <f>_xlfn.XLOOKUP(A2142,[1]!brca_metabric_clinical_data__2[Sample ID],[1]!brca_metabric_clinical_data__2[Tumor Stage])</f>
        <v>1</v>
      </c>
    </row>
    <row r="2143" spans="1:15" x14ac:dyDescent="0.45">
      <c r="A2143" t="s">
        <v>2178</v>
      </c>
      <c r="B2143">
        <v>76.34</v>
      </c>
      <c r="C2143" t="s">
        <v>16</v>
      </c>
      <c r="E2143" t="s">
        <v>37</v>
      </c>
      <c r="N2143" t="str">
        <f>_xlfn.XLOOKUP(A2143,[1]!brca_metabric_clinical_data__2[Patient ID], [1]!brca_metabric_clinical_data__2[Tumor Size])</f>
        <v>32</v>
      </c>
      <c r="O2143" t="str">
        <f>_xlfn.XLOOKUP(A2143,[1]!brca_metabric_clinical_data__2[Sample ID],[1]!brca_metabric_clinical_data__2[Tumor Stage])</f>
        <v>2</v>
      </c>
    </row>
    <row r="2144" spans="1:15" x14ac:dyDescent="0.45">
      <c r="A2144" t="s">
        <v>2179</v>
      </c>
      <c r="B2144">
        <v>46.81</v>
      </c>
      <c r="C2144" t="s">
        <v>16</v>
      </c>
      <c r="E2144" t="s">
        <v>37</v>
      </c>
      <c r="N2144" t="str">
        <f>_xlfn.XLOOKUP(A2144,[1]!brca_metabric_clinical_data__2[Patient ID], [1]!brca_metabric_clinical_data__2[Tumor Size])</f>
        <v>10</v>
      </c>
      <c r="O2144" t="str">
        <f>_xlfn.XLOOKUP(A2144,[1]!brca_metabric_clinical_data__2[Sample ID],[1]!brca_metabric_clinical_data__2[Tumor Stage])</f>
        <v>1</v>
      </c>
    </row>
    <row r="2145" spans="1:15" x14ac:dyDescent="0.45">
      <c r="A2145" t="s">
        <v>2180</v>
      </c>
      <c r="C2145" t="s">
        <v>16</v>
      </c>
      <c r="N2145" t="str">
        <f>_xlfn.XLOOKUP(A2145,[1]!brca_metabric_clinical_data__2[Patient ID], [1]!brca_metabric_clinical_data__2[Tumor Size])</f>
        <v>NA</v>
      </c>
      <c r="O2145" t="str">
        <f>_xlfn.XLOOKUP(A2145,[1]!brca_metabric_clinical_data__2[Sample ID],[1]!brca_metabric_clinical_data__2[Tumor Stage])</f>
        <v>0</v>
      </c>
    </row>
    <row r="2146" spans="1:15" x14ac:dyDescent="0.45">
      <c r="A2146" t="s">
        <v>2181</v>
      </c>
      <c r="C2146" t="s">
        <v>16</v>
      </c>
      <c r="N2146" t="str">
        <f>_xlfn.XLOOKUP(A2146,[1]!brca_metabric_clinical_data__2[Patient ID], [1]!brca_metabric_clinical_data__2[Tumor Size])</f>
        <v>NA</v>
      </c>
      <c r="O2146" t="str">
        <f>_xlfn.XLOOKUP(A2146,[1]!brca_metabric_clinical_data__2[Sample ID],[1]!brca_metabric_clinical_data__2[Tumor Stage])</f>
        <v>0</v>
      </c>
    </row>
    <row r="2147" spans="1:15" x14ac:dyDescent="0.45">
      <c r="A2147" t="s">
        <v>2182</v>
      </c>
      <c r="B2147">
        <v>68.83</v>
      </c>
      <c r="C2147" t="s">
        <v>16</v>
      </c>
      <c r="E2147" t="s">
        <v>18</v>
      </c>
      <c r="N2147" t="str">
        <f>_xlfn.XLOOKUP(A2147,[1]!brca_metabric_clinical_data__2[Patient ID], [1]!brca_metabric_clinical_data__2[Tumor Size])</f>
        <v>25</v>
      </c>
      <c r="O2147" t="str">
        <f>_xlfn.XLOOKUP(A2147,[1]!brca_metabric_clinical_data__2[Sample ID],[1]!brca_metabric_clinical_data__2[Tumor Stage])</f>
        <v>2</v>
      </c>
    </row>
    <row r="2148" spans="1:15" x14ac:dyDescent="0.45">
      <c r="A2148" t="s">
        <v>2183</v>
      </c>
      <c r="B2148">
        <v>40.86</v>
      </c>
      <c r="C2148" t="s">
        <v>16</v>
      </c>
      <c r="E2148" t="s">
        <v>18</v>
      </c>
      <c r="N2148" t="str">
        <f>_xlfn.XLOOKUP(A2148,[1]!brca_metabric_clinical_data__2[Patient ID], [1]!brca_metabric_clinical_data__2[Tumor Size])</f>
        <v>41</v>
      </c>
      <c r="O2148" t="str">
        <f>_xlfn.XLOOKUP(A2148,[1]!brca_metabric_clinical_data__2[Sample ID],[1]!brca_metabric_clinical_data__2[Tumor Stage])</f>
        <v>2</v>
      </c>
    </row>
    <row r="2149" spans="1:15" x14ac:dyDescent="0.45">
      <c r="A2149" t="s">
        <v>2184</v>
      </c>
      <c r="B2149">
        <v>69.75</v>
      </c>
      <c r="C2149" t="s">
        <v>16</v>
      </c>
      <c r="E2149" t="s">
        <v>37</v>
      </c>
      <c r="N2149" t="str">
        <f>_xlfn.XLOOKUP(A2149,[1]!brca_metabric_clinical_data__2[Patient ID], [1]!brca_metabric_clinical_data__2[Tumor Size])</f>
        <v>13</v>
      </c>
      <c r="O2149" t="str">
        <f>_xlfn.XLOOKUP(A2149,[1]!brca_metabric_clinical_data__2[Sample ID],[1]!brca_metabric_clinical_data__2[Tumor Stage])</f>
        <v>2</v>
      </c>
    </row>
    <row r="2150" spans="1:15" x14ac:dyDescent="0.45">
      <c r="A2150" t="s">
        <v>2185</v>
      </c>
      <c r="B2150">
        <v>69.55</v>
      </c>
      <c r="C2150" t="s">
        <v>16</v>
      </c>
      <c r="E2150" t="s">
        <v>18</v>
      </c>
      <c r="N2150" t="str">
        <f>_xlfn.XLOOKUP(A2150,[1]!brca_metabric_clinical_data__2[Patient ID], [1]!brca_metabric_clinical_data__2[Tumor Size])</f>
        <v>31</v>
      </c>
      <c r="O2150" t="str">
        <f>_xlfn.XLOOKUP(A2150,[1]!brca_metabric_clinical_data__2[Sample ID],[1]!brca_metabric_clinical_data__2[Tumor Stage])</f>
        <v>2</v>
      </c>
    </row>
    <row r="2151" spans="1:15" x14ac:dyDescent="0.45">
      <c r="A2151" t="s">
        <v>2186</v>
      </c>
      <c r="B2151">
        <v>63.58</v>
      </c>
      <c r="C2151" t="s">
        <v>16</v>
      </c>
      <c r="E2151" t="s">
        <v>37</v>
      </c>
      <c r="N2151" t="str">
        <f>_xlfn.XLOOKUP(A2151,[1]!brca_metabric_clinical_data__2[Patient ID], [1]!brca_metabric_clinical_data__2[Tumor Size])</f>
        <v>14</v>
      </c>
      <c r="O2151" t="str">
        <f>_xlfn.XLOOKUP(A2151,[1]!brca_metabric_clinical_data__2[Sample ID],[1]!brca_metabric_clinical_data__2[Tumor Stage])</f>
        <v>2</v>
      </c>
    </row>
    <row r="2152" spans="1:15" x14ac:dyDescent="0.45">
      <c r="A2152" t="s">
        <v>2187</v>
      </c>
      <c r="B2152">
        <v>62.61</v>
      </c>
      <c r="C2152" t="s">
        <v>16</v>
      </c>
      <c r="E2152" t="s">
        <v>18</v>
      </c>
      <c r="N2152" t="str">
        <f>_xlfn.XLOOKUP(A2152,[1]!brca_metabric_clinical_data__2[Patient ID], [1]!brca_metabric_clinical_data__2[Tumor Size])</f>
        <v>11</v>
      </c>
      <c r="O2152" t="str">
        <f>_xlfn.XLOOKUP(A2152,[1]!brca_metabric_clinical_data__2[Sample ID],[1]!brca_metabric_clinical_data__2[Tumor Stage])</f>
        <v>1</v>
      </c>
    </row>
    <row r="2153" spans="1:15" x14ac:dyDescent="0.45">
      <c r="A2153" t="s">
        <v>2188</v>
      </c>
      <c r="B2153">
        <v>50.58</v>
      </c>
      <c r="C2153" t="s">
        <v>16</v>
      </c>
      <c r="E2153" t="s">
        <v>37</v>
      </c>
      <c r="N2153" t="str">
        <f>_xlfn.XLOOKUP(A2153,[1]!brca_metabric_clinical_data__2[Patient ID], [1]!brca_metabric_clinical_data__2[Tumor Size])</f>
        <v>35</v>
      </c>
      <c r="O2153" t="str">
        <f>_xlfn.XLOOKUP(A2153,[1]!brca_metabric_clinical_data__2[Sample ID],[1]!brca_metabric_clinical_data__2[Tumor Stage])</f>
        <v>2</v>
      </c>
    </row>
    <row r="2154" spans="1:15" x14ac:dyDescent="0.45">
      <c r="A2154" t="s">
        <v>2189</v>
      </c>
      <c r="B2154">
        <v>63.6</v>
      </c>
      <c r="C2154" t="s">
        <v>16</v>
      </c>
      <c r="E2154" t="s">
        <v>18</v>
      </c>
      <c r="N2154" t="str">
        <f>_xlfn.XLOOKUP(A2154,[1]!brca_metabric_clinical_data__2[Patient ID], [1]!brca_metabric_clinical_data__2[Tumor Size])</f>
        <v>13</v>
      </c>
      <c r="O2154" t="str">
        <f>_xlfn.XLOOKUP(A2154,[1]!brca_metabric_clinical_data__2[Sample ID],[1]!brca_metabric_clinical_data__2[Tumor Stage])</f>
        <v>2</v>
      </c>
    </row>
    <row r="2155" spans="1:15" x14ac:dyDescent="0.45">
      <c r="A2155" t="s">
        <v>2190</v>
      </c>
      <c r="B2155">
        <v>56.95</v>
      </c>
      <c r="C2155" t="s">
        <v>16</v>
      </c>
      <c r="E2155" t="s">
        <v>18</v>
      </c>
      <c r="N2155" t="str">
        <f>_xlfn.XLOOKUP(A2155,[1]!brca_metabric_clinical_data__2[Patient ID], [1]!brca_metabric_clinical_data__2[Tumor Size])</f>
        <v>75</v>
      </c>
      <c r="O2155" t="str">
        <f>_xlfn.XLOOKUP(A2155,[1]!brca_metabric_clinical_data__2[Sample ID],[1]!brca_metabric_clinical_data__2[Tumor Stage])</f>
        <v>2</v>
      </c>
    </row>
    <row r="2156" spans="1:15" x14ac:dyDescent="0.45">
      <c r="A2156" t="s">
        <v>2191</v>
      </c>
      <c r="B2156">
        <v>50.95</v>
      </c>
      <c r="C2156" t="s">
        <v>16</v>
      </c>
      <c r="E2156" t="s">
        <v>18</v>
      </c>
      <c r="N2156" t="str">
        <f>_xlfn.XLOOKUP(A2156,[1]!brca_metabric_clinical_data__2[Patient ID], [1]!brca_metabric_clinical_data__2[Tumor Size])</f>
        <v>6</v>
      </c>
      <c r="O2156" t="str">
        <f>_xlfn.XLOOKUP(A2156,[1]!brca_metabric_clinical_data__2[Sample ID],[1]!brca_metabric_clinical_data__2[Tumor Stage])</f>
        <v>3</v>
      </c>
    </row>
    <row r="2157" spans="1:15" x14ac:dyDescent="0.45">
      <c r="A2157" t="s">
        <v>2192</v>
      </c>
      <c r="B2157">
        <v>51.33</v>
      </c>
      <c r="C2157" t="s">
        <v>16</v>
      </c>
      <c r="E2157" t="s">
        <v>18</v>
      </c>
      <c r="N2157" t="str">
        <f>_xlfn.XLOOKUP(A2157,[1]!brca_metabric_clinical_data__2[Patient ID], [1]!brca_metabric_clinical_data__2[Tumor Size])</f>
        <v>15</v>
      </c>
      <c r="O2157" t="str">
        <f>_xlfn.XLOOKUP(A2157,[1]!brca_metabric_clinical_data__2[Sample ID],[1]!brca_metabric_clinical_data__2[Tumor Stage])</f>
        <v>1</v>
      </c>
    </row>
    <row r="2158" spans="1:15" x14ac:dyDescent="0.45">
      <c r="A2158" t="s">
        <v>2193</v>
      </c>
      <c r="B2158">
        <v>56.39</v>
      </c>
      <c r="C2158" t="s">
        <v>16</v>
      </c>
      <c r="E2158" t="s">
        <v>18</v>
      </c>
      <c r="N2158" t="str">
        <f>_xlfn.XLOOKUP(A2158,[1]!brca_metabric_clinical_data__2[Patient ID], [1]!brca_metabric_clinical_data__2[Tumor Size])</f>
        <v>21.87</v>
      </c>
      <c r="O2158" t="str">
        <f>_xlfn.XLOOKUP(A2158,[1]!brca_metabric_clinical_data__2[Sample ID],[1]!brca_metabric_clinical_data__2[Tumor Stage])</f>
        <v>NA</v>
      </c>
    </row>
    <row r="2159" spans="1:15" x14ac:dyDescent="0.45">
      <c r="A2159" t="s">
        <v>2194</v>
      </c>
      <c r="B2159">
        <v>86.17</v>
      </c>
      <c r="C2159" t="s">
        <v>16</v>
      </c>
      <c r="E2159" t="s">
        <v>18</v>
      </c>
      <c r="N2159" t="str">
        <f>_xlfn.XLOOKUP(A2159,[1]!brca_metabric_clinical_data__2[Patient ID], [1]!brca_metabric_clinical_data__2[Tumor Size])</f>
        <v>17</v>
      </c>
      <c r="O2159" t="str">
        <f>_xlfn.XLOOKUP(A2159,[1]!brca_metabric_clinical_data__2[Sample ID],[1]!brca_metabric_clinical_data__2[Tumor Stage])</f>
        <v>2</v>
      </c>
    </row>
    <row r="2160" spans="1:15" x14ac:dyDescent="0.45">
      <c r="A2160" t="s">
        <v>2195</v>
      </c>
      <c r="B2160">
        <v>53.21</v>
      </c>
      <c r="C2160" t="s">
        <v>16</v>
      </c>
      <c r="E2160" t="s">
        <v>37</v>
      </c>
      <c r="N2160" t="str">
        <f>_xlfn.XLOOKUP(A2160,[1]!brca_metabric_clinical_data__2[Patient ID], [1]!brca_metabric_clinical_data__2[Tumor Size])</f>
        <v>22</v>
      </c>
      <c r="O2160" t="str">
        <f>_xlfn.XLOOKUP(A2160,[1]!brca_metabric_clinical_data__2[Sample ID],[1]!brca_metabric_clinical_data__2[Tumor Stage])</f>
        <v>2</v>
      </c>
    </row>
    <row r="2161" spans="1:15" x14ac:dyDescent="0.45">
      <c r="A2161" t="s">
        <v>2196</v>
      </c>
      <c r="B2161">
        <v>70</v>
      </c>
      <c r="C2161" t="s">
        <v>16</v>
      </c>
      <c r="E2161" t="s">
        <v>37</v>
      </c>
      <c r="N2161" t="str">
        <f>_xlfn.XLOOKUP(A2161,[1]!brca_metabric_clinical_data__2[Patient ID], [1]!brca_metabric_clinical_data__2[Tumor Size])</f>
        <v>65</v>
      </c>
      <c r="O2161" t="str">
        <f>_xlfn.XLOOKUP(A2161,[1]!brca_metabric_clinical_data__2[Sample ID],[1]!brca_metabric_clinical_data__2[Tumor Stage])</f>
        <v>3</v>
      </c>
    </row>
    <row r="2162" spans="1:15" x14ac:dyDescent="0.45">
      <c r="A2162" t="s">
        <v>2197</v>
      </c>
      <c r="B2162">
        <v>63.51</v>
      </c>
      <c r="C2162" t="s">
        <v>16</v>
      </c>
      <c r="E2162" t="s">
        <v>18</v>
      </c>
      <c r="N2162" t="str">
        <f>_xlfn.XLOOKUP(A2162,[1]!brca_metabric_clinical_data__2[Patient ID], [1]!brca_metabric_clinical_data__2[Tumor Size])</f>
        <v>39</v>
      </c>
      <c r="O2162" t="str">
        <f>_xlfn.XLOOKUP(A2162,[1]!brca_metabric_clinical_data__2[Sample ID],[1]!brca_metabric_clinical_data__2[Tumor Stage])</f>
        <v>2</v>
      </c>
    </row>
    <row r="2163" spans="1:15" x14ac:dyDescent="0.45">
      <c r="A2163" t="s">
        <v>2198</v>
      </c>
      <c r="B2163">
        <v>74.28</v>
      </c>
      <c r="C2163" t="s">
        <v>16</v>
      </c>
      <c r="E2163" t="s">
        <v>18</v>
      </c>
      <c r="N2163" t="str">
        <f>_xlfn.XLOOKUP(A2163,[1]!brca_metabric_clinical_data__2[Patient ID], [1]!brca_metabric_clinical_data__2[Tumor Size])</f>
        <v>22</v>
      </c>
      <c r="O2163" t="str">
        <f>_xlfn.XLOOKUP(A2163,[1]!brca_metabric_clinical_data__2[Sample ID],[1]!brca_metabric_clinical_data__2[Tumor Stage])</f>
        <v>2</v>
      </c>
    </row>
    <row r="2164" spans="1:15" x14ac:dyDescent="0.45">
      <c r="A2164" t="s">
        <v>2199</v>
      </c>
      <c r="B2164">
        <v>54.8</v>
      </c>
      <c r="C2164" t="s">
        <v>16</v>
      </c>
      <c r="E2164" t="s">
        <v>18</v>
      </c>
      <c r="N2164" t="str">
        <f>_xlfn.XLOOKUP(A2164,[1]!brca_metabric_clinical_data__2[Patient ID], [1]!brca_metabric_clinical_data__2[Tumor Size])</f>
        <v>11</v>
      </c>
      <c r="O2164" t="str">
        <f>_xlfn.XLOOKUP(A2164,[1]!brca_metabric_clinical_data__2[Sample ID],[1]!brca_metabric_clinical_data__2[Tumor Stage])</f>
        <v>2</v>
      </c>
    </row>
    <row r="2165" spans="1:15" x14ac:dyDescent="0.45">
      <c r="A2165" t="s">
        <v>2200</v>
      </c>
      <c r="B2165">
        <v>61.07</v>
      </c>
      <c r="C2165" t="s">
        <v>16</v>
      </c>
      <c r="E2165" t="s">
        <v>18</v>
      </c>
      <c r="N2165" t="str">
        <f>_xlfn.XLOOKUP(A2165,[1]!brca_metabric_clinical_data__2[Patient ID], [1]!brca_metabric_clinical_data__2[Tumor Size])</f>
        <v>19</v>
      </c>
      <c r="O2165" t="str">
        <f>_xlfn.XLOOKUP(A2165,[1]!brca_metabric_clinical_data__2[Sample ID],[1]!brca_metabric_clinical_data__2[Tumor Stage])</f>
        <v>1</v>
      </c>
    </row>
    <row r="2166" spans="1:15" x14ac:dyDescent="0.45">
      <c r="A2166" t="s">
        <v>2201</v>
      </c>
      <c r="B2166">
        <v>56.76</v>
      </c>
      <c r="C2166" t="s">
        <v>16</v>
      </c>
      <c r="E2166" t="s">
        <v>37</v>
      </c>
      <c r="N2166" t="str">
        <f>_xlfn.XLOOKUP(A2166,[1]!brca_metabric_clinical_data__2[Patient ID], [1]!brca_metabric_clinical_data__2[Tumor Size])</f>
        <v>23</v>
      </c>
      <c r="O2166" t="str">
        <f>_xlfn.XLOOKUP(A2166,[1]!brca_metabric_clinical_data__2[Sample ID],[1]!brca_metabric_clinical_data__2[Tumor Stage])</f>
        <v>2</v>
      </c>
    </row>
    <row r="2167" spans="1:15" x14ac:dyDescent="0.45">
      <c r="A2167" t="s">
        <v>2202</v>
      </c>
      <c r="B2167">
        <v>51.34</v>
      </c>
      <c r="C2167" t="s">
        <v>16</v>
      </c>
      <c r="E2167" t="s">
        <v>37</v>
      </c>
      <c r="N2167" t="str">
        <f>_xlfn.XLOOKUP(A2167,[1]!brca_metabric_clinical_data__2[Patient ID], [1]!brca_metabric_clinical_data__2[Tumor Size])</f>
        <v>22</v>
      </c>
      <c r="O2167" t="str">
        <f>_xlfn.XLOOKUP(A2167,[1]!brca_metabric_clinical_data__2[Sample ID],[1]!brca_metabric_clinical_data__2[Tumor Stage])</f>
        <v>2</v>
      </c>
    </row>
    <row r="2168" spans="1:15" x14ac:dyDescent="0.45">
      <c r="A2168" t="s">
        <v>2203</v>
      </c>
      <c r="B2168">
        <v>68.08</v>
      </c>
      <c r="C2168" t="s">
        <v>16</v>
      </c>
      <c r="E2168" t="s">
        <v>18</v>
      </c>
      <c r="N2168" t="str">
        <f>_xlfn.XLOOKUP(A2168,[1]!brca_metabric_clinical_data__2[Patient ID], [1]!brca_metabric_clinical_data__2[Tumor Size])</f>
        <v>10</v>
      </c>
      <c r="O2168" t="str">
        <f>_xlfn.XLOOKUP(A2168,[1]!brca_metabric_clinical_data__2[Sample ID],[1]!brca_metabric_clinical_data__2[Tumor Stage])</f>
        <v>2</v>
      </c>
    </row>
    <row r="2169" spans="1:15" x14ac:dyDescent="0.45">
      <c r="A2169" t="s">
        <v>2204</v>
      </c>
      <c r="B2169">
        <v>86.21</v>
      </c>
      <c r="C2169" t="s">
        <v>16</v>
      </c>
      <c r="E2169" t="s">
        <v>18</v>
      </c>
      <c r="N2169" t="str">
        <f>_xlfn.XLOOKUP(A2169,[1]!brca_metabric_clinical_data__2[Patient ID], [1]!brca_metabric_clinical_data__2[Tumor Size])</f>
        <v>27</v>
      </c>
      <c r="O2169" t="str">
        <f>_xlfn.XLOOKUP(A2169,[1]!brca_metabric_clinical_data__2[Sample ID],[1]!brca_metabric_clinical_data__2[Tumor Stage])</f>
        <v>2</v>
      </c>
    </row>
    <row r="2170" spans="1:15" x14ac:dyDescent="0.45">
      <c r="A2170" t="s">
        <v>2205</v>
      </c>
      <c r="B2170">
        <v>67.5</v>
      </c>
      <c r="C2170" t="s">
        <v>16</v>
      </c>
      <c r="E2170" t="s">
        <v>18</v>
      </c>
      <c r="N2170" t="str">
        <f>_xlfn.XLOOKUP(A2170,[1]!brca_metabric_clinical_data__2[Patient ID], [1]!brca_metabric_clinical_data__2[Tumor Size])</f>
        <v>25</v>
      </c>
      <c r="O2170" t="str">
        <f>_xlfn.XLOOKUP(A2170,[1]!brca_metabric_clinical_data__2[Sample ID],[1]!brca_metabric_clinical_data__2[Tumor Stage])</f>
        <v>2</v>
      </c>
    </row>
    <row r="2171" spans="1:15" x14ac:dyDescent="0.45">
      <c r="A2171" t="s">
        <v>2206</v>
      </c>
      <c r="B2171">
        <v>37.79</v>
      </c>
      <c r="C2171" t="s">
        <v>16</v>
      </c>
      <c r="E2171" t="s">
        <v>37</v>
      </c>
      <c r="N2171" t="str">
        <f>_xlfn.XLOOKUP(A2171,[1]!brca_metabric_clinical_data__2[Patient ID], [1]!brca_metabric_clinical_data__2[Tumor Size])</f>
        <v>24</v>
      </c>
      <c r="O2171" t="str">
        <f>_xlfn.XLOOKUP(A2171,[1]!brca_metabric_clinical_data__2[Sample ID],[1]!brca_metabric_clinical_data__2[Tumor Stage])</f>
        <v>2</v>
      </c>
    </row>
    <row r="2172" spans="1:15" x14ac:dyDescent="0.45">
      <c r="A2172" t="s">
        <v>2207</v>
      </c>
      <c r="B2172">
        <v>38.26</v>
      </c>
      <c r="C2172" t="s">
        <v>16</v>
      </c>
      <c r="E2172" t="s">
        <v>37</v>
      </c>
      <c r="N2172" t="str">
        <f>_xlfn.XLOOKUP(A2172,[1]!brca_metabric_clinical_data__2[Patient ID], [1]!brca_metabric_clinical_data__2[Tumor Size])</f>
        <v>40</v>
      </c>
      <c r="O2172" t="str">
        <f>_xlfn.XLOOKUP(A2172,[1]!brca_metabric_clinical_data__2[Sample ID],[1]!brca_metabric_clinical_data__2[Tumor Stage])</f>
        <v>2</v>
      </c>
    </row>
    <row r="2173" spans="1:15" x14ac:dyDescent="0.45">
      <c r="A2173" t="s">
        <v>2208</v>
      </c>
      <c r="B2173">
        <v>46</v>
      </c>
      <c r="C2173" t="s">
        <v>16</v>
      </c>
      <c r="E2173" t="s">
        <v>18</v>
      </c>
      <c r="N2173" t="str">
        <f>_xlfn.XLOOKUP(A2173,[1]!brca_metabric_clinical_data__2[Patient ID], [1]!brca_metabric_clinical_data__2[Tumor Size])</f>
        <v>22</v>
      </c>
      <c r="O2173" t="str">
        <f>_xlfn.XLOOKUP(A2173,[1]!brca_metabric_clinical_data__2[Sample ID],[1]!brca_metabric_clinical_data__2[Tumor Stage])</f>
        <v>2</v>
      </c>
    </row>
    <row r="2174" spans="1:15" x14ac:dyDescent="0.45">
      <c r="A2174" t="s">
        <v>2209</v>
      </c>
      <c r="B2174">
        <v>36</v>
      </c>
      <c r="C2174" t="s">
        <v>16</v>
      </c>
      <c r="E2174" t="s">
        <v>18</v>
      </c>
      <c r="N2174" t="str">
        <f>_xlfn.XLOOKUP(A2174,[1]!brca_metabric_clinical_data__2[Patient ID], [1]!brca_metabric_clinical_data__2[Tumor Size])</f>
        <v>12</v>
      </c>
      <c r="O2174" t="str">
        <f>_xlfn.XLOOKUP(A2174,[1]!brca_metabric_clinical_data__2[Sample ID],[1]!brca_metabric_clinical_data__2[Tumor Stage])</f>
        <v>2</v>
      </c>
    </row>
    <row r="2175" spans="1:15" x14ac:dyDescent="0.45">
      <c r="A2175" t="s">
        <v>2210</v>
      </c>
      <c r="B2175">
        <v>61</v>
      </c>
      <c r="C2175" t="s">
        <v>16</v>
      </c>
      <c r="E2175" t="s">
        <v>37</v>
      </c>
      <c r="N2175" t="str">
        <f>_xlfn.XLOOKUP(A2175,[1]!brca_metabric_clinical_data__2[Patient ID], [1]!brca_metabric_clinical_data__2[Tumor Size])</f>
        <v>15</v>
      </c>
      <c r="O2175" t="str">
        <f>_xlfn.XLOOKUP(A2175,[1]!brca_metabric_clinical_data__2[Sample ID],[1]!brca_metabric_clinical_data__2[Tumor Stage])</f>
        <v>2</v>
      </c>
    </row>
    <row r="2176" spans="1:15" x14ac:dyDescent="0.45">
      <c r="A2176" t="s">
        <v>2211</v>
      </c>
      <c r="B2176">
        <v>44</v>
      </c>
      <c r="C2176" t="s">
        <v>16</v>
      </c>
      <c r="E2176" t="s">
        <v>37</v>
      </c>
      <c r="N2176" t="str">
        <f>_xlfn.XLOOKUP(A2176,[1]!brca_metabric_clinical_data__2[Patient ID], [1]!brca_metabric_clinical_data__2[Tumor Size])</f>
        <v>25</v>
      </c>
      <c r="O2176" t="str">
        <f>_xlfn.XLOOKUP(A2176,[1]!brca_metabric_clinical_data__2[Sample ID],[1]!brca_metabric_clinical_data__2[Tumor Stage])</f>
        <v>1</v>
      </c>
    </row>
    <row r="2177" spans="1:15" x14ac:dyDescent="0.45">
      <c r="A2177" t="s">
        <v>2212</v>
      </c>
      <c r="B2177">
        <v>43</v>
      </c>
      <c r="C2177" t="s">
        <v>16</v>
      </c>
      <c r="E2177" t="s">
        <v>18</v>
      </c>
      <c r="N2177" t="str">
        <f>_xlfn.XLOOKUP(A2177,[1]!brca_metabric_clinical_data__2[Patient ID], [1]!brca_metabric_clinical_data__2[Tumor Size])</f>
        <v>20</v>
      </c>
      <c r="O2177" t="str">
        <f>_xlfn.XLOOKUP(A2177,[1]!brca_metabric_clinical_data__2[Sample ID],[1]!brca_metabric_clinical_data__2[Tumor Stage])</f>
        <v>1</v>
      </c>
    </row>
    <row r="2178" spans="1:15" x14ac:dyDescent="0.45">
      <c r="A2178" t="s">
        <v>2213</v>
      </c>
      <c r="B2178">
        <v>70</v>
      </c>
      <c r="C2178" t="s">
        <v>16</v>
      </c>
      <c r="E2178" t="s">
        <v>37</v>
      </c>
      <c r="N2178" t="str">
        <f>_xlfn.XLOOKUP(A2178,[1]!brca_metabric_clinical_data__2[Patient ID], [1]!brca_metabric_clinical_data__2[Tumor Size])</f>
        <v>15</v>
      </c>
      <c r="O2178" t="str">
        <f>_xlfn.XLOOKUP(A2178,[1]!brca_metabric_clinical_data__2[Sample ID],[1]!brca_metabric_clinical_data__2[Tumor Stage])</f>
        <v>1</v>
      </c>
    </row>
    <row r="2179" spans="1:15" x14ac:dyDescent="0.45">
      <c r="A2179" t="s">
        <v>2214</v>
      </c>
      <c r="B2179">
        <v>46</v>
      </c>
      <c r="C2179" t="s">
        <v>16</v>
      </c>
      <c r="E2179" t="s">
        <v>18</v>
      </c>
      <c r="N2179" t="str">
        <f>_xlfn.XLOOKUP(A2179,[1]!brca_metabric_clinical_data__2[Patient ID], [1]!brca_metabric_clinical_data__2[Tumor Size])</f>
        <v>20</v>
      </c>
      <c r="O2179" t="str">
        <f>_xlfn.XLOOKUP(A2179,[1]!brca_metabric_clinical_data__2[Sample ID],[1]!brca_metabric_clinical_data__2[Tumor Stage])</f>
        <v>1</v>
      </c>
    </row>
    <row r="2180" spans="1:15" x14ac:dyDescent="0.45">
      <c r="A2180" t="s">
        <v>2215</v>
      </c>
      <c r="B2180">
        <v>43</v>
      </c>
      <c r="C2180" t="s">
        <v>16</v>
      </c>
      <c r="E2180" t="s">
        <v>18</v>
      </c>
      <c r="N2180" t="str">
        <f>_xlfn.XLOOKUP(A2180,[1]!brca_metabric_clinical_data__2[Patient ID], [1]!brca_metabric_clinical_data__2[Tumor Size])</f>
        <v>10</v>
      </c>
      <c r="O2180" t="str">
        <f>_xlfn.XLOOKUP(A2180,[1]!brca_metabric_clinical_data__2[Sample ID],[1]!brca_metabric_clinical_data__2[Tumor Stage])</f>
        <v>1</v>
      </c>
    </row>
    <row r="2181" spans="1:15" x14ac:dyDescent="0.45">
      <c r="A2181" t="s">
        <v>2216</v>
      </c>
      <c r="B2181">
        <v>63</v>
      </c>
      <c r="C2181" t="s">
        <v>16</v>
      </c>
      <c r="E2181" t="s">
        <v>18</v>
      </c>
      <c r="N2181" t="str">
        <f>_xlfn.XLOOKUP(A2181,[1]!brca_metabric_clinical_data__2[Patient ID], [1]!brca_metabric_clinical_data__2[Tumor Size])</f>
        <v>16</v>
      </c>
      <c r="O2181" t="str">
        <f>_xlfn.XLOOKUP(A2181,[1]!brca_metabric_clinical_data__2[Sample ID],[1]!brca_metabric_clinical_data__2[Tumor Stage])</f>
        <v>1</v>
      </c>
    </row>
    <row r="2182" spans="1:15" x14ac:dyDescent="0.45">
      <c r="A2182" t="s">
        <v>2217</v>
      </c>
      <c r="B2182">
        <v>60</v>
      </c>
      <c r="C2182" t="s">
        <v>16</v>
      </c>
      <c r="E2182" t="s">
        <v>37</v>
      </c>
      <c r="N2182" t="str">
        <f>_xlfn.XLOOKUP(A2182,[1]!brca_metabric_clinical_data__2[Patient ID], [1]!brca_metabric_clinical_data__2[Tumor Size])</f>
        <v>14</v>
      </c>
      <c r="O2182" t="str">
        <f>_xlfn.XLOOKUP(A2182,[1]!brca_metabric_clinical_data__2[Sample ID],[1]!brca_metabric_clinical_data__2[Tumor Stage])</f>
        <v>2</v>
      </c>
    </row>
    <row r="2183" spans="1:15" x14ac:dyDescent="0.45">
      <c r="A2183" t="s">
        <v>2218</v>
      </c>
      <c r="B2183">
        <v>65</v>
      </c>
      <c r="C2183" t="s">
        <v>16</v>
      </c>
      <c r="E2183" t="s">
        <v>18</v>
      </c>
      <c r="N2183" t="str">
        <f>_xlfn.XLOOKUP(A2183,[1]!brca_metabric_clinical_data__2[Patient ID], [1]!brca_metabric_clinical_data__2[Tumor Size])</f>
        <v>15</v>
      </c>
      <c r="O2183" t="str">
        <f>_xlfn.XLOOKUP(A2183,[1]!brca_metabric_clinical_data__2[Sample ID],[1]!brca_metabric_clinical_data__2[Tumor Stage])</f>
        <v>1</v>
      </c>
    </row>
    <row r="2184" spans="1:15" x14ac:dyDescent="0.45">
      <c r="A2184" t="s">
        <v>2219</v>
      </c>
      <c r="B2184">
        <v>70</v>
      </c>
      <c r="C2184" t="s">
        <v>16</v>
      </c>
      <c r="E2184" t="s">
        <v>18</v>
      </c>
      <c r="N2184" t="str">
        <f>_xlfn.XLOOKUP(A2184,[1]!brca_metabric_clinical_data__2[Patient ID], [1]!brca_metabric_clinical_data__2[Tumor Size])</f>
        <v>15</v>
      </c>
      <c r="O2184" t="str">
        <f>_xlfn.XLOOKUP(A2184,[1]!brca_metabric_clinical_data__2[Sample ID],[1]!brca_metabric_clinical_data__2[Tumor Stage])</f>
        <v>1</v>
      </c>
    </row>
    <row r="2185" spans="1:15" x14ac:dyDescent="0.45">
      <c r="A2185" t="s">
        <v>2220</v>
      </c>
      <c r="B2185">
        <v>67</v>
      </c>
      <c r="C2185" t="s">
        <v>16</v>
      </c>
      <c r="E2185" t="s">
        <v>18</v>
      </c>
      <c r="N2185" t="str">
        <f>_xlfn.XLOOKUP(A2185,[1]!brca_metabric_clinical_data__2[Patient ID], [1]!brca_metabric_clinical_data__2[Tumor Size])</f>
        <v>16</v>
      </c>
      <c r="O2185" t="str">
        <f>_xlfn.XLOOKUP(A2185,[1]!brca_metabric_clinical_data__2[Sample ID],[1]!brca_metabric_clinical_data__2[Tumor Stage])</f>
        <v>2</v>
      </c>
    </row>
    <row r="2186" spans="1:15" x14ac:dyDescent="0.45">
      <c r="A2186" t="s">
        <v>2221</v>
      </c>
      <c r="B2186">
        <v>64</v>
      </c>
      <c r="C2186" t="s">
        <v>16</v>
      </c>
      <c r="E2186" t="s">
        <v>18</v>
      </c>
      <c r="N2186" t="str">
        <f>_xlfn.XLOOKUP(A2186,[1]!brca_metabric_clinical_data__2[Patient ID], [1]!brca_metabric_clinical_data__2[Tumor Size])</f>
        <v>30</v>
      </c>
      <c r="O2186" t="str">
        <f>_xlfn.XLOOKUP(A2186,[1]!brca_metabric_clinical_data__2[Sample ID],[1]!brca_metabric_clinical_data__2[Tumor Stage])</f>
        <v>2</v>
      </c>
    </row>
    <row r="2187" spans="1:15" x14ac:dyDescent="0.45">
      <c r="A2187" t="s">
        <v>2222</v>
      </c>
      <c r="B2187">
        <v>64</v>
      </c>
      <c r="C2187" t="s">
        <v>16</v>
      </c>
      <c r="E2187" t="s">
        <v>18</v>
      </c>
      <c r="N2187" t="str">
        <f>_xlfn.XLOOKUP(A2187,[1]!brca_metabric_clinical_data__2[Patient ID], [1]!brca_metabric_clinical_data__2[Tumor Size])</f>
        <v>7</v>
      </c>
      <c r="O2187" t="str">
        <f>_xlfn.XLOOKUP(A2187,[1]!brca_metabric_clinical_data__2[Sample ID],[1]!brca_metabric_clinical_data__2[Tumor Stage])</f>
        <v>2</v>
      </c>
    </row>
    <row r="2188" spans="1:15" x14ac:dyDescent="0.45">
      <c r="A2188" t="s">
        <v>2223</v>
      </c>
      <c r="B2188">
        <v>63</v>
      </c>
      <c r="C2188" t="s">
        <v>16</v>
      </c>
      <c r="E2188" t="s">
        <v>18</v>
      </c>
      <c r="N2188" t="str">
        <f>_xlfn.XLOOKUP(A2188,[1]!brca_metabric_clinical_data__2[Patient ID], [1]!brca_metabric_clinical_data__2[Tumor Size])</f>
        <v>14</v>
      </c>
      <c r="O2188" t="str">
        <f>_xlfn.XLOOKUP(A2188,[1]!brca_metabric_clinical_data__2[Sample ID],[1]!brca_metabric_clinical_data__2[Tumor Stage])</f>
        <v>1</v>
      </c>
    </row>
    <row r="2189" spans="1:15" x14ac:dyDescent="0.45">
      <c r="A2189" t="s">
        <v>2224</v>
      </c>
      <c r="B2189">
        <v>50</v>
      </c>
      <c r="C2189" t="s">
        <v>16</v>
      </c>
      <c r="E2189" t="s">
        <v>18</v>
      </c>
      <c r="N2189" t="str">
        <f>_xlfn.XLOOKUP(A2189,[1]!brca_metabric_clinical_data__2[Patient ID], [1]!brca_metabric_clinical_data__2[Tumor Size])</f>
        <v>12</v>
      </c>
      <c r="O2189" t="str">
        <f>_xlfn.XLOOKUP(A2189,[1]!brca_metabric_clinical_data__2[Sample ID],[1]!brca_metabric_clinical_data__2[Tumor Stage])</f>
        <v>3</v>
      </c>
    </row>
    <row r="2190" spans="1:15" x14ac:dyDescent="0.45">
      <c r="A2190" t="s">
        <v>2225</v>
      </c>
      <c r="B2190">
        <v>57</v>
      </c>
      <c r="C2190" t="s">
        <v>16</v>
      </c>
      <c r="E2190" t="s">
        <v>18</v>
      </c>
      <c r="N2190" t="str">
        <f>_xlfn.XLOOKUP(A2190,[1]!brca_metabric_clinical_data__2[Patient ID], [1]!brca_metabric_clinical_data__2[Tumor Size])</f>
        <v>11</v>
      </c>
      <c r="O2190" t="str">
        <f>_xlfn.XLOOKUP(A2190,[1]!brca_metabric_clinical_data__2[Sample ID],[1]!brca_metabric_clinical_data__2[Tumor Stage])</f>
        <v>1</v>
      </c>
    </row>
    <row r="2191" spans="1:15" x14ac:dyDescent="0.45">
      <c r="A2191" t="s">
        <v>2226</v>
      </c>
      <c r="B2191">
        <v>45</v>
      </c>
      <c r="C2191" t="s">
        <v>16</v>
      </c>
      <c r="E2191" t="s">
        <v>37</v>
      </c>
      <c r="N2191" t="str">
        <f>_xlfn.XLOOKUP(A2191,[1]!brca_metabric_clinical_data__2[Patient ID], [1]!brca_metabric_clinical_data__2[Tumor Size])</f>
        <v>14</v>
      </c>
      <c r="O2191" t="str">
        <f>_xlfn.XLOOKUP(A2191,[1]!brca_metabric_clinical_data__2[Sample ID],[1]!brca_metabric_clinical_data__2[Tumor Stage])</f>
        <v>1</v>
      </c>
    </row>
    <row r="2192" spans="1:15" x14ac:dyDescent="0.45">
      <c r="A2192" t="s">
        <v>2227</v>
      </c>
      <c r="B2192">
        <v>54</v>
      </c>
      <c r="C2192" t="s">
        <v>16</v>
      </c>
      <c r="E2192" t="s">
        <v>18</v>
      </c>
      <c r="N2192" t="str">
        <f>_xlfn.XLOOKUP(A2192,[1]!brca_metabric_clinical_data__2[Patient ID], [1]!brca_metabric_clinical_data__2[Tumor Size])</f>
        <v>35</v>
      </c>
      <c r="O2192" t="str">
        <f>_xlfn.XLOOKUP(A2192,[1]!brca_metabric_clinical_data__2[Sample ID],[1]!brca_metabric_clinical_data__2[Tumor Stage])</f>
        <v>1</v>
      </c>
    </row>
    <row r="2193" spans="1:15" x14ac:dyDescent="0.45">
      <c r="A2193" t="s">
        <v>2228</v>
      </c>
      <c r="B2193">
        <v>45</v>
      </c>
      <c r="C2193" t="s">
        <v>16</v>
      </c>
      <c r="E2193" t="s">
        <v>37</v>
      </c>
      <c r="N2193" t="str">
        <f>_xlfn.XLOOKUP(A2193,[1]!brca_metabric_clinical_data__2[Patient ID], [1]!brca_metabric_clinical_data__2[Tumor Size])</f>
        <v>15</v>
      </c>
      <c r="O2193" t="str">
        <f>_xlfn.XLOOKUP(A2193,[1]!brca_metabric_clinical_data__2[Sample ID],[1]!brca_metabric_clinical_data__2[Tumor Stage])</f>
        <v>1</v>
      </c>
    </row>
    <row r="2194" spans="1:15" x14ac:dyDescent="0.45">
      <c r="A2194" t="s">
        <v>2229</v>
      </c>
      <c r="B2194">
        <v>50</v>
      </c>
      <c r="C2194" t="s">
        <v>16</v>
      </c>
      <c r="E2194" t="s">
        <v>37</v>
      </c>
      <c r="N2194" t="str">
        <f>_xlfn.XLOOKUP(A2194,[1]!brca_metabric_clinical_data__2[Patient ID], [1]!brca_metabric_clinical_data__2[Tumor Size])</f>
        <v>15</v>
      </c>
      <c r="O2194" t="str">
        <f>_xlfn.XLOOKUP(A2194,[1]!brca_metabric_clinical_data__2[Sample ID],[1]!brca_metabric_clinical_data__2[Tumor Stage])</f>
        <v>1</v>
      </c>
    </row>
    <row r="2195" spans="1:15" x14ac:dyDescent="0.45">
      <c r="A2195" t="s">
        <v>2230</v>
      </c>
      <c r="B2195">
        <v>45</v>
      </c>
      <c r="C2195" t="s">
        <v>16</v>
      </c>
      <c r="E2195" t="s">
        <v>18</v>
      </c>
      <c r="N2195" t="str">
        <f>_xlfn.XLOOKUP(A2195,[1]!brca_metabric_clinical_data__2[Patient ID], [1]!brca_metabric_clinical_data__2[Tumor Size])</f>
        <v>19</v>
      </c>
      <c r="O2195" t="str">
        <f>_xlfn.XLOOKUP(A2195,[1]!brca_metabric_clinical_data__2[Sample ID],[1]!brca_metabric_clinical_data__2[Tumor Stage])</f>
        <v>3</v>
      </c>
    </row>
    <row r="2196" spans="1:15" x14ac:dyDescent="0.45">
      <c r="A2196" t="s">
        <v>2231</v>
      </c>
      <c r="B2196">
        <v>49</v>
      </c>
      <c r="C2196" t="s">
        <v>16</v>
      </c>
      <c r="E2196" t="s">
        <v>18</v>
      </c>
      <c r="N2196" t="str">
        <f>_xlfn.XLOOKUP(A2196,[1]!brca_metabric_clinical_data__2[Patient ID], [1]!brca_metabric_clinical_data__2[Tumor Size])</f>
        <v>10</v>
      </c>
      <c r="O2196" t="str">
        <f>_xlfn.XLOOKUP(A2196,[1]!brca_metabric_clinical_data__2[Sample ID],[1]!brca_metabric_clinical_data__2[Tumor Stage])</f>
        <v>1</v>
      </c>
    </row>
    <row r="2197" spans="1:15" x14ac:dyDescent="0.45">
      <c r="A2197" t="s">
        <v>2232</v>
      </c>
      <c r="B2197">
        <v>63</v>
      </c>
      <c r="C2197" t="s">
        <v>16</v>
      </c>
      <c r="E2197" t="s">
        <v>37</v>
      </c>
      <c r="N2197" t="str">
        <f>_xlfn.XLOOKUP(A2197,[1]!brca_metabric_clinical_data__2[Patient ID], [1]!brca_metabric_clinical_data__2[Tumor Size])</f>
        <v>13</v>
      </c>
      <c r="O2197" t="str">
        <f>_xlfn.XLOOKUP(A2197,[1]!brca_metabric_clinical_data__2[Sample ID],[1]!brca_metabric_clinical_data__2[Tumor Stage])</f>
        <v>2</v>
      </c>
    </row>
    <row r="2198" spans="1:15" x14ac:dyDescent="0.45">
      <c r="A2198" t="s">
        <v>2233</v>
      </c>
      <c r="B2198">
        <v>60</v>
      </c>
      <c r="C2198" t="s">
        <v>16</v>
      </c>
      <c r="E2198" t="s">
        <v>18</v>
      </c>
      <c r="N2198" t="str">
        <f>_xlfn.XLOOKUP(A2198,[1]!brca_metabric_clinical_data__2[Patient ID], [1]!brca_metabric_clinical_data__2[Tumor Size])</f>
        <v>15</v>
      </c>
      <c r="O2198" t="str">
        <f>_xlfn.XLOOKUP(A2198,[1]!brca_metabric_clinical_data__2[Sample ID],[1]!brca_metabric_clinical_data__2[Tumor Stage])</f>
        <v>1</v>
      </c>
    </row>
    <row r="2199" spans="1:15" x14ac:dyDescent="0.45">
      <c r="A2199" t="s">
        <v>2234</v>
      </c>
      <c r="B2199">
        <v>62</v>
      </c>
      <c r="C2199" t="s">
        <v>16</v>
      </c>
      <c r="E2199" t="s">
        <v>37</v>
      </c>
      <c r="N2199" t="str">
        <f>_xlfn.XLOOKUP(A2199,[1]!brca_metabric_clinical_data__2[Patient ID], [1]!brca_metabric_clinical_data__2[Tumor Size])</f>
        <v>1</v>
      </c>
      <c r="O2199" t="str">
        <f>_xlfn.XLOOKUP(A2199,[1]!brca_metabric_clinical_data__2[Sample ID],[1]!brca_metabric_clinical_data__2[Tumor Stage])</f>
        <v>1</v>
      </c>
    </row>
    <row r="2200" spans="1:15" x14ac:dyDescent="0.45">
      <c r="A2200" t="s">
        <v>2235</v>
      </c>
      <c r="B2200">
        <v>65</v>
      </c>
      <c r="C2200" t="s">
        <v>16</v>
      </c>
      <c r="E2200" t="s">
        <v>18</v>
      </c>
      <c r="N2200" t="str">
        <f>_xlfn.XLOOKUP(A2200,[1]!brca_metabric_clinical_data__2[Patient ID], [1]!brca_metabric_clinical_data__2[Tumor Size])</f>
        <v>10</v>
      </c>
      <c r="O2200" t="str">
        <f>_xlfn.XLOOKUP(A2200,[1]!brca_metabric_clinical_data__2[Sample ID],[1]!brca_metabric_clinical_data__2[Tumor Stage])</f>
        <v>1</v>
      </c>
    </row>
    <row r="2201" spans="1:15" x14ac:dyDescent="0.45">
      <c r="A2201" t="s">
        <v>2236</v>
      </c>
      <c r="B2201">
        <v>68</v>
      </c>
      <c r="C2201" t="s">
        <v>16</v>
      </c>
      <c r="E2201" t="s">
        <v>18</v>
      </c>
      <c r="N2201" t="str">
        <f>_xlfn.XLOOKUP(A2201,[1]!brca_metabric_clinical_data__2[Patient ID], [1]!brca_metabric_clinical_data__2[Tumor Size])</f>
        <v>22</v>
      </c>
      <c r="O2201" t="str">
        <f>_xlfn.XLOOKUP(A2201,[1]!brca_metabric_clinical_data__2[Sample ID],[1]!brca_metabric_clinical_data__2[Tumor Stage])</f>
        <v>1</v>
      </c>
    </row>
    <row r="2202" spans="1:15" x14ac:dyDescent="0.45">
      <c r="A2202" t="s">
        <v>2237</v>
      </c>
      <c r="B2202">
        <v>56</v>
      </c>
      <c r="C2202" t="s">
        <v>16</v>
      </c>
      <c r="E2202" t="s">
        <v>18</v>
      </c>
      <c r="N2202" t="str">
        <f>_xlfn.XLOOKUP(A2202,[1]!brca_metabric_clinical_data__2[Patient ID], [1]!brca_metabric_clinical_data__2[Tumor Size])</f>
        <v>17</v>
      </c>
      <c r="O2202" t="str">
        <f>_xlfn.XLOOKUP(A2202,[1]!brca_metabric_clinical_data__2[Sample ID],[1]!brca_metabric_clinical_data__2[Tumor Stage])</f>
        <v>1</v>
      </c>
    </row>
    <row r="2203" spans="1:15" x14ac:dyDescent="0.45">
      <c r="A2203" t="s">
        <v>2238</v>
      </c>
      <c r="B2203">
        <v>41</v>
      </c>
      <c r="C2203" t="s">
        <v>16</v>
      </c>
      <c r="E2203" t="s">
        <v>37</v>
      </c>
      <c r="N2203" t="str">
        <f>_xlfn.XLOOKUP(A2203,[1]!brca_metabric_clinical_data__2[Patient ID], [1]!brca_metabric_clinical_data__2[Tumor Size])</f>
        <v>30</v>
      </c>
      <c r="O2203" t="str">
        <f>_xlfn.XLOOKUP(A2203,[1]!brca_metabric_clinical_data__2[Sample ID],[1]!brca_metabric_clinical_data__2[Tumor Stage])</f>
        <v>2</v>
      </c>
    </row>
    <row r="2204" spans="1:15" x14ac:dyDescent="0.45">
      <c r="A2204" t="s">
        <v>2239</v>
      </c>
      <c r="B2204">
        <v>63</v>
      </c>
      <c r="C2204" t="s">
        <v>16</v>
      </c>
      <c r="E2204" t="s">
        <v>18</v>
      </c>
      <c r="N2204" t="str">
        <f>_xlfn.XLOOKUP(A2204,[1]!brca_metabric_clinical_data__2[Patient ID], [1]!brca_metabric_clinical_data__2[Tumor Size])</f>
        <v>22</v>
      </c>
      <c r="O2204" t="str">
        <f>_xlfn.XLOOKUP(A2204,[1]!brca_metabric_clinical_data__2[Sample ID],[1]!brca_metabric_clinical_data__2[Tumor Stage])</f>
        <v>1</v>
      </c>
    </row>
    <row r="2205" spans="1:15" x14ac:dyDescent="0.45">
      <c r="A2205" t="s">
        <v>2240</v>
      </c>
      <c r="B2205">
        <v>66</v>
      </c>
      <c r="C2205" t="s">
        <v>16</v>
      </c>
      <c r="E2205" t="s">
        <v>18</v>
      </c>
      <c r="N2205" t="str">
        <f>_xlfn.XLOOKUP(A2205,[1]!brca_metabric_clinical_data__2[Patient ID], [1]!brca_metabric_clinical_data__2[Tumor Size])</f>
        <v>9</v>
      </c>
      <c r="O2205" t="str">
        <f>_xlfn.XLOOKUP(A2205,[1]!brca_metabric_clinical_data__2[Sample ID],[1]!brca_metabric_clinical_data__2[Tumor Stage])</f>
        <v>1</v>
      </c>
    </row>
    <row r="2206" spans="1:15" x14ac:dyDescent="0.45">
      <c r="A2206" t="s">
        <v>2241</v>
      </c>
      <c r="B2206">
        <v>42</v>
      </c>
      <c r="C2206" t="s">
        <v>16</v>
      </c>
      <c r="E2206" t="s">
        <v>37</v>
      </c>
      <c r="N2206" t="str">
        <f>_xlfn.XLOOKUP(A2206,[1]!brca_metabric_clinical_data__2[Patient ID], [1]!brca_metabric_clinical_data__2[Tumor Size])</f>
        <v>16</v>
      </c>
      <c r="O2206" t="str">
        <f>_xlfn.XLOOKUP(A2206,[1]!brca_metabric_clinical_data__2[Sample ID],[1]!brca_metabric_clinical_data__2[Tumor Stage])</f>
        <v>1</v>
      </c>
    </row>
    <row r="2207" spans="1:15" x14ac:dyDescent="0.45">
      <c r="A2207" t="s">
        <v>2242</v>
      </c>
      <c r="B2207">
        <v>49</v>
      </c>
      <c r="C2207" t="s">
        <v>16</v>
      </c>
      <c r="E2207" t="s">
        <v>37</v>
      </c>
      <c r="N2207" t="str">
        <f>_xlfn.XLOOKUP(A2207,[1]!brca_metabric_clinical_data__2[Patient ID], [1]!brca_metabric_clinical_data__2[Tumor Size])</f>
        <v>18</v>
      </c>
      <c r="O2207" t="str">
        <f>_xlfn.XLOOKUP(A2207,[1]!brca_metabric_clinical_data__2[Sample ID],[1]!brca_metabric_clinical_data__2[Tumor Stage])</f>
        <v>3</v>
      </c>
    </row>
    <row r="2208" spans="1:15" x14ac:dyDescent="0.45">
      <c r="A2208" t="s">
        <v>2243</v>
      </c>
      <c r="B2208">
        <v>65</v>
      </c>
      <c r="C2208" t="s">
        <v>16</v>
      </c>
      <c r="E2208" t="s">
        <v>18</v>
      </c>
      <c r="N2208" t="str">
        <f>_xlfn.XLOOKUP(A2208,[1]!brca_metabric_clinical_data__2[Patient ID], [1]!brca_metabric_clinical_data__2[Tumor Size])</f>
        <v>20</v>
      </c>
      <c r="O2208" t="str">
        <f>_xlfn.XLOOKUP(A2208,[1]!brca_metabric_clinical_data__2[Sample ID],[1]!brca_metabric_clinical_data__2[Tumor Stage])</f>
        <v>2</v>
      </c>
    </row>
    <row r="2209" spans="1:15" x14ac:dyDescent="0.45">
      <c r="A2209" t="s">
        <v>2244</v>
      </c>
      <c r="B2209">
        <v>45</v>
      </c>
      <c r="C2209" t="s">
        <v>16</v>
      </c>
      <c r="E2209" t="s">
        <v>37</v>
      </c>
      <c r="N2209" t="str">
        <f>_xlfn.XLOOKUP(A2209,[1]!brca_metabric_clinical_data__2[Patient ID], [1]!brca_metabric_clinical_data__2[Tumor Size])</f>
        <v>18</v>
      </c>
      <c r="O2209" t="str">
        <f>_xlfn.XLOOKUP(A2209,[1]!brca_metabric_clinical_data__2[Sample ID],[1]!brca_metabric_clinical_data__2[Tumor Stage])</f>
        <v>2</v>
      </c>
    </row>
    <row r="2210" spans="1:15" x14ac:dyDescent="0.45">
      <c r="A2210" t="s">
        <v>2245</v>
      </c>
      <c r="B2210">
        <v>53</v>
      </c>
      <c r="C2210" t="s">
        <v>16</v>
      </c>
      <c r="E2210" t="s">
        <v>18</v>
      </c>
      <c r="N2210" t="str">
        <f>_xlfn.XLOOKUP(A2210,[1]!brca_metabric_clinical_data__2[Patient ID], [1]!brca_metabric_clinical_data__2[Tumor Size])</f>
        <v>17</v>
      </c>
      <c r="O2210" t="str">
        <f>_xlfn.XLOOKUP(A2210,[1]!brca_metabric_clinical_data__2[Sample ID],[1]!brca_metabric_clinical_data__2[Tumor Stage])</f>
        <v>1</v>
      </c>
    </row>
    <row r="2211" spans="1:15" x14ac:dyDescent="0.45">
      <c r="A2211" t="s">
        <v>2246</v>
      </c>
      <c r="B2211">
        <v>57</v>
      </c>
      <c r="C2211" t="s">
        <v>16</v>
      </c>
      <c r="E2211" t="s">
        <v>18</v>
      </c>
      <c r="N2211" t="str">
        <f>_xlfn.XLOOKUP(A2211,[1]!brca_metabric_clinical_data__2[Patient ID], [1]!brca_metabric_clinical_data__2[Tumor Size])</f>
        <v>20</v>
      </c>
      <c r="O2211" t="str">
        <f>_xlfn.XLOOKUP(A2211,[1]!brca_metabric_clinical_data__2[Sample ID],[1]!brca_metabric_clinical_data__2[Tumor Stage])</f>
        <v>2</v>
      </c>
    </row>
    <row r="2212" spans="1:15" x14ac:dyDescent="0.45">
      <c r="A2212" t="s">
        <v>2247</v>
      </c>
      <c r="B2212">
        <v>57</v>
      </c>
      <c r="C2212" t="s">
        <v>16</v>
      </c>
      <c r="E2212" t="s">
        <v>18</v>
      </c>
      <c r="N2212" t="str">
        <f>_xlfn.XLOOKUP(A2212,[1]!brca_metabric_clinical_data__2[Patient ID], [1]!brca_metabric_clinical_data__2[Tumor Size])</f>
        <v>24</v>
      </c>
      <c r="O2212" t="str">
        <f>_xlfn.XLOOKUP(A2212,[1]!brca_metabric_clinical_data__2[Sample ID],[1]!brca_metabric_clinical_data__2[Tumor Stage])</f>
        <v>3</v>
      </c>
    </row>
    <row r="2213" spans="1:15" x14ac:dyDescent="0.45">
      <c r="A2213" t="s">
        <v>2248</v>
      </c>
      <c r="B2213">
        <v>52</v>
      </c>
      <c r="C2213" t="s">
        <v>16</v>
      </c>
      <c r="E2213" t="s">
        <v>18</v>
      </c>
      <c r="N2213" t="str">
        <f>_xlfn.XLOOKUP(A2213,[1]!brca_metabric_clinical_data__2[Patient ID], [1]!brca_metabric_clinical_data__2[Tumor Size])</f>
        <v>15</v>
      </c>
      <c r="O2213" t="str">
        <f>_xlfn.XLOOKUP(A2213,[1]!brca_metabric_clinical_data__2[Sample ID],[1]!brca_metabric_clinical_data__2[Tumor Stage])</f>
        <v>2</v>
      </c>
    </row>
    <row r="2214" spans="1:15" x14ac:dyDescent="0.45">
      <c r="A2214" t="s">
        <v>2249</v>
      </c>
      <c r="B2214">
        <v>54</v>
      </c>
      <c r="C2214" t="s">
        <v>16</v>
      </c>
      <c r="E2214" t="s">
        <v>37</v>
      </c>
      <c r="N2214" t="str">
        <f>_xlfn.XLOOKUP(A2214,[1]!brca_metabric_clinical_data__2[Patient ID], [1]!brca_metabric_clinical_data__2[Tumor Size])</f>
        <v>25</v>
      </c>
      <c r="O2214" t="str">
        <f>_xlfn.XLOOKUP(A2214,[1]!brca_metabric_clinical_data__2[Sample ID],[1]!brca_metabric_clinical_data__2[Tumor Stage])</f>
        <v>2</v>
      </c>
    </row>
    <row r="2215" spans="1:15" x14ac:dyDescent="0.45">
      <c r="A2215" t="s">
        <v>2250</v>
      </c>
      <c r="B2215">
        <v>32</v>
      </c>
      <c r="C2215" t="s">
        <v>16</v>
      </c>
      <c r="E2215" t="s">
        <v>18</v>
      </c>
      <c r="N2215" t="str">
        <f>_xlfn.XLOOKUP(A2215,[1]!brca_metabric_clinical_data__2[Patient ID], [1]!brca_metabric_clinical_data__2[Tumor Size])</f>
        <v>15</v>
      </c>
      <c r="O2215" t="str">
        <f>_xlfn.XLOOKUP(A2215,[1]!brca_metabric_clinical_data__2[Sample ID],[1]!brca_metabric_clinical_data__2[Tumor Stage])</f>
        <v>1</v>
      </c>
    </row>
    <row r="2216" spans="1:15" x14ac:dyDescent="0.45">
      <c r="A2216" t="s">
        <v>2251</v>
      </c>
      <c r="B2216">
        <v>56</v>
      </c>
      <c r="C2216" t="s">
        <v>16</v>
      </c>
      <c r="E2216" t="s">
        <v>37</v>
      </c>
      <c r="N2216" t="str">
        <f>_xlfn.XLOOKUP(A2216,[1]!brca_metabric_clinical_data__2[Patient ID], [1]!brca_metabric_clinical_data__2[Tumor Size])</f>
        <v>22</v>
      </c>
      <c r="O2216" t="str">
        <f>_xlfn.XLOOKUP(A2216,[1]!brca_metabric_clinical_data__2[Sample ID],[1]!brca_metabric_clinical_data__2[Tumor Stage])</f>
        <v>1</v>
      </c>
    </row>
    <row r="2217" spans="1:15" x14ac:dyDescent="0.45">
      <c r="A2217" t="s">
        <v>2252</v>
      </c>
      <c r="B2217">
        <v>47</v>
      </c>
      <c r="C2217" t="s">
        <v>16</v>
      </c>
      <c r="E2217" t="s">
        <v>37</v>
      </c>
      <c r="N2217" t="str">
        <f>_xlfn.XLOOKUP(A2217,[1]!brca_metabric_clinical_data__2[Patient ID], [1]!brca_metabric_clinical_data__2[Tumor Size])</f>
        <v>30</v>
      </c>
      <c r="O2217" t="str">
        <f>_xlfn.XLOOKUP(A2217,[1]!brca_metabric_clinical_data__2[Sample ID],[1]!brca_metabric_clinical_data__2[Tumor Stage])</f>
        <v>1</v>
      </c>
    </row>
    <row r="2218" spans="1:15" x14ac:dyDescent="0.45">
      <c r="A2218" t="s">
        <v>2253</v>
      </c>
      <c r="B2218">
        <v>67</v>
      </c>
      <c r="C2218" t="s">
        <v>16</v>
      </c>
      <c r="E2218" t="s">
        <v>18</v>
      </c>
      <c r="N2218" t="str">
        <f>_xlfn.XLOOKUP(A2218,[1]!brca_metabric_clinical_data__2[Patient ID], [1]!brca_metabric_clinical_data__2[Tumor Size])</f>
        <v>20</v>
      </c>
      <c r="O2218" t="str">
        <f>_xlfn.XLOOKUP(A2218,[1]!brca_metabric_clinical_data__2[Sample ID],[1]!brca_metabric_clinical_data__2[Tumor Stage])</f>
        <v>1</v>
      </c>
    </row>
    <row r="2219" spans="1:15" x14ac:dyDescent="0.45">
      <c r="A2219" t="s">
        <v>2254</v>
      </c>
      <c r="B2219">
        <v>55</v>
      </c>
      <c r="C2219" t="s">
        <v>16</v>
      </c>
      <c r="E2219" t="s">
        <v>37</v>
      </c>
      <c r="N2219" t="str">
        <f>_xlfn.XLOOKUP(A2219,[1]!brca_metabric_clinical_data__2[Patient ID], [1]!brca_metabric_clinical_data__2[Tumor Size])</f>
        <v>37</v>
      </c>
      <c r="O2219" t="str">
        <f>_xlfn.XLOOKUP(A2219,[1]!brca_metabric_clinical_data__2[Sample ID],[1]!brca_metabric_clinical_data__2[Tumor Stage])</f>
        <v>2</v>
      </c>
    </row>
    <row r="2220" spans="1:15" x14ac:dyDescent="0.45">
      <c r="A2220" t="s">
        <v>2255</v>
      </c>
      <c r="B2220">
        <v>66</v>
      </c>
      <c r="C2220" t="s">
        <v>16</v>
      </c>
      <c r="E2220" t="s">
        <v>37</v>
      </c>
      <c r="N2220" t="str">
        <f>_xlfn.XLOOKUP(A2220,[1]!brca_metabric_clinical_data__2[Patient ID], [1]!brca_metabric_clinical_data__2[Tumor Size])</f>
        <v>13</v>
      </c>
      <c r="O2220" t="str">
        <f>_xlfn.XLOOKUP(A2220,[1]!brca_metabric_clinical_data__2[Sample ID],[1]!brca_metabric_clinical_data__2[Tumor Stage])</f>
        <v>3</v>
      </c>
    </row>
    <row r="2221" spans="1:15" x14ac:dyDescent="0.45">
      <c r="A2221" t="s">
        <v>2256</v>
      </c>
      <c r="B2221">
        <v>63</v>
      </c>
      <c r="C2221" t="s">
        <v>16</v>
      </c>
      <c r="E2221" t="s">
        <v>18</v>
      </c>
      <c r="N2221" t="str">
        <f>_xlfn.XLOOKUP(A2221,[1]!brca_metabric_clinical_data__2[Patient ID], [1]!brca_metabric_clinical_data__2[Tumor Size])</f>
        <v>15</v>
      </c>
      <c r="O2221" t="str">
        <f>_xlfn.XLOOKUP(A2221,[1]!brca_metabric_clinical_data__2[Sample ID],[1]!brca_metabric_clinical_data__2[Tumor Stage])</f>
        <v>1</v>
      </c>
    </row>
    <row r="2222" spans="1:15" x14ac:dyDescent="0.45">
      <c r="A2222" t="s">
        <v>2257</v>
      </c>
      <c r="B2222">
        <v>63</v>
      </c>
      <c r="C2222" t="s">
        <v>16</v>
      </c>
      <c r="E2222" t="s">
        <v>37</v>
      </c>
      <c r="N2222" t="str">
        <f>_xlfn.XLOOKUP(A2222,[1]!brca_metabric_clinical_data__2[Patient ID], [1]!brca_metabric_clinical_data__2[Tumor Size])</f>
        <v>25</v>
      </c>
      <c r="O2222" t="str">
        <f>_xlfn.XLOOKUP(A2222,[1]!brca_metabric_clinical_data__2[Sample ID],[1]!brca_metabric_clinical_data__2[Tumor Stage])</f>
        <v>3</v>
      </c>
    </row>
    <row r="2223" spans="1:15" x14ac:dyDescent="0.45">
      <c r="A2223" t="s">
        <v>2258</v>
      </c>
      <c r="B2223">
        <v>68</v>
      </c>
      <c r="C2223" t="s">
        <v>16</v>
      </c>
      <c r="E2223" t="s">
        <v>18</v>
      </c>
      <c r="N2223" t="str">
        <f>_xlfn.XLOOKUP(A2223,[1]!brca_metabric_clinical_data__2[Patient ID], [1]!brca_metabric_clinical_data__2[Tumor Size])</f>
        <v>17</v>
      </c>
      <c r="O2223" t="str">
        <f>_xlfn.XLOOKUP(A2223,[1]!brca_metabric_clinical_data__2[Sample ID],[1]!brca_metabric_clinical_data__2[Tumor Stage])</f>
        <v>1</v>
      </c>
    </row>
    <row r="2224" spans="1:15" x14ac:dyDescent="0.45">
      <c r="A2224" t="s">
        <v>2259</v>
      </c>
      <c r="B2224">
        <v>40</v>
      </c>
      <c r="C2224" t="s">
        <v>16</v>
      </c>
      <c r="E2224" t="s">
        <v>37</v>
      </c>
      <c r="N2224" t="str">
        <f>_xlfn.XLOOKUP(A2224,[1]!brca_metabric_clinical_data__2[Patient ID], [1]!brca_metabric_clinical_data__2[Tumor Size])</f>
        <v>30</v>
      </c>
      <c r="O2224" t="str">
        <f>_xlfn.XLOOKUP(A2224,[1]!brca_metabric_clinical_data__2[Sample ID],[1]!brca_metabric_clinical_data__2[Tumor Stage])</f>
        <v>1</v>
      </c>
    </row>
    <row r="2225" spans="1:15" x14ac:dyDescent="0.45">
      <c r="A2225" t="s">
        <v>2260</v>
      </c>
      <c r="B2225">
        <v>40</v>
      </c>
      <c r="C2225" t="s">
        <v>16</v>
      </c>
      <c r="E2225" t="s">
        <v>18</v>
      </c>
      <c r="N2225" t="str">
        <f>_xlfn.XLOOKUP(A2225,[1]!brca_metabric_clinical_data__2[Patient ID], [1]!brca_metabric_clinical_data__2[Tumor Size])</f>
        <v>17</v>
      </c>
      <c r="O2225" t="str">
        <f>_xlfn.XLOOKUP(A2225,[1]!brca_metabric_clinical_data__2[Sample ID],[1]!brca_metabric_clinical_data__2[Tumor Stage])</f>
        <v>1</v>
      </c>
    </row>
    <row r="2226" spans="1:15" x14ac:dyDescent="0.45">
      <c r="A2226" t="s">
        <v>2261</v>
      </c>
      <c r="B2226">
        <v>47</v>
      </c>
      <c r="C2226" t="s">
        <v>16</v>
      </c>
      <c r="E2226" t="s">
        <v>37</v>
      </c>
      <c r="N2226" t="str">
        <f>_xlfn.XLOOKUP(A2226,[1]!brca_metabric_clinical_data__2[Patient ID], [1]!brca_metabric_clinical_data__2[Tumor Size])</f>
        <v>20</v>
      </c>
      <c r="O2226" t="str">
        <f>_xlfn.XLOOKUP(A2226,[1]!brca_metabric_clinical_data__2[Sample ID],[1]!brca_metabric_clinical_data__2[Tumor Stage])</f>
        <v>1</v>
      </c>
    </row>
    <row r="2227" spans="1:15" x14ac:dyDescent="0.45">
      <c r="A2227" t="s">
        <v>2262</v>
      </c>
      <c r="B2227">
        <v>67</v>
      </c>
      <c r="C2227" t="s">
        <v>16</v>
      </c>
      <c r="E2227" t="s">
        <v>18</v>
      </c>
      <c r="N2227" t="str">
        <f>_xlfn.XLOOKUP(A2227,[1]!brca_metabric_clinical_data__2[Patient ID], [1]!brca_metabric_clinical_data__2[Tumor Size])</f>
        <v>25</v>
      </c>
      <c r="O2227" t="str">
        <f>_xlfn.XLOOKUP(A2227,[1]!brca_metabric_clinical_data__2[Sample ID],[1]!brca_metabric_clinical_data__2[Tumor Stage])</f>
        <v>2</v>
      </c>
    </row>
    <row r="2228" spans="1:15" x14ac:dyDescent="0.45">
      <c r="A2228" t="s">
        <v>2263</v>
      </c>
      <c r="B2228">
        <v>47</v>
      </c>
      <c r="C2228" t="s">
        <v>16</v>
      </c>
      <c r="E2228" t="s">
        <v>37</v>
      </c>
      <c r="N2228" t="str">
        <f>_xlfn.XLOOKUP(A2228,[1]!brca_metabric_clinical_data__2[Patient ID], [1]!brca_metabric_clinical_data__2[Tumor Size])</f>
        <v>15</v>
      </c>
      <c r="O2228" t="str">
        <f>_xlfn.XLOOKUP(A2228,[1]!brca_metabric_clinical_data__2[Sample ID],[1]!brca_metabric_clinical_data__2[Tumor Stage])</f>
        <v>1</v>
      </c>
    </row>
    <row r="2229" spans="1:15" x14ac:dyDescent="0.45">
      <c r="A2229" t="s">
        <v>2264</v>
      </c>
      <c r="B2229">
        <v>65</v>
      </c>
      <c r="C2229" t="s">
        <v>16</v>
      </c>
      <c r="E2229" t="s">
        <v>18</v>
      </c>
      <c r="N2229" t="str">
        <f>_xlfn.XLOOKUP(A2229,[1]!brca_metabric_clinical_data__2[Patient ID], [1]!brca_metabric_clinical_data__2[Tumor Size])</f>
        <v>21</v>
      </c>
      <c r="O2229" t="str">
        <f>_xlfn.XLOOKUP(A2229,[1]!brca_metabric_clinical_data__2[Sample ID],[1]!brca_metabric_clinical_data__2[Tumor Stage])</f>
        <v>2</v>
      </c>
    </row>
    <row r="2230" spans="1:15" x14ac:dyDescent="0.45">
      <c r="A2230" t="s">
        <v>2265</v>
      </c>
      <c r="B2230">
        <v>57</v>
      </c>
      <c r="C2230" t="s">
        <v>16</v>
      </c>
      <c r="E2230" t="s">
        <v>18</v>
      </c>
      <c r="N2230" t="str">
        <f>_xlfn.XLOOKUP(A2230,[1]!brca_metabric_clinical_data__2[Patient ID], [1]!brca_metabric_clinical_data__2[Tumor Size])</f>
        <v>17</v>
      </c>
      <c r="O2230" t="str">
        <f>_xlfn.XLOOKUP(A2230,[1]!brca_metabric_clinical_data__2[Sample ID],[1]!brca_metabric_clinical_data__2[Tumor Stage])</f>
        <v>2</v>
      </c>
    </row>
    <row r="2231" spans="1:15" x14ac:dyDescent="0.45">
      <c r="A2231" t="s">
        <v>2266</v>
      </c>
      <c r="B2231">
        <v>66</v>
      </c>
      <c r="C2231" t="s">
        <v>16</v>
      </c>
      <c r="E2231" t="s">
        <v>18</v>
      </c>
      <c r="N2231" t="str">
        <f>_xlfn.XLOOKUP(A2231,[1]!brca_metabric_clinical_data__2[Patient ID], [1]!brca_metabric_clinical_data__2[Tumor Size])</f>
        <v>14</v>
      </c>
      <c r="O2231" t="str">
        <f>_xlfn.XLOOKUP(A2231,[1]!brca_metabric_clinical_data__2[Sample ID],[1]!brca_metabric_clinical_data__2[Tumor Stage])</f>
        <v>2</v>
      </c>
    </row>
    <row r="2232" spans="1:15" x14ac:dyDescent="0.45">
      <c r="A2232" t="s">
        <v>2267</v>
      </c>
      <c r="B2232">
        <v>69</v>
      </c>
      <c r="C2232" t="s">
        <v>16</v>
      </c>
      <c r="E2232" t="s">
        <v>18</v>
      </c>
      <c r="N2232" t="str">
        <f>_xlfn.XLOOKUP(A2232,[1]!brca_metabric_clinical_data__2[Patient ID], [1]!brca_metabric_clinical_data__2[Tumor Size])</f>
        <v>27</v>
      </c>
      <c r="O2232" t="str">
        <f>_xlfn.XLOOKUP(A2232,[1]!brca_metabric_clinical_data__2[Sample ID],[1]!brca_metabric_clinical_data__2[Tumor Stage])</f>
        <v>1</v>
      </c>
    </row>
    <row r="2233" spans="1:15" x14ac:dyDescent="0.45">
      <c r="A2233" t="s">
        <v>2268</v>
      </c>
      <c r="B2233">
        <v>64</v>
      </c>
      <c r="C2233" t="s">
        <v>16</v>
      </c>
      <c r="E2233" t="s">
        <v>18</v>
      </c>
      <c r="N2233" t="str">
        <f>_xlfn.XLOOKUP(A2233,[1]!brca_metabric_clinical_data__2[Patient ID], [1]!brca_metabric_clinical_data__2[Tumor Size])</f>
        <v>10</v>
      </c>
      <c r="O2233" t="str">
        <f>_xlfn.XLOOKUP(A2233,[1]!brca_metabric_clinical_data__2[Sample ID],[1]!brca_metabric_clinical_data__2[Tumor Stage])</f>
        <v>1</v>
      </c>
    </row>
    <row r="2234" spans="1:15" x14ac:dyDescent="0.45">
      <c r="A2234" t="s">
        <v>2269</v>
      </c>
      <c r="B2234">
        <v>63</v>
      </c>
      <c r="C2234" t="s">
        <v>16</v>
      </c>
      <c r="E2234" t="s">
        <v>18</v>
      </c>
      <c r="N2234" t="str">
        <f>_xlfn.XLOOKUP(A2234,[1]!brca_metabric_clinical_data__2[Patient ID], [1]!brca_metabric_clinical_data__2[Tumor Size])</f>
        <v>6</v>
      </c>
      <c r="O2234" t="str">
        <f>_xlfn.XLOOKUP(A2234,[1]!brca_metabric_clinical_data__2[Sample ID],[1]!brca_metabric_clinical_data__2[Tumor Stage])</f>
        <v>1</v>
      </c>
    </row>
    <row r="2235" spans="1:15" x14ac:dyDescent="0.45">
      <c r="A2235" t="s">
        <v>2270</v>
      </c>
      <c r="B2235">
        <v>57</v>
      </c>
      <c r="C2235" t="s">
        <v>16</v>
      </c>
      <c r="E2235" t="s">
        <v>18</v>
      </c>
      <c r="N2235" t="str">
        <f>_xlfn.XLOOKUP(A2235,[1]!brca_metabric_clinical_data__2[Patient ID], [1]!brca_metabric_clinical_data__2[Tumor Size])</f>
        <v>13</v>
      </c>
      <c r="O2235" t="str">
        <f>_xlfn.XLOOKUP(A2235,[1]!brca_metabric_clinical_data__2[Sample ID],[1]!brca_metabric_clinical_data__2[Tumor Stage])</f>
        <v>1</v>
      </c>
    </row>
    <row r="2236" spans="1:15" x14ac:dyDescent="0.45">
      <c r="A2236" t="s">
        <v>2271</v>
      </c>
      <c r="B2236">
        <v>65</v>
      </c>
      <c r="C2236" t="s">
        <v>16</v>
      </c>
      <c r="E2236" t="s">
        <v>18</v>
      </c>
      <c r="N2236" t="str">
        <f>_xlfn.XLOOKUP(A2236,[1]!brca_metabric_clinical_data__2[Patient ID], [1]!brca_metabric_clinical_data__2[Tumor Size])</f>
        <v>45</v>
      </c>
      <c r="O2236" t="str">
        <f>_xlfn.XLOOKUP(A2236,[1]!brca_metabric_clinical_data__2[Sample ID],[1]!brca_metabric_clinical_data__2[Tumor Stage])</f>
        <v>3</v>
      </c>
    </row>
    <row r="2237" spans="1:15" x14ac:dyDescent="0.45">
      <c r="A2237" t="s">
        <v>2272</v>
      </c>
      <c r="B2237">
        <v>69</v>
      </c>
      <c r="C2237" t="s">
        <v>16</v>
      </c>
      <c r="E2237" t="s">
        <v>37</v>
      </c>
      <c r="N2237" t="str">
        <f>_xlfn.XLOOKUP(A2237,[1]!brca_metabric_clinical_data__2[Patient ID], [1]!brca_metabric_clinical_data__2[Tumor Size])</f>
        <v>26</v>
      </c>
      <c r="O2237" t="str">
        <f>_xlfn.XLOOKUP(A2237,[1]!brca_metabric_clinical_data__2[Sample ID],[1]!brca_metabric_clinical_data__2[Tumor Stage])</f>
        <v>1</v>
      </c>
    </row>
    <row r="2238" spans="1:15" x14ac:dyDescent="0.45">
      <c r="A2238" t="s">
        <v>2273</v>
      </c>
      <c r="B2238">
        <v>47</v>
      </c>
      <c r="C2238" t="s">
        <v>16</v>
      </c>
      <c r="E2238" t="s">
        <v>37</v>
      </c>
      <c r="N2238" t="str">
        <f>_xlfn.XLOOKUP(A2238,[1]!brca_metabric_clinical_data__2[Patient ID], [1]!brca_metabric_clinical_data__2[Tumor Size])</f>
        <v>22</v>
      </c>
      <c r="O2238" t="str">
        <f>_xlfn.XLOOKUP(A2238,[1]!brca_metabric_clinical_data__2[Sample ID],[1]!brca_metabric_clinical_data__2[Tumor Stage])</f>
        <v>1</v>
      </c>
    </row>
    <row r="2239" spans="1:15" x14ac:dyDescent="0.45">
      <c r="A2239" t="s">
        <v>2274</v>
      </c>
      <c r="B2239">
        <v>62</v>
      </c>
      <c r="C2239" t="s">
        <v>16</v>
      </c>
      <c r="E2239" t="s">
        <v>18</v>
      </c>
      <c r="N2239" t="str">
        <f>_xlfn.XLOOKUP(A2239,[1]!brca_metabric_clinical_data__2[Patient ID], [1]!brca_metabric_clinical_data__2[Tumor Size])</f>
        <v>25</v>
      </c>
      <c r="O2239" t="str">
        <f>_xlfn.XLOOKUP(A2239,[1]!brca_metabric_clinical_data__2[Sample ID],[1]!brca_metabric_clinical_data__2[Tumor Stage])</f>
        <v>2</v>
      </c>
    </row>
    <row r="2240" spans="1:15" x14ac:dyDescent="0.45">
      <c r="A2240" t="s">
        <v>2275</v>
      </c>
      <c r="B2240">
        <v>61</v>
      </c>
      <c r="C2240" t="s">
        <v>16</v>
      </c>
      <c r="E2240" t="s">
        <v>18</v>
      </c>
      <c r="N2240" t="str">
        <f>_xlfn.XLOOKUP(A2240,[1]!brca_metabric_clinical_data__2[Patient ID], [1]!brca_metabric_clinical_data__2[Tumor Size])</f>
        <v>10</v>
      </c>
      <c r="O2240" t="str">
        <f>_xlfn.XLOOKUP(A2240,[1]!brca_metabric_clinical_data__2[Sample ID],[1]!brca_metabric_clinical_data__2[Tumor Stage])</f>
        <v>1</v>
      </c>
    </row>
    <row r="2241" spans="1:15" x14ac:dyDescent="0.45">
      <c r="A2241" t="s">
        <v>2276</v>
      </c>
      <c r="B2241">
        <v>66</v>
      </c>
      <c r="C2241" t="s">
        <v>16</v>
      </c>
      <c r="E2241" t="s">
        <v>18</v>
      </c>
      <c r="N2241" t="str">
        <f>_xlfn.XLOOKUP(A2241,[1]!brca_metabric_clinical_data__2[Patient ID], [1]!brca_metabric_clinical_data__2[Tumor Size])</f>
        <v>10</v>
      </c>
      <c r="O2241" t="str">
        <f>_xlfn.XLOOKUP(A2241,[1]!brca_metabric_clinical_data__2[Sample ID],[1]!brca_metabric_clinical_data__2[Tumor Stage])</f>
        <v>1</v>
      </c>
    </row>
    <row r="2242" spans="1:15" x14ac:dyDescent="0.45">
      <c r="A2242" t="s">
        <v>2277</v>
      </c>
      <c r="B2242">
        <v>53</v>
      </c>
      <c r="C2242" t="s">
        <v>16</v>
      </c>
      <c r="E2242" t="s">
        <v>18</v>
      </c>
      <c r="N2242" t="str">
        <f>_xlfn.XLOOKUP(A2242,[1]!brca_metabric_clinical_data__2[Patient ID], [1]!brca_metabric_clinical_data__2[Tumor Size])</f>
        <v>20</v>
      </c>
      <c r="O2242" t="str">
        <f>_xlfn.XLOOKUP(A2242,[1]!brca_metabric_clinical_data__2[Sample ID],[1]!brca_metabric_clinical_data__2[Tumor Stage])</f>
        <v>2</v>
      </c>
    </row>
    <row r="2243" spans="1:15" x14ac:dyDescent="0.45">
      <c r="A2243" t="s">
        <v>2278</v>
      </c>
      <c r="B2243">
        <v>69</v>
      </c>
      <c r="C2243" t="s">
        <v>16</v>
      </c>
      <c r="E2243" t="s">
        <v>18</v>
      </c>
      <c r="N2243" t="str">
        <f>_xlfn.XLOOKUP(A2243,[1]!brca_metabric_clinical_data__2[Patient ID], [1]!brca_metabric_clinical_data__2[Tumor Size])</f>
        <v>30</v>
      </c>
      <c r="O2243" t="str">
        <f>_xlfn.XLOOKUP(A2243,[1]!brca_metabric_clinical_data__2[Sample ID],[1]!brca_metabric_clinical_data__2[Tumor Stage])</f>
        <v>1</v>
      </c>
    </row>
    <row r="2244" spans="1:15" x14ac:dyDescent="0.45">
      <c r="A2244" t="s">
        <v>2279</v>
      </c>
      <c r="B2244">
        <v>64</v>
      </c>
      <c r="C2244" t="s">
        <v>16</v>
      </c>
      <c r="E2244" t="s">
        <v>37</v>
      </c>
      <c r="N2244" t="str">
        <f>_xlfn.XLOOKUP(A2244,[1]!brca_metabric_clinical_data__2[Patient ID], [1]!brca_metabric_clinical_data__2[Tumor Size])</f>
        <v>20</v>
      </c>
      <c r="O2244" t="str">
        <f>_xlfn.XLOOKUP(A2244,[1]!brca_metabric_clinical_data__2[Sample ID],[1]!brca_metabric_clinical_data__2[Tumor Stage])</f>
        <v>1</v>
      </c>
    </row>
    <row r="2245" spans="1:15" x14ac:dyDescent="0.45">
      <c r="A2245" t="s">
        <v>2280</v>
      </c>
      <c r="B2245">
        <v>58</v>
      </c>
      <c r="C2245" t="s">
        <v>16</v>
      </c>
      <c r="E2245" t="s">
        <v>18</v>
      </c>
      <c r="N2245" t="str">
        <f>_xlfn.XLOOKUP(A2245,[1]!brca_metabric_clinical_data__2[Patient ID], [1]!brca_metabric_clinical_data__2[Tumor Size])</f>
        <v>15</v>
      </c>
      <c r="O2245" t="str">
        <f>_xlfn.XLOOKUP(A2245,[1]!brca_metabric_clinical_data__2[Sample ID],[1]!brca_metabric_clinical_data__2[Tumor Stage])</f>
        <v>1</v>
      </c>
    </row>
    <row r="2246" spans="1:15" x14ac:dyDescent="0.45">
      <c r="A2246" t="s">
        <v>2281</v>
      </c>
      <c r="B2246">
        <v>69</v>
      </c>
      <c r="C2246" t="s">
        <v>16</v>
      </c>
      <c r="E2246" t="s">
        <v>37</v>
      </c>
      <c r="N2246" t="str">
        <f>_xlfn.XLOOKUP(A2246,[1]!brca_metabric_clinical_data__2[Patient ID], [1]!brca_metabric_clinical_data__2[Tumor Size])</f>
        <v>25</v>
      </c>
      <c r="O2246" t="str">
        <f>_xlfn.XLOOKUP(A2246,[1]!brca_metabric_clinical_data__2[Sample ID],[1]!brca_metabric_clinical_data__2[Tumor Stage])</f>
        <v>1</v>
      </c>
    </row>
    <row r="2247" spans="1:15" x14ac:dyDescent="0.45">
      <c r="A2247" t="s">
        <v>2282</v>
      </c>
      <c r="B2247">
        <v>62</v>
      </c>
      <c r="C2247" t="s">
        <v>16</v>
      </c>
      <c r="E2247" t="s">
        <v>18</v>
      </c>
      <c r="N2247" t="str">
        <f>_xlfn.XLOOKUP(A2247,[1]!brca_metabric_clinical_data__2[Patient ID], [1]!brca_metabric_clinical_data__2[Tumor Size])</f>
        <v>25</v>
      </c>
      <c r="O2247" t="str">
        <f>_xlfn.XLOOKUP(A2247,[1]!brca_metabric_clinical_data__2[Sample ID],[1]!brca_metabric_clinical_data__2[Tumor Stage])</f>
        <v>1</v>
      </c>
    </row>
    <row r="2248" spans="1:15" x14ac:dyDescent="0.45">
      <c r="A2248" t="s">
        <v>2283</v>
      </c>
      <c r="B2248">
        <v>59</v>
      </c>
      <c r="C2248" t="s">
        <v>16</v>
      </c>
      <c r="E2248" t="s">
        <v>18</v>
      </c>
      <c r="N2248" t="str">
        <f>_xlfn.XLOOKUP(A2248,[1]!brca_metabric_clinical_data__2[Patient ID], [1]!brca_metabric_clinical_data__2[Tumor Size])</f>
        <v>27</v>
      </c>
      <c r="O2248" t="str">
        <f>_xlfn.XLOOKUP(A2248,[1]!brca_metabric_clinical_data__2[Sample ID],[1]!brca_metabric_clinical_data__2[Tumor Stage])</f>
        <v>2</v>
      </c>
    </row>
    <row r="2249" spans="1:15" x14ac:dyDescent="0.45">
      <c r="A2249" t="s">
        <v>2284</v>
      </c>
      <c r="B2249">
        <v>52</v>
      </c>
      <c r="C2249" t="s">
        <v>16</v>
      </c>
      <c r="E2249" t="s">
        <v>18</v>
      </c>
      <c r="N2249" t="str">
        <f>_xlfn.XLOOKUP(A2249,[1]!brca_metabric_clinical_data__2[Patient ID], [1]!brca_metabric_clinical_data__2[Tumor Size])</f>
        <v>15</v>
      </c>
      <c r="O2249" t="str">
        <f>_xlfn.XLOOKUP(A2249,[1]!brca_metabric_clinical_data__2[Sample ID],[1]!brca_metabric_clinical_data__2[Tumor Stage])</f>
        <v>1</v>
      </c>
    </row>
    <row r="2250" spans="1:15" x14ac:dyDescent="0.45">
      <c r="A2250" t="s">
        <v>2285</v>
      </c>
      <c r="B2250">
        <v>68</v>
      </c>
      <c r="C2250" t="s">
        <v>16</v>
      </c>
      <c r="E2250" t="s">
        <v>18</v>
      </c>
      <c r="N2250" t="str">
        <f>_xlfn.XLOOKUP(A2250,[1]!brca_metabric_clinical_data__2[Patient ID], [1]!brca_metabric_clinical_data__2[Tumor Size])</f>
        <v>15</v>
      </c>
      <c r="O2250" t="str">
        <f>_xlfn.XLOOKUP(A2250,[1]!brca_metabric_clinical_data__2[Sample ID],[1]!brca_metabric_clinical_data__2[Tumor Stage])</f>
        <v>1</v>
      </c>
    </row>
    <row r="2251" spans="1:15" x14ac:dyDescent="0.45">
      <c r="A2251" t="s">
        <v>2286</v>
      </c>
      <c r="B2251">
        <v>55</v>
      </c>
      <c r="C2251" t="s">
        <v>16</v>
      </c>
      <c r="E2251" t="s">
        <v>18</v>
      </c>
      <c r="N2251" t="str">
        <f>_xlfn.XLOOKUP(A2251,[1]!brca_metabric_clinical_data__2[Patient ID], [1]!brca_metabric_clinical_data__2[Tumor Size])</f>
        <v>15</v>
      </c>
      <c r="O2251" t="str">
        <f>_xlfn.XLOOKUP(A2251,[1]!brca_metabric_clinical_data__2[Sample ID],[1]!brca_metabric_clinical_data__2[Tumor Stage])</f>
        <v>1</v>
      </c>
    </row>
    <row r="2252" spans="1:15" x14ac:dyDescent="0.45">
      <c r="A2252" t="s">
        <v>2287</v>
      </c>
      <c r="B2252">
        <v>51</v>
      </c>
      <c r="C2252" t="s">
        <v>16</v>
      </c>
      <c r="E2252" t="s">
        <v>18</v>
      </c>
      <c r="N2252" t="str">
        <f>_xlfn.XLOOKUP(A2252,[1]!brca_metabric_clinical_data__2[Patient ID], [1]!brca_metabric_clinical_data__2[Tumor Size])</f>
        <v>20</v>
      </c>
      <c r="O2252" t="str">
        <f>_xlfn.XLOOKUP(A2252,[1]!brca_metabric_clinical_data__2[Sample ID],[1]!brca_metabric_clinical_data__2[Tumor Stage])</f>
        <v>2</v>
      </c>
    </row>
    <row r="2253" spans="1:15" x14ac:dyDescent="0.45">
      <c r="A2253" t="s">
        <v>2288</v>
      </c>
      <c r="B2253">
        <v>55</v>
      </c>
      <c r="C2253" t="s">
        <v>16</v>
      </c>
      <c r="E2253" t="s">
        <v>18</v>
      </c>
      <c r="N2253" t="str">
        <f>_xlfn.XLOOKUP(A2253,[1]!brca_metabric_clinical_data__2[Patient ID], [1]!brca_metabric_clinical_data__2[Tumor Size])</f>
        <v>22</v>
      </c>
      <c r="O2253" t="str">
        <f>_xlfn.XLOOKUP(A2253,[1]!brca_metabric_clinical_data__2[Sample ID],[1]!brca_metabric_clinical_data__2[Tumor Stage])</f>
        <v>3</v>
      </c>
    </row>
    <row r="2254" spans="1:15" x14ac:dyDescent="0.45">
      <c r="A2254" t="s">
        <v>2289</v>
      </c>
      <c r="B2254">
        <v>68</v>
      </c>
      <c r="C2254" t="s">
        <v>16</v>
      </c>
      <c r="E2254" t="s">
        <v>18</v>
      </c>
      <c r="N2254" t="str">
        <f>_xlfn.XLOOKUP(A2254,[1]!brca_metabric_clinical_data__2[Patient ID], [1]!brca_metabric_clinical_data__2[Tumor Size])</f>
        <v>9</v>
      </c>
      <c r="O2254" t="str">
        <f>_xlfn.XLOOKUP(A2254,[1]!brca_metabric_clinical_data__2[Sample ID],[1]!brca_metabric_clinical_data__2[Tumor Stage])</f>
        <v>1</v>
      </c>
    </row>
    <row r="2255" spans="1:15" x14ac:dyDescent="0.45">
      <c r="A2255" t="s">
        <v>2290</v>
      </c>
      <c r="B2255">
        <v>41</v>
      </c>
      <c r="C2255" t="s">
        <v>16</v>
      </c>
      <c r="E2255" t="s">
        <v>18</v>
      </c>
      <c r="N2255" t="str">
        <f>_xlfn.XLOOKUP(A2255,[1]!brca_metabric_clinical_data__2[Patient ID], [1]!brca_metabric_clinical_data__2[Tumor Size])</f>
        <v>NA</v>
      </c>
      <c r="O2255" t="str">
        <f>_xlfn.XLOOKUP(A2255,[1]!brca_metabric_clinical_data__2[Sample ID],[1]!brca_metabric_clinical_data__2[Tumor Stage])</f>
        <v>NA</v>
      </c>
    </row>
    <row r="2256" spans="1:15" x14ac:dyDescent="0.45">
      <c r="A2256" t="s">
        <v>2291</v>
      </c>
      <c r="B2256">
        <v>53.55</v>
      </c>
      <c r="C2256" t="s">
        <v>16</v>
      </c>
      <c r="E2256" t="s">
        <v>18</v>
      </c>
      <c r="N2256" t="str">
        <f>_xlfn.XLOOKUP(A2256,[1]!brca_metabric_clinical_data__2[Patient ID], [1]!brca_metabric_clinical_data__2[Tumor Size])</f>
        <v>25</v>
      </c>
      <c r="O2256" t="str">
        <f>_xlfn.XLOOKUP(A2256,[1]!brca_metabric_clinical_data__2[Sample ID],[1]!brca_metabric_clinical_data__2[Tumor Stage])</f>
        <v>2</v>
      </c>
    </row>
    <row r="2257" spans="1:15" x14ac:dyDescent="0.45">
      <c r="A2257" t="s">
        <v>2292</v>
      </c>
      <c r="B2257">
        <v>47.88</v>
      </c>
      <c r="C2257" t="s">
        <v>16</v>
      </c>
      <c r="E2257" t="s">
        <v>37</v>
      </c>
      <c r="N2257" t="str">
        <f>_xlfn.XLOOKUP(A2257,[1]!brca_metabric_clinical_data__2[Patient ID], [1]!brca_metabric_clinical_data__2[Tumor Size])</f>
        <v>61</v>
      </c>
      <c r="O2257" t="str">
        <f>_xlfn.XLOOKUP(A2257,[1]!brca_metabric_clinical_data__2[Sample ID],[1]!brca_metabric_clinical_data__2[Tumor Stage])</f>
        <v>3</v>
      </c>
    </row>
    <row r="2258" spans="1:15" x14ac:dyDescent="0.45">
      <c r="A2258" t="s">
        <v>2293</v>
      </c>
      <c r="B2258">
        <v>81.55</v>
      </c>
      <c r="C2258" t="s">
        <v>16</v>
      </c>
      <c r="E2258" t="s">
        <v>18</v>
      </c>
      <c r="N2258" t="str">
        <f>_xlfn.XLOOKUP(A2258,[1]!brca_metabric_clinical_data__2[Patient ID], [1]!brca_metabric_clinical_data__2[Tumor Size])</f>
        <v>30</v>
      </c>
      <c r="O2258" t="str">
        <f>_xlfn.XLOOKUP(A2258,[1]!brca_metabric_clinical_data__2[Sample ID],[1]!brca_metabric_clinical_data__2[Tumor Stage])</f>
        <v>NA</v>
      </c>
    </row>
    <row r="2259" spans="1:15" x14ac:dyDescent="0.45">
      <c r="A2259" t="s">
        <v>2294</v>
      </c>
      <c r="B2259">
        <v>57.07</v>
      </c>
      <c r="C2259" t="s">
        <v>16</v>
      </c>
      <c r="E2259" t="s">
        <v>37</v>
      </c>
      <c r="N2259" t="str">
        <f>_xlfn.XLOOKUP(A2259,[1]!brca_metabric_clinical_data__2[Patient ID], [1]!brca_metabric_clinical_data__2[Tumor Size])</f>
        <v>24</v>
      </c>
      <c r="O2259" t="str">
        <f>_xlfn.XLOOKUP(A2259,[1]!brca_metabric_clinical_data__2[Sample ID],[1]!brca_metabric_clinical_data__2[Tumor Stage])</f>
        <v>3</v>
      </c>
    </row>
    <row r="2260" spans="1:15" x14ac:dyDescent="0.45">
      <c r="A2260" t="s">
        <v>2295</v>
      </c>
      <c r="B2260">
        <v>74.13</v>
      </c>
      <c r="C2260" t="s">
        <v>16</v>
      </c>
      <c r="E2260" t="s">
        <v>18</v>
      </c>
      <c r="N2260" t="str">
        <f>_xlfn.XLOOKUP(A2260,[1]!brca_metabric_clinical_data__2[Patient ID], [1]!brca_metabric_clinical_data__2[Tumor Size])</f>
        <v>21</v>
      </c>
      <c r="O2260" t="str">
        <f>_xlfn.XLOOKUP(A2260,[1]!brca_metabric_clinical_data__2[Sample ID],[1]!brca_metabric_clinical_data__2[Tumor Stage])</f>
        <v>2</v>
      </c>
    </row>
    <row r="2261" spans="1:15" x14ac:dyDescent="0.45">
      <c r="A2261" t="s">
        <v>2296</v>
      </c>
      <c r="B2261">
        <v>74.05</v>
      </c>
      <c r="C2261" t="s">
        <v>16</v>
      </c>
      <c r="E2261" t="s">
        <v>18</v>
      </c>
      <c r="N2261" t="str">
        <f>_xlfn.XLOOKUP(A2261,[1]!brca_metabric_clinical_data__2[Patient ID], [1]!brca_metabric_clinical_data__2[Tumor Size])</f>
        <v>25</v>
      </c>
      <c r="O2261" t="str">
        <f>_xlfn.XLOOKUP(A2261,[1]!brca_metabric_clinical_data__2[Sample ID],[1]!brca_metabric_clinical_data__2[Tumor Stage])</f>
        <v>2</v>
      </c>
    </row>
    <row r="2262" spans="1:15" x14ac:dyDescent="0.45">
      <c r="A2262" t="s">
        <v>2297</v>
      </c>
      <c r="B2262">
        <v>32.869999999999997</v>
      </c>
      <c r="C2262" t="s">
        <v>16</v>
      </c>
      <c r="E2262" t="s">
        <v>37</v>
      </c>
      <c r="N2262" t="str">
        <f>_xlfn.XLOOKUP(A2262,[1]!brca_metabric_clinical_data__2[Patient ID], [1]!brca_metabric_clinical_data__2[Tumor Size])</f>
        <v>60</v>
      </c>
      <c r="O2262" t="str">
        <f>_xlfn.XLOOKUP(A2262,[1]!brca_metabric_clinical_data__2[Sample ID],[1]!brca_metabric_clinical_data__2[Tumor Stage])</f>
        <v>NA</v>
      </c>
    </row>
    <row r="2263" spans="1:15" x14ac:dyDescent="0.45">
      <c r="A2263" t="s">
        <v>2298</v>
      </c>
      <c r="B2263">
        <v>70.28</v>
      </c>
      <c r="C2263" t="s">
        <v>16</v>
      </c>
      <c r="E2263" t="s">
        <v>18</v>
      </c>
      <c r="N2263" t="str">
        <f>_xlfn.XLOOKUP(A2263,[1]!brca_metabric_clinical_data__2[Patient ID], [1]!brca_metabric_clinical_data__2[Tumor Size])</f>
        <v>12</v>
      </c>
      <c r="O2263" t="str">
        <f>_xlfn.XLOOKUP(A2263,[1]!brca_metabric_clinical_data__2[Sample ID],[1]!brca_metabric_clinical_data__2[Tumor Stage])</f>
        <v>1</v>
      </c>
    </row>
    <row r="2264" spans="1:15" x14ac:dyDescent="0.45">
      <c r="A2264" t="s">
        <v>2299</v>
      </c>
      <c r="B2264">
        <v>65.66</v>
      </c>
      <c r="C2264" t="s">
        <v>16</v>
      </c>
      <c r="E2264" t="s">
        <v>18</v>
      </c>
      <c r="N2264" t="str">
        <f>_xlfn.XLOOKUP(A2264,[1]!brca_metabric_clinical_data__2[Patient ID], [1]!brca_metabric_clinical_data__2[Tumor Size])</f>
        <v>20</v>
      </c>
      <c r="O2264" t="str">
        <f>_xlfn.XLOOKUP(A2264,[1]!brca_metabric_clinical_data__2[Sample ID],[1]!brca_metabric_clinical_data__2[Tumor Stage])</f>
        <v>NA</v>
      </c>
    </row>
    <row r="2265" spans="1:15" x14ac:dyDescent="0.45">
      <c r="A2265" t="s">
        <v>2300</v>
      </c>
      <c r="B2265">
        <v>51.66</v>
      </c>
      <c r="C2265" t="s">
        <v>16</v>
      </c>
      <c r="E2265" t="s">
        <v>18</v>
      </c>
      <c r="N2265" t="str">
        <f>_xlfn.XLOOKUP(A2265,[1]!brca_metabric_clinical_data__2[Patient ID], [1]!brca_metabric_clinical_data__2[Tumor Size])</f>
        <v>15</v>
      </c>
      <c r="O2265" t="str">
        <f>_xlfn.XLOOKUP(A2265,[1]!brca_metabric_clinical_data__2[Sample ID],[1]!brca_metabric_clinical_data__2[Tumor Stage])</f>
        <v>1</v>
      </c>
    </row>
    <row r="2266" spans="1:15" x14ac:dyDescent="0.45">
      <c r="A2266" t="s">
        <v>2301</v>
      </c>
      <c r="B2266">
        <v>81.33</v>
      </c>
      <c r="C2266" t="s">
        <v>16</v>
      </c>
      <c r="E2266" t="s">
        <v>37</v>
      </c>
      <c r="N2266" t="str">
        <f>_xlfn.XLOOKUP(A2266,[1]!brca_metabric_clinical_data__2[Patient ID], [1]!brca_metabric_clinical_data__2[Tumor Size])</f>
        <v>65</v>
      </c>
      <c r="O2266" t="str">
        <f>_xlfn.XLOOKUP(A2266,[1]!brca_metabric_clinical_data__2[Sample ID],[1]!brca_metabric_clinical_data__2[Tumor Stage])</f>
        <v>3</v>
      </c>
    </row>
    <row r="2267" spans="1:15" x14ac:dyDescent="0.45">
      <c r="A2267" t="s">
        <v>2302</v>
      </c>
      <c r="B2267">
        <v>72.010000000000005</v>
      </c>
      <c r="C2267" t="s">
        <v>16</v>
      </c>
      <c r="E2267" t="s">
        <v>18</v>
      </c>
      <c r="N2267" t="str">
        <f>_xlfn.XLOOKUP(A2267,[1]!brca_metabric_clinical_data__2[Patient ID], [1]!brca_metabric_clinical_data__2[Tumor Size])</f>
        <v>20</v>
      </c>
      <c r="O2267" t="str">
        <f>_xlfn.XLOOKUP(A2267,[1]!brca_metabric_clinical_data__2[Sample ID],[1]!brca_metabric_clinical_data__2[Tumor Stage])</f>
        <v>2</v>
      </c>
    </row>
    <row r="2268" spans="1:15" x14ac:dyDescent="0.45">
      <c r="A2268" t="s">
        <v>2303</v>
      </c>
      <c r="B2268">
        <v>67.42</v>
      </c>
      <c r="C2268" t="s">
        <v>16</v>
      </c>
      <c r="E2268" t="s">
        <v>18</v>
      </c>
      <c r="N2268" t="str">
        <f>_xlfn.XLOOKUP(A2268,[1]!brca_metabric_clinical_data__2[Patient ID], [1]!brca_metabric_clinical_data__2[Tumor Size])</f>
        <v>14</v>
      </c>
      <c r="O2268" t="str">
        <f>_xlfn.XLOOKUP(A2268,[1]!brca_metabric_clinical_data__2[Sample ID],[1]!brca_metabric_clinical_data__2[Tumor Stage])</f>
        <v>1</v>
      </c>
    </row>
    <row r="2269" spans="1:15" x14ac:dyDescent="0.45">
      <c r="A2269" t="s">
        <v>2304</v>
      </c>
      <c r="B2269">
        <v>56.88</v>
      </c>
      <c r="C2269" t="s">
        <v>16</v>
      </c>
      <c r="E2269" t="s">
        <v>18</v>
      </c>
      <c r="N2269" t="str">
        <f>_xlfn.XLOOKUP(A2269,[1]!brca_metabric_clinical_data__2[Patient ID], [1]!brca_metabric_clinical_data__2[Tumor Size])</f>
        <v>20</v>
      </c>
      <c r="O2269" t="str">
        <f>_xlfn.XLOOKUP(A2269,[1]!brca_metabric_clinical_data__2[Sample ID],[1]!brca_metabric_clinical_data__2[Tumor Stage])</f>
        <v>2</v>
      </c>
    </row>
    <row r="2270" spans="1:15" x14ac:dyDescent="0.45">
      <c r="A2270" t="s">
        <v>2305</v>
      </c>
      <c r="B2270">
        <v>63.54</v>
      </c>
      <c r="C2270" t="s">
        <v>16</v>
      </c>
      <c r="E2270" t="s">
        <v>37</v>
      </c>
      <c r="N2270" t="str">
        <f>_xlfn.XLOOKUP(A2270,[1]!brca_metabric_clinical_data__2[Patient ID], [1]!brca_metabric_clinical_data__2[Tumor Size])</f>
        <v>34</v>
      </c>
      <c r="O2270" t="str">
        <f>_xlfn.XLOOKUP(A2270,[1]!brca_metabric_clinical_data__2[Sample ID],[1]!brca_metabric_clinical_data__2[Tumor Stage])</f>
        <v>1</v>
      </c>
    </row>
    <row r="2271" spans="1:15" x14ac:dyDescent="0.45">
      <c r="A2271" t="s">
        <v>2306</v>
      </c>
      <c r="B2271">
        <v>59.27</v>
      </c>
      <c r="C2271" t="s">
        <v>16</v>
      </c>
      <c r="E2271" t="s">
        <v>18</v>
      </c>
      <c r="N2271" t="str">
        <f>_xlfn.XLOOKUP(A2271,[1]!brca_metabric_clinical_data__2[Patient ID], [1]!brca_metabric_clinical_data__2[Tumor Size])</f>
        <v>13</v>
      </c>
      <c r="O2271" t="str">
        <f>_xlfn.XLOOKUP(A2271,[1]!brca_metabric_clinical_data__2[Sample ID],[1]!brca_metabric_clinical_data__2[Tumor Stage])</f>
        <v>1</v>
      </c>
    </row>
    <row r="2272" spans="1:15" x14ac:dyDescent="0.45">
      <c r="A2272" t="s">
        <v>2307</v>
      </c>
      <c r="B2272">
        <v>65.81</v>
      </c>
      <c r="C2272" t="s">
        <v>16</v>
      </c>
      <c r="E2272" t="s">
        <v>18</v>
      </c>
      <c r="N2272" t="str">
        <f>_xlfn.XLOOKUP(A2272,[1]!brca_metabric_clinical_data__2[Patient ID], [1]!brca_metabric_clinical_data__2[Tumor Size])</f>
        <v>14</v>
      </c>
      <c r="O2272" t="str">
        <f>_xlfn.XLOOKUP(A2272,[1]!brca_metabric_clinical_data__2[Sample ID],[1]!brca_metabric_clinical_data__2[Tumor Stage])</f>
        <v>2</v>
      </c>
    </row>
    <row r="2273" spans="1:15" x14ac:dyDescent="0.45">
      <c r="A2273" t="s">
        <v>2308</v>
      </c>
      <c r="B2273">
        <v>63.25</v>
      </c>
      <c r="C2273" t="s">
        <v>16</v>
      </c>
      <c r="E2273" t="s">
        <v>37</v>
      </c>
      <c r="N2273" t="str">
        <f>_xlfn.XLOOKUP(A2273,[1]!brca_metabric_clinical_data__2[Patient ID], [1]!brca_metabric_clinical_data__2[Tumor Size])</f>
        <v>35</v>
      </c>
      <c r="O2273" t="str">
        <f>_xlfn.XLOOKUP(A2273,[1]!brca_metabric_clinical_data__2[Sample ID],[1]!brca_metabric_clinical_data__2[Tumor Stage])</f>
        <v>1</v>
      </c>
    </row>
    <row r="2274" spans="1:15" x14ac:dyDescent="0.45">
      <c r="A2274" t="s">
        <v>2309</v>
      </c>
      <c r="B2274">
        <v>52</v>
      </c>
      <c r="C2274" t="s">
        <v>16</v>
      </c>
      <c r="E2274" t="s">
        <v>37</v>
      </c>
      <c r="N2274" t="str">
        <f>_xlfn.XLOOKUP(A2274,[1]!brca_metabric_clinical_data__2[Patient ID], [1]!brca_metabric_clinical_data__2[Tumor Size])</f>
        <v>NA</v>
      </c>
      <c r="O2274" t="str">
        <f>_xlfn.XLOOKUP(A2274,[1]!brca_metabric_clinical_data__2[Sample ID],[1]!brca_metabric_clinical_data__2[Tumor Stage])</f>
        <v>NA</v>
      </c>
    </row>
    <row r="2275" spans="1:15" x14ac:dyDescent="0.45">
      <c r="A2275" t="s">
        <v>2310</v>
      </c>
      <c r="B2275">
        <v>54</v>
      </c>
      <c r="C2275" t="s">
        <v>16</v>
      </c>
      <c r="E2275" t="s">
        <v>18</v>
      </c>
      <c r="N2275" t="str">
        <f>_xlfn.XLOOKUP(A2275,[1]!brca_metabric_clinical_data__2[Patient ID], [1]!brca_metabric_clinical_data__2[Tumor Size])</f>
        <v>NA</v>
      </c>
      <c r="O2275" t="str">
        <f>_xlfn.XLOOKUP(A2275,[1]!brca_metabric_clinical_data__2[Sample ID],[1]!brca_metabric_clinical_data__2[Tumor Stage])</f>
        <v>NA</v>
      </c>
    </row>
    <row r="2276" spans="1:15" x14ac:dyDescent="0.45">
      <c r="A2276" t="s">
        <v>2311</v>
      </c>
      <c r="B2276">
        <v>39</v>
      </c>
      <c r="C2276" t="s">
        <v>16</v>
      </c>
      <c r="E2276" t="s">
        <v>18</v>
      </c>
      <c r="N2276" t="str">
        <f>_xlfn.XLOOKUP(A2276,[1]!brca_metabric_clinical_data__2[Patient ID], [1]!brca_metabric_clinical_data__2[Tumor Size])</f>
        <v>NA</v>
      </c>
      <c r="O2276" t="str">
        <f>_xlfn.XLOOKUP(A2276,[1]!brca_metabric_clinical_data__2[Sample ID],[1]!brca_metabric_clinical_data__2[Tumor Stage])</f>
        <v>NA</v>
      </c>
    </row>
    <row r="2277" spans="1:15" x14ac:dyDescent="0.45">
      <c r="A2277" t="s">
        <v>2312</v>
      </c>
      <c r="B2277">
        <v>53</v>
      </c>
      <c r="C2277" t="s">
        <v>16</v>
      </c>
      <c r="E2277" t="s">
        <v>18</v>
      </c>
      <c r="N2277" t="str">
        <f>_xlfn.XLOOKUP(A2277,[1]!brca_metabric_clinical_data__2[Patient ID], [1]!brca_metabric_clinical_data__2[Tumor Size])</f>
        <v>NA</v>
      </c>
      <c r="O2277" t="str">
        <f>_xlfn.XLOOKUP(A2277,[1]!brca_metabric_clinical_data__2[Sample ID],[1]!brca_metabric_clinical_data__2[Tumor Stage])</f>
        <v>NA</v>
      </c>
    </row>
    <row r="2278" spans="1:15" x14ac:dyDescent="0.45">
      <c r="A2278" t="s">
        <v>2313</v>
      </c>
      <c r="B2278">
        <v>52</v>
      </c>
      <c r="C2278" t="s">
        <v>16</v>
      </c>
      <c r="E2278" t="s">
        <v>18</v>
      </c>
      <c r="N2278" t="str">
        <f>_xlfn.XLOOKUP(A2278,[1]!brca_metabric_clinical_data__2[Patient ID], [1]!brca_metabric_clinical_data__2[Tumor Size])</f>
        <v>NA</v>
      </c>
      <c r="O2278" t="str">
        <f>_xlfn.XLOOKUP(A2278,[1]!brca_metabric_clinical_data__2[Sample ID],[1]!brca_metabric_clinical_data__2[Tumor Stage])</f>
        <v>NA</v>
      </c>
    </row>
    <row r="2279" spans="1:15" x14ac:dyDescent="0.45">
      <c r="A2279" t="s">
        <v>2314</v>
      </c>
      <c r="B2279">
        <v>35</v>
      </c>
      <c r="C2279" t="s">
        <v>16</v>
      </c>
      <c r="E2279" t="s">
        <v>37</v>
      </c>
      <c r="N2279" t="str">
        <f>_xlfn.XLOOKUP(A2279,[1]!brca_metabric_clinical_data__2[Patient ID], [1]!brca_metabric_clinical_data__2[Tumor Size])</f>
        <v>NA</v>
      </c>
      <c r="O2279" t="str">
        <f>_xlfn.XLOOKUP(A2279,[1]!brca_metabric_clinical_data__2[Sample ID],[1]!brca_metabric_clinical_data__2[Tumor Stage])</f>
        <v>NA</v>
      </c>
    </row>
    <row r="2280" spans="1:15" x14ac:dyDescent="0.45">
      <c r="A2280" t="s">
        <v>2315</v>
      </c>
      <c r="B2280">
        <v>45</v>
      </c>
      <c r="C2280" t="s">
        <v>16</v>
      </c>
      <c r="E2280" t="s">
        <v>18</v>
      </c>
      <c r="N2280" t="str">
        <f>_xlfn.XLOOKUP(A2280,[1]!brca_metabric_clinical_data__2[Patient ID], [1]!brca_metabric_clinical_data__2[Tumor Size])</f>
        <v>NA</v>
      </c>
      <c r="O2280" t="str">
        <f>_xlfn.XLOOKUP(A2280,[1]!brca_metabric_clinical_data__2[Sample ID],[1]!brca_metabric_clinical_data__2[Tumor Stage])</f>
        <v>NA</v>
      </c>
    </row>
    <row r="2281" spans="1:15" x14ac:dyDescent="0.45">
      <c r="A2281" t="s">
        <v>2316</v>
      </c>
      <c r="B2281">
        <v>51</v>
      </c>
      <c r="C2281" t="s">
        <v>16</v>
      </c>
      <c r="E2281" t="s">
        <v>18</v>
      </c>
      <c r="N2281" t="str">
        <f>_xlfn.XLOOKUP(A2281,[1]!brca_metabric_clinical_data__2[Patient ID], [1]!brca_metabric_clinical_data__2[Tumor Size])</f>
        <v>NA</v>
      </c>
      <c r="O2281" t="str">
        <f>_xlfn.XLOOKUP(A2281,[1]!brca_metabric_clinical_data__2[Sample ID],[1]!brca_metabric_clinical_data__2[Tumor Stage])</f>
        <v>NA</v>
      </c>
    </row>
    <row r="2282" spans="1:15" x14ac:dyDescent="0.45">
      <c r="A2282" t="s">
        <v>2317</v>
      </c>
      <c r="B2282">
        <v>53</v>
      </c>
      <c r="C2282" t="s">
        <v>16</v>
      </c>
      <c r="E2282" t="s">
        <v>18</v>
      </c>
      <c r="N2282" t="str">
        <f>_xlfn.XLOOKUP(A2282,[1]!brca_metabric_clinical_data__2[Patient ID], [1]!brca_metabric_clinical_data__2[Tumor Size])</f>
        <v>NA</v>
      </c>
      <c r="O2282" t="str">
        <f>_xlfn.XLOOKUP(A2282,[1]!brca_metabric_clinical_data__2[Sample ID],[1]!brca_metabric_clinical_data__2[Tumor Stage])</f>
        <v>NA</v>
      </c>
    </row>
    <row r="2283" spans="1:15" x14ac:dyDescent="0.45">
      <c r="A2283" t="s">
        <v>2318</v>
      </c>
      <c r="B2283">
        <v>51</v>
      </c>
      <c r="C2283" t="s">
        <v>16</v>
      </c>
      <c r="E2283" t="s">
        <v>18</v>
      </c>
      <c r="N2283" t="str">
        <f>_xlfn.XLOOKUP(A2283,[1]!brca_metabric_clinical_data__2[Patient ID], [1]!brca_metabric_clinical_data__2[Tumor Size])</f>
        <v>NA</v>
      </c>
      <c r="O2283" t="str">
        <f>_xlfn.XLOOKUP(A2283,[1]!brca_metabric_clinical_data__2[Sample ID],[1]!brca_metabric_clinical_data__2[Tumor Stage])</f>
        <v>NA</v>
      </c>
    </row>
    <row r="2284" spans="1:15" x14ac:dyDescent="0.45">
      <c r="A2284" t="s">
        <v>2319</v>
      </c>
      <c r="B2284">
        <v>47</v>
      </c>
      <c r="C2284" t="s">
        <v>16</v>
      </c>
      <c r="E2284" t="s">
        <v>18</v>
      </c>
      <c r="N2284" t="str">
        <f>_xlfn.XLOOKUP(A2284,[1]!brca_metabric_clinical_data__2[Patient ID], [1]!brca_metabric_clinical_data__2[Tumor Size])</f>
        <v>NA</v>
      </c>
      <c r="O2284" t="str">
        <f>_xlfn.XLOOKUP(A2284,[1]!brca_metabric_clinical_data__2[Sample ID],[1]!brca_metabric_clinical_data__2[Tumor Stage])</f>
        <v>NA</v>
      </c>
    </row>
    <row r="2285" spans="1:15" x14ac:dyDescent="0.45">
      <c r="A2285" t="s">
        <v>2320</v>
      </c>
      <c r="B2285">
        <v>36</v>
      </c>
      <c r="C2285" t="s">
        <v>16</v>
      </c>
      <c r="E2285" t="s">
        <v>37</v>
      </c>
      <c r="N2285" t="str">
        <f>_xlfn.XLOOKUP(A2285,[1]!brca_metabric_clinical_data__2[Patient ID], [1]!brca_metabric_clinical_data__2[Tumor Size])</f>
        <v>NA</v>
      </c>
      <c r="O2285" t="str">
        <f>_xlfn.XLOOKUP(A2285,[1]!brca_metabric_clinical_data__2[Sample ID],[1]!brca_metabric_clinical_data__2[Tumor Stage])</f>
        <v>NA</v>
      </c>
    </row>
    <row r="2286" spans="1:15" x14ac:dyDescent="0.45">
      <c r="A2286" t="s">
        <v>2321</v>
      </c>
      <c r="B2286">
        <v>49</v>
      </c>
      <c r="C2286" t="s">
        <v>16</v>
      </c>
      <c r="E2286" t="s">
        <v>18</v>
      </c>
      <c r="N2286" t="str">
        <f>_xlfn.XLOOKUP(A2286,[1]!brca_metabric_clinical_data__2[Patient ID], [1]!brca_metabric_clinical_data__2[Tumor Size])</f>
        <v>NA</v>
      </c>
      <c r="O2286" t="str">
        <f>_xlfn.XLOOKUP(A2286,[1]!brca_metabric_clinical_data__2[Sample ID],[1]!brca_metabric_clinical_data__2[Tumor Stage])</f>
        <v>NA</v>
      </c>
    </row>
    <row r="2287" spans="1:15" x14ac:dyDescent="0.45">
      <c r="A2287" t="s">
        <v>2322</v>
      </c>
      <c r="B2287">
        <v>58</v>
      </c>
      <c r="C2287" t="s">
        <v>16</v>
      </c>
      <c r="E2287" t="s">
        <v>37</v>
      </c>
      <c r="N2287" t="str">
        <f>_xlfn.XLOOKUP(A2287,[1]!brca_metabric_clinical_data__2[Patient ID], [1]!brca_metabric_clinical_data__2[Tumor Size])</f>
        <v>NA</v>
      </c>
      <c r="O2287" t="str">
        <f>_xlfn.XLOOKUP(A2287,[1]!brca_metabric_clinical_data__2[Sample ID],[1]!brca_metabric_clinical_data__2[Tumor Stage])</f>
        <v>NA</v>
      </c>
    </row>
    <row r="2288" spans="1:15" x14ac:dyDescent="0.45">
      <c r="A2288" t="s">
        <v>2323</v>
      </c>
      <c r="B2288">
        <v>52</v>
      </c>
      <c r="C2288" t="s">
        <v>16</v>
      </c>
      <c r="E2288" t="s">
        <v>18</v>
      </c>
      <c r="N2288" t="str">
        <f>_xlfn.XLOOKUP(A2288,[1]!brca_metabric_clinical_data__2[Patient ID], [1]!brca_metabric_clinical_data__2[Tumor Size])</f>
        <v>NA</v>
      </c>
      <c r="O2288" t="str">
        <f>_xlfn.XLOOKUP(A2288,[1]!brca_metabric_clinical_data__2[Sample ID],[1]!brca_metabric_clinical_data__2[Tumor Stage])</f>
        <v>NA</v>
      </c>
    </row>
    <row r="2289" spans="1:15" x14ac:dyDescent="0.45">
      <c r="A2289" t="s">
        <v>2324</v>
      </c>
      <c r="B2289">
        <v>47</v>
      </c>
      <c r="C2289" t="s">
        <v>16</v>
      </c>
      <c r="E2289" t="s">
        <v>37</v>
      </c>
      <c r="N2289" t="str">
        <f>_xlfn.XLOOKUP(A2289,[1]!brca_metabric_clinical_data__2[Patient ID], [1]!brca_metabric_clinical_data__2[Tumor Size])</f>
        <v>NA</v>
      </c>
      <c r="O2289" t="str">
        <f>_xlfn.XLOOKUP(A2289,[1]!brca_metabric_clinical_data__2[Sample ID],[1]!brca_metabric_clinical_data__2[Tumor Stage])</f>
        <v>NA</v>
      </c>
    </row>
    <row r="2290" spans="1:15" x14ac:dyDescent="0.45">
      <c r="A2290" t="s">
        <v>2325</v>
      </c>
      <c r="B2290">
        <v>34</v>
      </c>
      <c r="C2290" t="s">
        <v>16</v>
      </c>
      <c r="E2290" t="s">
        <v>37</v>
      </c>
      <c r="N2290" t="str">
        <f>_xlfn.XLOOKUP(A2290,[1]!brca_metabric_clinical_data__2[Patient ID], [1]!brca_metabric_clinical_data__2[Tumor Size])</f>
        <v>NA</v>
      </c>
      <c r="O2290" t="str">
        <f>_xlfn.XLOOKUP(A2290,[1]!brca_metabric_clinical_data__2[Sample ID],[1]!brca_metabric_clinical_data__2[Tumor Stage])</f>
        <v>NA</v>
      </c>
    </row>
    <row r="2291" spans="1:15" x14ac:dyDescent="0.45">
      <c r="A2291" t="s">
        <v>2326</v>
      </c>
      <c r="B2291">
        <v>52</v>
      </c>
      <c r="C2291" t="s">
        <v>16</v>
      </c>
      <c r="E2291" t="s">
        <v>18</v>
      </c>
      <c r="N2291" t="str">
        <f>_xlfn.XLOOKUP(A2291,[1]!brca_metabric_clinical_data__2[Patient ID], [1]!brca_metabric_clinical_data__2[Tumor Size])</f>
        <v>NA</v>
      </c>
      <c r="O2291" t="str">
        <f>_xlfn.XLOOKUP(A2291,[1]!brca_metabric_clinical_data__2[Sample ID],[1]!brca_metabric_clinical_data__2[Tumor Stage])</f>
        <v>NA</v>
      </c>
    </row>
    <row r="2292" spans="1:15" x14ac:dyDescent="0.45">
      <c r="A2292" t="s">
        <v>2327</v>
      </c>
      <c r="B2292">
        <v>43</v>
      </c>
      <c r="C2292" t="s">
        <v>16</v>
      </c>
      <c r="E2292" t="s">
        <v>37</v>
      </c>
      <c r="N2292" t="str">
        <f>_xlfn.XLOOKUP(A2292,[1]!brca_metabric_clinical_data__2[Patient ID], [1]!brca_metabric_clinical_data__2[Tumor Size])</f>
        <v>NA</v>
      </c>
      <c r="O2292" t="str">
        <f>_xlfn.XLOOKUP(A2292,[1]!brca_metabric_clinical_data__2[Sample ID],[1]!brca_metabric_clinical_data__2[Tumor Stage])</f>
        <v>NA</v>
      </c>
    </row>
    <row r="2293" spans="1:15" x14ac:dyDescent="0.45">
      <c r="A2293" t="s">
        <v>2328</v>
      </c>
      <c r="B2293">
        <v>43</v>
      </c>
      <c r="C2293" t="s">
        <v>16</v>
      </c>
      <c r="E2293" t="s">
        <v>37</v>
      </c>
      <c r="N2293" t="str">
        <f>_xlfn.XLOOKUP(A2293,[1]!brca_metabric_clinical_data__2[Patient ID], [1]!brca_metabric_clinical_data__2[Tumor Size])</f>
        <v>NA</v>
      </c>
      <c r="O2293" t="str">
        <f>_xlfn.XLOOKUP(A2293,[1]!brca_metabric_clinical_data__2[Sample ID],[1]!brca_metabric_clinical_data__2[Tumor Stage])</f>
        <v>NA</v>
      </c>
    </row>
    <row r="2294" spans="1:15" x14ac:dyDescent="0.45">
      <c r="A2294" t="s">
        <v>2329</v>
      </c>
      <c r="B2294">
        <v>45</v>
      </c>
      <c r="C2294" t="s">
        <v>16</v>
      </c>
      <c r="E2294" t="s">
        <v>37</v>
      </c>
      <c r="N2294" t="str">
        <f>_xlfn.XLOOKUP(A2294,[1]!brca_metabric_clinical_data__2[Patient ID], [1]!brca_metabric_clinical_data__2[Tumor Size])</f>
        <v>NA</v>
      </c>
      <c r="O2294" t="str">
        <f>_xlfn.XLOOKUP(A2294,[1]!brca_metabric_clinical_data__2[Sample ID],[1]!brca_metabric_clinical_data__2[Tumor Stage])</f>
        <v>NA</v>
      </c>
    </row>
    <row r="2295" spans="1:15" x14ac:dyDescent="0.45">
      <c r="A2295" t="s">
        <v>2330</v>
      </c>
      <c r="B2295">
        <v>52</v>
      </c>
      <c r="C2295" t="s">
        <v>16</v>
      </c>
      <c r="E2295" t="s">
        <v>37</v>
      </c>
      <c r="N2295" t="str">
        <f>_xlfn.XLOOKUP(A2295,[1]!brca_metabric_clinical_data__2[Patient ID], [1]!brca_metabric_clinical_data__2[Tumor Size])</f>
        <v>NA</v>
      </c>
      <c r="O2295" t="str">
        <f>_xlfn.XLOOKUP(A2295,[1]!brca_metabric_clinical_data__2[Sample ID],[1]!brca_metabric_clinical_data__2[Tumor Stage])</f>
        <v>NA</v>
      </c>
    </row>
    <row r="2296" spans="1:15" x14ac:dyDescent="0.45">
      <c r="A2296" t="s">
        <v>2331</v>
      </c>
      <c r="B2296">
        <v>56</v>
      </c>
      <c r="C2296" t="s">
        <v>16</v>
      </c>
      <c r="E2296" t="s">
        <v>18</v>
      </c>
      <c r="N2296" t="str">
        <f>_xlfn.XLOOKUP(A2296,[1]!brca_metabric_clinical_data__2[Patient ID], [1]!brca_metabric_clinical_data__2[Tumor Size])</f>
        <v>NA</v>
      </c>
      <c r="O2296" t="str">
        <f>_xlfn.XLOOKUP(A2296,[1]!brca_metabric_clinical_data__2[Sample ID],[1]!brca_metabric_clinical_data__2[Tumor Stage])</f>
        <v>NA</v>
      </c>
    </row>
    <row r="2297" spans="1:15" x14ac:dyDescent="0.45">
      <c r="A2297" t="s">
        <v>2332</v>
      </c>
      <c r="B2297">
        <v>46</v>
      </c>
      <c r="C2297" t="s">
        <v>16</v>
      </c>
      <c r="E2297" t="s">
        <v>18</v>
      </c>
      <c r="N2297" t="str">
        <f>_xlfn.XLOOKUP(A2297,[1]!brca_metabric_clinical_data__2[Patient ID], [1]!brca_metabric_clinical_data__2[Tumor Size])</f>
        <v>NA</v>
      </c>
      <c r="O2297" t="str">
        <f>_xlfn.XLOOKUP(A2297,[1]!brca_metabric_clinical_data__2[Sample ID],[1]!brca_metabric_clinical_data__2[Tumor Stage])</f>
        <v>NA</v>
      </c>
    </row>
    <row r="2298" spans="1:15" x14ac:dyDescent="0.45">
      <c r="A2298" t="s">
        <v>2333</v>
      </c>
      <c r="B2298">
        <v>50</v>
      </c>
      <c r="C2298" t="s">
        <v>16</v>
      </c>
      <c r="E2298" t="s">
        <v>37</v>
      </c>
      <c r="N2298" t="str">
        <f>_xlfn.XLOOKUP(A2298,[1]!brca_metabric_clinical_data__2[Patient ID], [1]!brca_metabric_clinical_data__2[Tumor Size])</f>
        <v>NA</v>
      </c>
      <c r="O2298" t="str">
        <f>_xlfn.XLOOKUP(A2298,[1]!brca_metabric_clinical_data__2[Sample ID],[1]!brca_metabric_clinical_data__2[Tumor Stage])</f>
        <v>NA</v>
      </c>
    </row>
    <row r="2299" spans="1:15" x14ac:dyDescent="0.45">
      <c r="A2299" t="s">
        <v>2334</v>
      </c>
      <c r="B2299">
        <v>43</v>
      </c>
      <c r="C2299" t="s">
        <v>16</v>
      </c>
      <c r="E2299" t="s">
        <v>37</v>
      </c>
      <c r="N2299" t="str">
        <f>_xlfn.XLOOKUP(A2299,[1]!brca_metabric_clinical_data__2[Patient ID], [1]!brca_metabric_clinical_data__2[Tumor Size])</f>
        <v>NA</v>
      </c>
      <c r="O2299" t="str">
        <f>_xlfn.XLOOKUP(A2299,[1]!brca_metabric_clinical_data__2[Sample ID],[1]!brca_metabric_clinical_data__2[Tumor Stage])</f>
        <v>NA</v>
      </c>
    </row>
    <row r="2300" spans="1:15" x14ac:dyDescent="0.45">
      <c r="A2300" t="s">
        <v>2335</v>
      </c>
      <c r="B2300">
        <v>45</v>
      </c>
      <c r="C2300" t="s">
        <v>16</v>
      </c>
      <c r="E2300" t="s">
        <v>18</v>
      </c>
      <c r="N2300" t="str">
        <f>_xlfn.XLOOKUP(A2300,[1]!brca_metabric_clinical_data__2[Patient ID], [1]!brca_metabric_clinical_data__2[Tumor Size])</f>
        <v>NA</v>
      </c>
      <c r="O2300" t="str">
        <f>_xlfn.XLOOKUP(A2300,[1]!brca_metabric_clinical_data__2[Sample ID],[1]!brca_metabric_clinical_data__2[Tumor Stage])</f>
        <v>NA</v>
      </c>
    </row>
    <row r="2301" spans="1:15" x14ac:dyDescent="0.45">
      <c r="A2301" t="s">
        <v>2336</v>
      </c>
      <c r="B2301">
        <v>36</v>
      </c>
      <c r="C2301" t="s">
        <v>16</v>
      </c>
      <c r="E2301" t="s">
        <v>18</v>
      </c>
      <c r="N2301" t="str">
        <f>_xlfn.XLOOKUP(A2301,[1]!brca_metabric_clinical_data__2[Patient ID], [1]!brca_metabric_clinical_data__2[Tumor Size])</f>
        <v>NA</v>
      </c>
      <c r="O2301" t="str">
        <f>_xlfn.XLOOKUP(A2301,[1]!brca_metabric_clinical_data__2[Sample ID],[1]!brca_metabric_clinical_data__2[Tumor Stage])</f>
        <v>NA</v>
      </c>
    </row>
    <row r="2302" spans="1:15" x14ac:dyDescent="0.45">
      <c r="A2302" t="s">
        <v>2337</v>
      </c>
      <c r="B2302">
        <v>42</v>
      </c>
      <c r="C2302" t="s">
        <v>16</v>
      </c>
      <c r="E2302" t="s">
        <v>18</v>
      </c>
      <c r="N2302" t="str">
        <f>_xlfn.XLOOKUP(A2302,[1]!brca_metabric_clinical_data__2[Patient ID], [1]!brca_metabric_clinical_data__2[Tumor Size])</f>
        <v>NA</v>
      </c>
      <c r="O2302" t="str">
        <f>_xlfn.XLOOKUP(A2302,[1]!brca_metabric_clinical_data__2[Sample ID],[1]!brca_metabric_clinical_data__2[Tumor Stage])</f>
        <v>NA</v>
      </c>
    </row>
    <row r="2303" spans="1:15" x14ac:dyDescent="0.45">
      <c r="A2303" t="s">
        <v>2338</v>
      </c>
      <c r="B2303">
        <v>58</v>
      </c>
      <c r="C2303" t="s">
        <v>16</v>
      </c>
      <c r="E2303" t="s">
        <v>18</v>
      </c>
      <c r="N2303" t="str">
        <f>_xlfn.XLOOKUP(A2303,[1]!brca_metabric_clinical_data__2[Patient ID], [1]!brca_metabric_clinical_data__2[Tumor Size])</f>
        <v>NA</v>
      </c>
      <c r="O2303" t="str">
        <f>_xlfn.XLOOKUP(A2303,[1]!brca_metabric_clinical_data__2[Sample ID],[1]!brca_metabric_clinical_data__2[Tumor Stage])</f>
        <v>NA</v>
      </c>
    </row>
    <row r="2304" spans="1:15" x14ac:dyDescent="0.45">
      <c r="A2304" t="s">
        <v>2339</v>
      </c>
      <c r="B2304">
        <v>43</v>
      </c>
      <c r="C2304" t="s">
        <v>16</v>
      </c>
      <c r="E2304" t="s">
        <v>18</v>
      </c>
      <c r="N2304" t="str">
        <f>_xlfn.XLOOKUP(A2304,[1]!brca_metabric_clinical_data__2[Patient ID], [1]!brca_metabric_clinical_data__2[Tumor Size])</f>
        <v>NA</v>
      </c>
      <c r="O2304" t="str">
        <f>_xlfn.XLOOKUP(A2304,[1]!brca_metabric_clinical_data__2[Sample ID],[1]!brca_metabric_clinical_data__2[Tumor Stage])</f>
        <v>NA</v>
      </c>
    </row>
    <row r="2305" spans="1:15" x14ac:dyDescent="0.45">
      <c r="A2305" t="s">
        <v>2340</v>
      </c>
      <c r="B2305">
        <v>60</v>
      </c>
      <c r="C2305" t="s">
        <v>16</v>
      </c>
      <c r="E2305" t="s">
        <v>18</v>
      </c>
      <c r="N2305" t="str">
        <f>_xlfn.XLOOKUP(A2305,[1]!brca_metabric_clinical_data__2[Patient ID], [1]!brca_metabric_clinical_data__2[Tumor Size])</f>
        <v>NA</v>
      </c>
      <c r="O2305" t="str">
        <f>_xlfn.XLOOKUP(A2305,[1]!brca_metabric_clinical_data__2[Sample ID],[1]!brca_metabric_clinical_data__2[Tumor Stage])</f>
        <v>NA</v>
      </c>
    </row>
    <row r="2306" spans="1:15" x14ac:dyDescent="0.45">
      <c r="A2306" t="s">
        <v>2341</v>
      </c>
      <c r="B2306">
        <v>39</v>
      </c>
      <c r="C2306" t="s">
        <v>16</v>
      </c>
      <c r="E2306" t="s">
        <v>18</v>
      </c>
      <c r="N2306" t="str">
        <f>_xlfn.XLOOKUP(A2306,[1]!brca_metabric_clinical_data__2[Patient ID], [1]!brca_metabric_clinical_data__2[Tumor Size])</f>
        <v>NA</v>
      </c>
      <c r="O2306" t="str">
        <f>_xlfn.XLOOKUP(A2306,[1]!brca_metabric_clinical_data__2[Sample ID],[1]!brca_metabric_clinical_data__2[Tumor Stage])</f>
        <v>NA</v>
      </c>
    </row>
    <row r="2307" spans="1:15" x14ac:dyDescent="0.45">
      <c r="A2307" t="s">
        <v>2342</v>
      </c>
      <c r="B2307">
        <v>45</v>
      </c>
      <c r="C2307" t="s">
        <v>16</v>
      </c>
      <c r="E2307" t="s">
        <v>18</v>
      </c>
      <c r="N2307" t="str">
        <f>_xlfn.XLOOKUP(A2307,[1]!brca_metabric_clinical_data__2[Patient ID], [1]!brca_metabric_clinical_data__2[Tumor Size])</f>
        <v>NA</v>
      </c>
      <c r="O2307" t="str">
        <f>_xlfn.XLOOKUP(A2307,[1]!brca_metabric_clinical_data__2[Sample ID],[1]!brca_metabric_clinical_data__2[Tumor Stage])</f>
        <v>NA</v>
      </c>
    </row>
    <row r="2308" spans="1:15" x14ac:dyDescent="0.45">
      <c r="A2308" t="s">
        <v>2343</v>
      </c>
      <c r="B2308">
        <v>60</v>
      </c>
      <c r="C2308" t="s">
        <v>16</v>
      </c>
      <c r="E2308" t="s">
        <v>18</v>
      </c>
      <c r="N2308" t="str">
        <f>_xlfn.XLOOKUP(A2308,[1]!brca_metabric_clinical_data__2[Patient ID], [1]!brca_metabric_clinical_data__2[Tumor Size])</f>
        <v>NA</v>
      </c>
      <c r="O2308" t="str">
        <f>_xlfn.XLOOKUP(A2308,[1]!brca_metabric_clinical_data__2[Sample ID],[1]!brca_metabric_clinical_data__2[Tumor Stage])</f>
        <v>NA</v>
      </c>
    </row>
    <row r="2309" spans="1:15" x14ac:dyDescent="0.45">
      <c r="A2309" t="s">
        <v>2344</v>
      </c>
      <c r="B2309">
        <v>43</v>
      </c>
      <c r="C2309" t="s">
        <v>16</v>
      </c>
      <c r="E2309" t="s">
        <v>18</v>
      </c>
      <c r="N2309" t="str">
        <f>_xlfn.XLOOKUP(A2309,[1]!brca_metabric_clinical_data__2[Patient ID], [1]!brca_metabric_clinical_data__2[Tumor Size])</f>
        <v>NA</v>
      </c>
      <c r="O2309" t="str">
        <f>_xlfn.XLOOKUP(A2309,[1]!brca_metabric_clinical_data__2[Sample ID],[1]!brca_metabric_clinical_data__2[Tumor Stage])</f>
        <v>NA</v>
      </c>
    </row>
    <row r="2310" spans="1:15" x14ac:dyDescent="0.45">
      <c r="A2310" t="s">
        <v>2345</v>
      </c>
      <c r="B2310">
        <v>46</v>
      </c>
      <c r="C2310" t="s">
        <v>16</v>
      </c>
      <c r="E2310" t="s">
        <v>18</v>
      </c>
      <c r="N2310" t="str">
        <f>_xlfn.XLOOKUP(A2310,[1]!brca_metabric_clinical_data__2[Patient ID], [1]!brca_metabric_clinical_data__2[Tumor Size])</f>
        <v>NA</v>
      </c>
      <c r="O2310" t="str">
        <f>_xlfn.XLOOKUP(A2310,[1]!brca_metabric_clinical_data__2[Sample ID],[1]!brca_metabric_clinical_data__2[Tumor Stage])</f>
        <v>NA</v>
      </c>
    </row>
    <row r="2311" spans="1:15" x14ac:dyDescent="0.45">
      <c r="A2311" t="s">
        <v>2346</v>
      </c>
      <c r="B2311">
        <v>65</v>
      </c>
      <c r="C2311" t="s">
        <v>16</v>
      </c>
      <c r="E2311" t="s">
        <v>18</v>
      </c>
      <c r="N2311" t="str">
        <f>_xlfn.XLOOKUP(A2311,[1]!brca_metabric_clinical_data__2[Patient ID], [1]!brca_metabric_clinical_data__2[Tumor Size])</f>
        <v>NA</v>
      </c>
      <c r="O2311" t="str">
        <f>_xlfn.XLOOKUP(A2311,[1]!brca_metabric_clinical_data__2[Sample ID],[1]!brca_metabric_clinical_data__2[Tumor Stage])</f>
        <v>NA</v>
      </c>
    </row>
    <row r="2312" spans="1:15" x14ac:dyDescent="0.45">
      <c r="A2312" t="s">
        <v>2347</v>
      </c>
      <c r="B2312">
        <v>59.18</v>
      </c>
      <c r="C2312" t="s">
        <v>16</v>
      </c>
      <c r="E2312" t="s">
        <v>37</v>
      </c>
      <c r="N2312" t="str">
        <f>_xlfn.XLOOKUP(A2312,[1]!brca_metabric_clinical_data__2[Patient ID], [1]!brca_metabric_clinical_data__2[Tumor Size])</f>
        <v>22</v>
      </c>
      <c r="O2312" t="str">
        <f>_xlfn.XLOOKUP(A2312,[1]!brca_metabric_clinical_data__2[Sample ID],[1]!brca_metabric_clinical_data__2[Tumor Stage])</f>
        <v>2</v>
      </c>
    </row>
    <row r="2313" spans="1:15" x14ac:dyDescent="0.45">
      <c r="A2313" t="s">
        <v>2348</v>
      </c>
      <c r="B2313">
        <v>62.72</v>
      </c>
      <c r="C2313" t="s">
        <v>16</v>
      </c>
      <c r="E2313" t="s">
        <v>18</v>
      </c>
      <c r="N2313" t="str">
        <f>_xlfn.XLOOKUP(A2313,[1]!brca_metabric_clinical_data__2[Patient ID], [1]!brca_metabric_clinical_data__2[Tumor Size])</f>
        <v>25</v>
      </c>
      <c r="O2313" t="str">
        <f>_xlfn.XLOOKUP(A2313,[1]!brca_metabric_clinical_data__2[Sample ID],[1]!brca_metabric_clinical_data__2[Tumor Stage])</f>
        <v>2</v>
      </c>
    </row>
    <row r="2314" spans="1:15" x14ac:dyDescent="0.45">
      <c r="A2314" t="s">
        <v>2349</v>
      </c>
      <c r="B2314">
        <v>74.7</v>
      </c>
      <c r="C2314" t="s">
        <v>16</v>
      </c>
      <c r="E2314" t="s">
        <v>37</v>
      </c>
      <c r="N2314" t="str">
        <f>_xlfn.XLOOKUP(A2314,[1]!brca_metabric_clinical_data__2[Patient ID], [1]!brca_metabric_clinical_data__2[Tumor Size])</f>
        <v>32</v>
      </c>
      <c r="O2314" t="str">
        <f>_xlfn.XLOOKUP(A2314,[1]!brca_metabric_clinical_data__2[Sample ID],[1]!brca_metabric_clinical_data__2[Tumor Stage])</f>
        <v>2</v>
      </c>
    </row>
    <row r="2315" spans="1:15" x14ac:dyDescent="0.45">
      <c r="A2315" t="s">
        <v>2350</v>
      </c>
      <c r="B2315">
        <v>78.94</v>
      </c>
      <c r="C2315" t="s">
        <v>16</v>
      </c>
      <c r="E2315" t="s">
        <v>18</v>
      </c>
      <c r="N2315" t="str">
        <f>_xlfn.XLOOKUP(A2315,[1]!brca_metabric_clinical_data__2[Patient ID], [1]!brca_metabric_clinical_data__2[Tumor Size])</f>
        <v>55</v>
      </c>
      <c r="O2315" t="str">
        <f>_xlfn.XLOOKUP(A2315,[1]!brca_metabric_clinical_data__2[Sample ID],[1]!brca_metabric_clinical_data__2[Tumor Stage])</f>
        <v>3</v>
      </c>
    </row>
    <row r="2316" spans="1:15" x14ac:dyDescent="0.45">
      <c r="A2316" t="s">
        <v>2351</v>
      </c>
      <c r="B2316">
        <v>74.41</v>
      </c>
      <c r="C2316" t="s">
        <v>16</v>
      </c>
      <c r="E2316" t="s">
        <v>18</v>
      </c>
      <c r="N2316" t="str">
        <f>_xlfn.XLOOKUP(A2316,[1]!brca_metabric_clinical_data__2[Patient ID], [1]!brca_metabric_clinical_data__2[Tumor Size])</f>
        <v>20</v>
      </c>
      <c r="O2316" t="str">
        <f>_xlfn.XLOOKUP(A2316,[1]!brca_metabric_clinical_data__2[Sample ID],[1]!brca_metabric_clinical_data__2[Tumor Stage])</f>
        <v>1</v>
      </c>
    </row>
    <row r="2317" spans="1:15" x14ac:dyDescent="0.45">
      <c r="A2317" t="s">
        <v>2352</v>
      </c>
      <c r="B2317">
        <v>64.33</v>
      </c>
      <c r="C2317" t="s">
        <v>16</v>
      </c>
      <c r="E2317" t="s">
        <v>18</v>
      </c>
      <c r="N2317" t="str">
        <f>_xlfn.XLOOKUP(A2317,[1]!brca_metabric_clinical_data__2[Patient ID], [1]!brca_metabric_clinical_data__2[Tumor Size])</f>
        <v>22</v>
      </c>
      <c r="O2317" t="str">
        <f>_xlfn.XLOOKUP(A2317,[1]!brca_metabric_clinical_data__2[Sample ID],[1]!brca_metabric_clinical_data__2[Tumor Stage])</f>
        <v>2</v>
      </c>
    </row>
    <row r="2318" spans="1:15" x14ac:dyDescent="0.45">
      <c r="A2318" t="s">
        <v>2353</v>
      </c>
      <c r="B2318">
        <v>73.150000000000006</v>
      </c>
      <c r="C2318" t="s">
        <v>16</v>
      </c>
      <c r="E2318" t="s">
        <v>37</v>
      </c>
      <c r="N2318" t="str">
        <f>_xlfn.XLOOKUP(A2318,[1]!brca_metabric_clinical_data__2[Patient ID], [1]!brca_metabric_clinical_data__2[Tumor Size])</f>
        <v>11</v>
      </c>
      <c r="O2318" t="str">
        <f>_xlfn.XLOOKUP(A2318,[1]!brca_metabric_clinical_data__2[Sample ID],[1]!brca_metabric_clinical_data__2[Tumor Stage])</f>
        <v>1</v>
      </c>
    </row>
    <row r="2319" spans="1:15" x14ac:dyDescent="0.45">
      <c r="A2319" t="s">
        <v>2354</v>
      </c>
      <c r="B2319">
        <v>61.18</v>
      </c>
      <c r="C2319" t="s">
        <v>16</v>
      </c>
      <c r="E2319" t="s">
        <v>18</v>
      </c>
      <c r="N2319" t="str">
        <f>_xlfn.XLOOKUP(A2319,[1]!brca_metabric_clinical_data__2[Patient ID], [1]!brca_metabric_clinical_data__2[Tumor Size])</f>
        <v>17</v>
      </c>
      <c r="O2319" t="str">
        <f>_xlfn.XLOOKUP(A2319,[1]!brca_metabric_clinical_data__2[Sample ID],[1]!brca_metabric_clinical_data__2[Tumor Stage])</f>
        <v>1</v>
      </c>
    </row>
    <row r="2320" spans="1:15" x14ac:dyDescent="0.45">
      <c r="A2320" t="s">
        <v>2355</v>
      </c>
      <c r="C2320" t="s">
        <v>16</v>
      </c>
      <c r="N2320" t="str">
        <f>_xlfn.XLOOKUP(A2320,[1]!brca_metabric_clinical_data__2[Patient ID], [1]!brca_metabric_clinical_data__2[Tumor Size])</f>
        <v>NA</v>
      </c>
      <c r="O2320" t="str">
        <f>_xlfn.XLOOKUP(A2320,[1]!brca_metabric_clinical_data__2[Sample ID],[1]!brca_metabric_clinical_data__2[Tumor Stage])</f>
        <v>0</v>
      </c>
    </row>
    <row r="2321" spans="1:15" x14ac:dyDescent="0.45">
      <c r="A2321" t="s">
        <v>2356</v>
      </c>
      <c r="B2321">
        <v>62.45</v>
      </c>
      <c r="C2321" t="s">
        <v>16</v>
      </c>
      <c r="E2321" t="s">
        <v>37</v>
      </c>
      <c r="N2321" t="str">
        <f>_xlfn.XLOOKUP(A2321,[1]!brca_metabric_clinical_data__2[Patient ID], [1]!brca_metabric_clinical_data__2[Tumor Size])</f>
        <v>25</v>
      </c>
      <c r="O2321" t="str">
        <f>_xlfn.XLOOKUP(A2321,[1]!brca_metabric_clinical_data__2[Sample ID],[1]!brca_metabric_clinical_data__2[Tumor Stage])</f>
        <v>2</v>
      </c>
    </row>
    <row r="2322" spans="1:15" x14ac:dyDescent="0.45">
      <c r="A2322" t="s">
        <v>2357</v>
      </c>
      <c r="C2322" t="s">
        <v>16</v>
      </c>
      <c r="N2322" t="str">
        <f>_xlfn.XLOOKUP(A2322,[1]!brca_metabric_clinical_data__2[Patient ID], [1]!brca_metabric_clinical_data__2[Tumor Size])</f>
        <v>NA</v>
      </c>
      <c r="O2322" t="str">
        <f>_xlfn.XLOOKUP(A2322,[1]!brca_metabric_clinical_data__2[Sample ID],[1]!brca_metabric_clinical_data__2[Tumor Stage])</f>
        <v>0</v>
      </c>
    </row>
    <row r="2323" spans="1:15" x14ac:dyDescent="0.45">
      <c r="A2323" t="s">
        <v>2358</v>
      </c>
      <c r="B2323">
        <v>52.12</v>
      </c>
      <c r="C2323" t="s">
        <v>16</v>
      </c>
      <c r="E2323" t="s">
        <v>18</v>
      </c>
      <c r="N2323" t="str">
        <f>_xlfn.XLOOKUP(A2323,[1]!brca_metabric_clinical_data__2[Patient ID], [1]!brca_metabric_clinical_data__2[Tumor Size])</f>
        <v>26</v>
      </c>
      <c r="O2323" t="str">
        <f>_xlfn.XLOOKUP(A2323,[1]!brca_metabric_clinical_data__2[Sample ID],[1]!brca_metabric_clinical_data__2[Tumor Stage])</f>
        <v>2</v>
      </c>
    </row>
    <row r="2324" spans="1:15" x14ac:dyDescent="0.45">
      <c r="A2324" t="s">
        <v>2359</v>
      </c>
      <c r="B2324">
        <v>62.97</v>
      </c>
      <c r="C2324" t="s">
        <v>16</v>
      </c>
      <c r="E2324" t="s">
        <v>18</v>
      </c>
      <c r="N2324" t="str">
        <f>_xlfn.XLOOKUP(A2324,[1]!brca_metabric_clinical_data__2[Patient ID], [1]!brca_metabric_clinical_data__2[Tumor Size])</f>
        <v>130</v>
      </c>
      <c r="O2324" t="str">
        <f>_xlfn.XLOOKUP(A2324,[1]!brca_metabric_clinical_data__2[Sample ID],[1]!brca_metabric_clinical_data__2[Tumor Stage])</f>
        <v>NA</v>
      </c>
    </row>
    <row r="2325" spans="1:15" x14ac:dyDescent="0.45">
      <c r="A2325" t="s">
        <v>2360</v>
      </c>
      <c r="B2325">
        <v>69.63</v>
      </c>
      <c r="C2325" t="s">
        <v>16</v>
      </c>
      <c r="E2325" t="s">
        <v>18</v>
      </c>
      <c r="N2325" t="str">
        <f>_xlfn.XLOOKUP(A2325,[1]!brca_metabric_clinical_data__2[Patient ID], [1]!brca_metabric_clinical_data__2[Tumor Size])</f>
        <v>24.6</v>
      </c>
      <c r="O2325" t="str">
        <f>_xlfn.XLOOKUP(A2325,[1]!brca_metabric_clinical_data__2[Sample ID],[1]!brca_metabric_clinical_data__2[Tumor Stage])</f>
        <v>NA</v>
      </c>
    </row>
    <row r="2326" spans="1:15" x14ac:dyDescent="0.45">
      <c r="A2326" t="s">
        <v>2361</v>
      </c>
      <c r="C2326" t="s">
        <v>16</v>
      </c>
      <c r="N2326" t="str">
        <f>_xlfn.XLOOKUP(A2326,[1]!brca_metabric_clinical_data__2[Patient ID], [1]!brca_metabric_clinical_data__2[Tumor Size])</f>
        <v>NA</v>
      </c>
      <c r="O2326" t="str">
        <f>_xlfn.XLOOKUP(A2326,[1]!brca_metabric_clinical_data__2[Sample ID],[1]!brca_metabric_clinical_data__2[Tumor Stage])</f>
        <v>0</v>
      </c>
    </row>
    <row r="2327" spans="1:15" x14ac:dyDescent="0.45">
      <c r="A2327" t="s">
        <v>2362</v>
      </c>
      <c r="B2327">
        <v>76.319999999999993</v>
      </c>
      <c r="C2327" t="s">
        <v>16</v>
      </c>
      <c r="E2327" t="s">
        <v>18</v>
      </c>
      <c r="N2327" t="str">
        <f>_xlfn.XLOOKUP(A2327,[1]!brca_metabric_clinical_data__2[Patient ID], [1]!brca_metabric_clinical_data__2[Tumor Size])</f>
        <v>11</v>
      </c>
      <c r="O2327" t="str">
        <f>_xlfn.XLOOKUP(A2327,[1]!brca_metabric_clinical_data__2[Sample ID],[1]!brca_metabric_clinical_data__2[Tumor Stage])</f>
        <v>1</v>
      </c>
    </row>
    <row r="2328" spans="1:15" x14ac:dyDescent="0.45">
      <c r="A2328" t="s">
        <v>2363</v>
      </c>
      <c r="B2328">
        <v>70.599999999999994</v>
      </c>
      <c r="C2328" t="s">
        <v>16</v>
      </c>
      <c r="E2328" t="s">
        <v>18</v>
      </c>
      <c r="N2328" t="str">
        <f>_xlfn.XLOOKUP(A2328,[1]!brca_metabric_clinical_data__2[Patient ID], [1]!brca_metabric_clinical_data__2[Tumor Size])</f>
        <v>24.05</v>
      </c>
      <c r="O2328" t="str">
        <f>_xlfn.XLOOKUP(A2328,[1]!brca_metabric_clinical_data__2[Sample ID],[1]!brca_metabric_clinical_data__2[Tumor Stage])</f>
        <v>NA</v>
      </c>
    </row>
    <row r="2329" spans="1:15" x14ac:dyDescent="0.45">
      <c r="A2329" t="s">
        <v>2364</v>
      </c>
      <c r="B2329">
        <v>55.07</v>
      </c>
      <c r="C2329" t="s">
        <v>16</v>
      </c>
      <c r="E2329" t="s">
        <v>18</v>
      </c>
      <c r="N2329" t="str">
        <f>_xlfn.XLOOKUP(A2329,[1]!brca_metabric_clinical_data__2[Patient ID], [1]!brca_metabric_clinical_data__2[Tumor Size])</f>
        <v>19</v>
      </c>
      <c r="O2329" t="str">
        <f>_xlfn.XLOOKUP(A2329,[1]!brca_metabric_clinical_data__2[Sample ID],[1]!brca_metabric_clinical_data__2[Tumor Stage])</f>
        <v>NA</v>
      </c>
    </row>
    <row r="2330" spans="1:15" x14ac:dyDescent="0.45">
      <c r="A2330" t="s">
        <v>2365</v>
      </c>
      <c r="B2330">
        <v>36.950000000000003</v>
      </c>
      <c r="C2330" t="s">
        <v>16</v>
      </c>
      <c r="E2330" t="s">
        <v>18</v>
      </c>
      <c r="N2330" t="str">
        <f>_xlfn.XLOOKUP(A2330,[1]!brca_metabric_clinical_data__2[Patient ID], [1]!brca_metabric_clinical_data__2[Tumor Size])</f>
        <v>9</v>
      </c>
      <c r="O2330" t="str">
        <f>_xlfn.XLOOKUP(A2330,[1]!brca_metabric_clinical_data__2[Sample ID],[1]!brca_metabric_clinical_data__2[Tumor Stage])</f>
        <v>1</v>
      </c>
    </row>
    <row r="2331" spans="1:15" x14ac:dyDescent="0.45">
      <c r="A2331" t="s">
        <v>2366</v>
      </c>
      <c r="B2331">
        <v>50.92</v>
      </c>
      <c r="C2331" t="s">
        <v>16</v>
      </c>
      <c r="E2331" t="s">
        <v>18</v>
      </c>
      <c r="N2331" t="str">
        <f>_xlfn.XLOOKUP(A2331,[1]!brca_metabric_clinical_data__2[Patient ID], [1]!brca_metabric_clinical_data__2[Tumor Size])</f>
        <v>1.7</v>
      </c>
      <c r="O2331" t="str">
        <f>_xlfn.XLOOKUP(A2331,[1]!brca_metabric_clinical_data__2[Sample ID],[1]!brca_metabric_clinical_data__2[Tumor Stage])</f>
        <v>NA</v>
      </c>
    </row>
    <row r="2332" spans="1:15" x14ac:dyDescent="0.45">
      <c r="A2332" t="s">
        <v>2367</v>
      </c>
      <c r="B2332">
        <v>50.01</v>
      </c>
      <c r="C2332" t="s">
        <v>16</v>
      </c>
      <c r="E2332" t="s">
        <v>37</v>
      </c>
      <c r="N2332" t="str">
        <f>_xlfn.XLOOKUP(A2332,[1]!brca_metabric_clinical_data__2[Patient ID], [1]!brca_metabric_clinical_data__2[Tumor Size])</f>
        <v>17.3</v>
      </c>
      <c r="O2332" t="str">
        <f>_xlfn.XLOOKUP(A2332,[1]!brca_metabric_clinical_data__2[Sample ID],[1]!brca_metabric_clinical_data__2[Tumor Stage])</f>
        <v>NA</v>
      </c>
    </row>
    <row r="2333" spans="1:15" x14ac:dyDescent="0.45">
      <c r="A2333" t="s">
        <v>2368</v>
      </c>
      <c r="B2333">
        <v>57.94</v>
      </c>
      <c r="C2333" t="s">
        <v>16</v>
      </c>
      <c r="E2333" t="s">
        <v>18</v>
      </c>
      <c r="N2333" t="str">
        <f>_xlfn.XLOOKUP(A2333,[1]!brca_metabric_clinical_data__2[Patient ID], [1]!brca_metabric_clinical_data__2[Tumor Size])</f>
        <v>34</v>
      </c>
      <c r="O2333" t="str">
        <f>_xlfn.XLOOKUP(A2333,[1]!brca_metabric_clinical_data__2[Sample ID],[1]!brca_metabric_clinical_data__2[Tumor Stage])</f>
        <v>4</v>
      </c>
    </row>
    <row r="2334" spans="1:15" x14ac:dyDescent="0.45">
      <c r="A2334" t="s">
        <v>2369</v>
      </c>
      <c r="B2334">
        <v>32.69</v>
      </c>
      <c r="C2334" t="s">
        <v>16</v>
      </c>
      <c r="E2334" t="s">
        <v>37</v>
      </c>
      <c r="N2334" t="str">
        <f>_xlfn.XLOOKUP(A2334,[1]!brca_metabric_clinical_data__2[Patient ID], [1]!brca_metabric_clinical_data__2[Tumor Size])</f>
        <v>21.4</v>
      </c>
      <c r="O2334" t="str">
        <f>_xlfn.XLOOKUP(A2334,[1]!brca_metabric_clinical_data__2[Sample ID],[1]!brca_metabric_clinical_data__2[Tumor Stage])</f>
        <v>NA</v>
      </c>
    </row>
    <row r="2335" spans="1:15" x14ac:dyDescent="0.45">
      <c r="A2335" t="s">
        <v>2370</v>
      </c>
      <c r="B2335">
        <v>42.39</v>
      </c>
      <c r="C2335" t="s">
        <v>16</v>
      </c>
      <c r="E2335" t="s">
        <v>37</v>
      </c>
      <c r="N2335" t="str">
        <f>_xlfn.XLOOKUP(A2335,[1]!brca_metabric_clinical_data__2[Patient ID], [1]!brca_metabric_clinical_data__2[Tumor Size])</f>
        <v>25</v>
      </c>
      <c r="O2335" t="str">
        <f>_xlfn.XLOOKUP(A2335,[1]!brca_metabric_clinical_data__2[Sample ID],[1]!brca_metabric_clinical_data__2[Tumor Stage])</f>
        <v>NA</v>
      </c>
    </row>
    <row r="2336" spans="1:15" x14ac:dyDescent="0.45">
      <c r="A2336" t="s">
        <v>2371</v>
      </c>
      <c r="B2336">
        <v>46.5</v>
      </c>
      <c r="C2336" t="s">
        <v>16</v>
      </c>
      <c r="E2336" t="s">
        <v>18</v>
      </c>
      <c r="N2336" t="str">
        <f>_xlfn.XLOOKUP(A2336,[1]!brca_metabric_clinical_data__2[Patient ID], [1]!brca_metabric_clinical_data__2[Tumor Size])</f>
        <v>50</v>
      </c>
      <c r="O2336" t="str">
        <f>_xlfn.XLOOKUP(A2336,[1]!brca_metabric_clinical_data__2[Sample ID],[1]!brca_metabric_clinical_data__2[Tumor Stage])</f>
        <v>3</v>
      </c>
    </row>
    <row r="2337" spans="1:15" x14ac:dyDescent="0.45">
      <c r="A2337" t="s">
        <v>2372</v>
      </c>
      <c r="B2337">
        <v>86.16</v>
      </c>
      <c r="C2337" t="s">
        <v>16</v>
      </c>
      <c r="E2337" t="s">
        <v>18</v>
      </c>
      <c r="N2337" t="str">
        <f>_xlfn.XLOOKUP(A2337,[1]!brca_metabric_clinical_data__2[Patient ID], [1]!brca_metabric_clinical_data__2[Tumor Size])</f>
        <v>20</v>
      </c>
      <c r="O2337" t="str">
        <f>_xlfn.XLOOKUP(A2337,[1]!brca_metabric_clinical_data__2[Sample ID],[1]!brca_metabric_clinical_data__2[Tumor Stage])</f>
        <v>1</v>
      </c>
    </row>
    <row r="2338" spans="1:15" x14ac:dyDescent="0.45">
      <c r="A2338" t="s">
        <v>2373</v>
      </c>
      <c r="B2338">
        <v>79.900000000000006</v>
      </c>
      <c r="C2338" t="s">
        <v>16</v>
      </c>
      <c r="E2338" t="s">
        <v>37</v>
      </c>
      <c r="N2338" t="str">
        <f>_xlfn.XLOOKUP(A2338,[1]!brca_metabric_clinical_data__2[Patient ID], [1]!brca_metabric_clinical_data__2[Tumor Size])</f>
        <v>50</v>
      </c>
      <c r="O2338" t="str">
        <f>_xlfn.XLOOKUP(A2338,[1]!brca_metabric_clinical_data__2[Sample ID],[1]!brca_metabric_clinical_data__2[Tumor Stage])</f>
        <v>2</v>
      </c>
    </row>
    <row r="2339" spans="1:15" x14ac:dyDescent="0.45">
      <c r="A2339" t="s">
        <v>2374</v>
      </c>
      <c r="B2339">
        <v>53.69</v>
      </c>
      <c r="C2339" t="s">
        <v>16</v>
      </c>
      <c r="E2339" t="s">
        <v>18</v>
      </c>
      <c r="N2339" t="str">
        <f>_xlfn.XLOOKUP(A2339,[1]!brca_metabric_clinical_data__2[Patient ID], [1]!brca_metabric_clinical_data__2[Tumor Size])</f>
        <v>30</v>
      </c>
      <c r="O2339" t="str">
        <f>_xlfn.XLOOKUP(A2339,[1]!brca_metabric_clinical_data__2[Sample ID],[1]!brca_metabric_clinical_data__2[Tumor Stage])</f>
        <v>3</v>
      </c>
    </row>
    <row r="2340" spans="1:15" x14ac:dyDescent="0.45">
      <c r="A2340" t="s">
        <v>2375</v>
      </c>
      <c r="B2340">
        <v>73.89</v>
      </c>
      <c r="C2340" t="s">
        <v>16</v>
      </c>
      <c r="E2340" t="s">
        <v>18</v>
      </c>
      <c r="N2340" t="str">
        <f>_xlfn.XLOOKUP(A2340,[1]!brca_metabric_clinical_data__2[Patient ID], [1]!brca_metabric_clinical_data__2[Tumor Size])</f>
        <v>12</v>
      </c>
      <c r="O2340" t="str">
        <f>_xlfn.XLOOKUP(A2340,[1]!brca_metabric_clinical_data__2[Sample ID],[1]!brca_metabric_clinical_data__2[Tumor Stage])</f>
        <v>1</v>
      </c>
    </row>
    <row r="2341" spans="1:15" x14ac:dyDescent="0.45">
      <c r="A2341" t="s">
        <v>2376</v>
      </c>
      <c r="B2341">
        <v>82.84</v>
      </c>
      <c r="C2341" t="s">
        <v>16</v>
      </c>
      <c r="E2341" t="s">
        <v>18</v>
      </c>
      <c r="N2341" t="str">
        <f>_xlfn.XLOOKUP(A2341,[1]!brca_metabric_clinical_data__2[Patient ID], [1]!brca_metabric_clinical_data__2[Tumor Size])</f>
        <v>14</v>
      </c>
      <c r="O2341" t="str">
        <f>_xlfn.XLOOKUP(A2341,[1]!brca_metabric_clinical_data__2[Sample ID],[1]!brca_metabric_clinical_data__2[Tumor Stage])</f>
        <v>1</v>
      </c>
    </row>
    <row r="2342" spans="1:15" x14ac:dyDescent="0.45">
      <c r="A2342" t="s">
        <v>2377</v>
      </c>
      <c r="B2342">
        <v>82.49</v>
      </c>
      <c r="C2342" t="s">
        <v>16</v>
      </c>
      <c r="E2342" t="s">
        <v>18</v>
      </c>
      <c r="N2342" t="str">
        <f>_xlfn.XLOOKUP(A2342,[1]!brca_metabric_clinical_data__2[Patient ID], [1]!brca_metabric_clinical_data__2[Tumor Size])</f>
        <v>26</v>
      </c>
      <c r="O2342" t="str">
        <f>_xlfn.XLOOKUP(A2342,[1]!brca_metabric_clinical_data__2[Sample ID],[1]!brca_metabric_clinical_data__2[Tumor Stage])</f>
        <v>3</v>
      </c>
    </row>
    <row r="2343" spans="1:15" x14ac:dyDescent="0.45">
      <c r="A2343" t="s">
        <v>2378</v>
      </c>
      <c r="B2343">
        <v>59.91</v>
      </c>
      <c r="C2343" t="s">
        <v>16</v>
      </c>
      <c r="E2343" t="s">
        <v>18</v>
      </c>
      <c r="N2343" t="str">
        <f>_xlfn.XLOOKUP(A2343,[1]!brca_metabric_clinical_data__2[Patient ID], [1]!brca_metabric_clinical_data__2[Tumor Size])</f>
        <v>14</v>
      </c>
      <c r="O2343" t="str">
        <f>_xlfn.XLOOKUP(A2343,[1]!brca_metabric_clinical_data__2[Sample ID],[1]!brca_metabric_clinical_data__2[Tumor Stage])</f>
        <v>1</v>
      </c>
    </row>
    <row r="2344" spans="1:15" x14ac:dyDescent="0.45">
      <c r="A2344" t="s">
        <v>2379</v>
      </c>
      <c r="B2344">
        <v>69.47</v>
      </c>
      <c r="C2344" t="s">
        <v>16</v>
      </c>
      <c r="E2344" t="s">
        <v>18</v>
      </c>
      <c r="N2344" t="str">
        <f>_xlfn.XLOOKUP(A2344,[1]!brca_metabric_clinical_data__2[Patient ID], [1]!brca_metabric_clinical_data__2[Tumor Size])</f>
        <v>23</v>
      </c>
      <c r="O2344" t="str">
        <f>_xlfn.XLOOKUP(A2344,[1]!brca_metabric_clinical_data__2[Sample ID],[1]!brca_metabric_clinical_data__2[Tumor Stage])</f>
        <v>2</v>
      </c>
    </row>
    <row r="2345" spans="1:15" x14ac:dyDescent="0.45">
      <c r="A2345" t="s">
        <v>2380</v>
      </c>
      <c r="B2345">
        <v>60</v>
      </c>
      <c r="C2345" t="s">
        <v>16</v>
      </c>
      <c r="E2345" t="s">
        <v>18</v>
      </c>
      <c r="N2345" t="str">
        <f>_xlfn.XLOOKUP(A2345,[1]!brca_metabric_clinical_data__2[Patient ID], [1]!brca_metabric_clinical_data__2[Tumor Size])</f>
        <v>NA</v>
      </c>
      <c r="O2345" t="str">
        <f>_xlfn.XLOOKUP(A2345,[1]!brca_metabric_clinical_data__2[Sample ID],[1]!brca_metabric_clinical_data__2[Tumor Stage])</f>
        <v>NA</v>
      </c>
    </row>
    <row r="2346" spans="1:15" x14ac:dyDescent="0.45">
      <c r="A2346" t="s">
        <v>2381</v>
      </c>
      <c r="B2346">
        <v>59</v>
      </c>
      <c r="C2346" t="s">
        <v>16</v>
      </c>
      <c r="E2346" t="s">
        <v>37</v>
      </c>
      <c r="N2346" t="str">
        <f>_xlfn.XLOOKUP(A2346,[1]!brca_metabric_clinical_data__2[Patient ID], [1]!brca_metabric_clinical_data__2[Tumor Size])</f>
        <v>NA</v>
      </c>
      <c r="O2346" t="str">
        <f>_xlfn.XLOOKUP(A2346,[1]!brca_metabric_clinical_data__2[Sample ID],[1]!brca_metabric_clinical_data__2[Tumor Stage])</f>
        <v>NA</v>
      </c>
    </row>
    <row r="2347" spans="1:15" x14ac:dyDescent="0.45">
      <c r="A2347" t="s">
        <v>2382</v>
      </c>
      <c r="B2347">
        <v>47</v>
      </c>
      <c r="C2347" t="s">
        <v>16</v>
      </c>
      <c r="E2347" t="s">
        <v>18</v>
      </c>
      <c r="N2347" t="str">
        <f>_xlfn.XLOOKUP(A2347,[1]!brca_metabric_clinical_data__2[Patient ID], [1]!brca_metabric_clinical_data__2[Tumor Size])</f>
        <v>NA</v>
      </c>
      <c r="O2347" t="str">
        <f>_xlfn.XLOOKUP(A2347,[1]!brca_metabric_clinical_data__2[Sample ID],[1]!brca_metabric_clinical_data__2[Tumor Stage])</f>
        <v>NA</v>
      </c>
    </row>
    <row r="2348" spans="1:15" x14ac:dyDescent="0.45">
      <c r="A2348" t="s">
        <v>2383</v>
      </c>
      <c r="B2348">
        <v>31</v>
      </c>
      <c r="C2348" t="s">
        <v>16</v>
      </c>
      <c r="E2348" t="s">
        <v>18</v>
      </c>
      <c r="N2348" t="str">
        <f>_xlfn.XLOOKUP(A2348,[1]!brca_metabric_clinical_data__2[Patient ID], [1]!brca_metabric_clinical_data__2[Tumor Size])</f>
        <v>NA</v>
      </c>
      <c r="O2348" t="str">
        <f>_xlfn.XLOOKUP(A2348,[1]!brca_metabric_clinical_data__2[Sample ID],[1]!brca_metabric_clinical_data__2[Tumor Stage])</f>
        <v>NA</v>
      </c>
    </row>
    <row r="2349" spans="1:15" x14ac:dyDescent="0.45">
      <c r="A2349" t="s">
        <v>2384</v>
      </c>
      <c r="B2349">
        <v>65</v>
      </c>
      <c r="C2349" t="s">
        <v>16</v>
      </c>
      <c r="E2349" t="s">
        <v>18</v>
      </c>
      <c r="N2349" t="str">
        <f>_xlfn.XLOOKUP(A2349,[1]!brca_metabric_clinical_data__2[Patient ID], [1]!brca_metabric_clinical_data__2[Tumor Size])</f>
        <v>NA</v>
      </c>
      <c r="O2349" t="str">
        <f>_xlfn.XLOOKUP(A2349,[1]!brca_metabric_clinical_data__2[Sample ID],[1]!brca_metabric_clinical_data__2[Tumor Stage])</f>
        <v>NA</v>
      </c>
    </row>
    <row r="2350" spans="1:15" x14ac:dyDescent="0.45">
      <c r="A2350" t="s">
        <v>2385</v>
      </c>
      <c r="B2350">
        <v>47</v>
      </c>
      <c r="C2350" t="s">
        <v>16</v>
      </c>
      <c r="E2350" t="s">
        <v>18</v>
      </c>
      <c r="N2350" t="str">
        <f>_xlfn.XLOOKUP(A2350,[1]!brca_metabric_clinical_data__2[Patient ID], [1]!brca_metabric_clinical_data__2[Tumor Size])</f>
        <v>NA</v>
      </c>
      <c r="O2350" t="str">
        <f>_xlfn.XLOOKUP(A2350,[1]!brca_metabric_clinical_data__2[Sample ID],[1]!brca_metabric_clinical_data__2[Tumor Stage])</f>
        <v>NA</v>
      </c>
    </row>
    <row r="2351" spans="1:15" x14ac:dyDescent="0.45">
      <c r="A2351" t="s">
        <v>2386</v>
      </c>
      <c r="B2351">
        <v>62</v>
      </c>
      <c r="C2351" t="s">
        <v>16</v>
      </c>
      <c r="E2351" t="s">
        <v>18</v>
      </c>
      <c r="N2351" t="str">
        <f>_xlfn.XLOOKUP(A2351,[1]!brca_metabric_clinical_data__2[Patient ID], [1]!brca_metabric_clinical_data__2[Tumor Size])</f>
        <v>NA</v>
      </c>
      <c r="O2351" t="str">
        <f>_xlfn.XLOOKUP(A2351,[1]!brca_metabric_clinical_data__2[Sample ID],[1]!brca_metabric_clinical_data__2[Tumor Stage])</f>
        <v>NA</v>
      </c>
    </row>
    <row r="2352" spans="1:15" x14ac:dyDescent="0.45">
      <c r="A2352" t="s">
        <v>2387</v>
      </c>
      <c r="B2352">
        <v>51</v>
      </c>
      <c r="C2352" t="s">
        <v>16</v>
      </c>
      <c r="E2352" t="s">
        <v>18</v>
      </c>
      <c r="N2352" t="str">
        <f>_xlfn.XLOOKUP(A2352,[1]!brca_metabric_clinical_data__2[Patient ID], [1]!brca_metabric_clinical_data__2[Tumor Size])</f>
        <v>NA</v>
      </c>
      <c r="O2352" t="str">
        <f>_xlfn.XLOOKUP(A2352,[1]!brca_metabric_clinical_data__2[Sample ID],[1]!brca_metabric_clinical_data__2[Tumor Stage])</f>
        <v>NA</v>
      </c>
    </row>
    <row r="2353" spans="1:15" x14ac:dyDescent="0.45">
      <c r="A2353" t="s">
        <v>2388</v>
      </c>
      <c r="B2353">
        <v>57</v>
      </c>
      <c r="C2353" t="s">
        <v>16</v>
      </c>
      <c r="E2353" t="s">
        <v>18</v>
      </c>
      <c r="N2353" t="str">
        <f>_xlfn.XLOOKUP(A2353,[1]!brca_metabric_clinical_data__2[Patient ID], [1]!brca_metabric_clinical_data__2[Tumor Size])</f>
        <v>NA</v>
      </c>
      <c r="O2353" t="str">
        <f>_xlfn.XLOOKUP(A2353,[1]!brca_metabric_clinical_data__2[Sample ID],[1]!brca_metabric_clinical_data__2[Tumor Stage])</f>
        <v>NA</v>
      </c>
    </row>
    <row r="2354" spans="1:15" x14ac:dyDescent="0.45">
      <c r="A2354" t="s">
        <v>2389</v>
      </c>
      <c r="B2354">
        <v>52</v>
      </c>
      <c r="C2354" t="s">
        <v>16</v>
      </c>
      <c r="E2354" t="s">
        <v>18</v>
      </c>
      <c r="N2354" t="str">
        <f>_xlfn.XLOOKUP(A2354,[1]!brca_metabric_clinical_data__2[Patient ID], [1]!brca_metabric_clinical_data__2[Tumor Size])</f>
        <v>NA</v>
      </c>
      <c r="O2354" t="str">
        <f>_xlfn.XLOOKUP(A2354,[1]!brca_metabric_clinical_data__2[Sample ID],[1]!brca_metabric_clinical_data__2[Tumor Stage])</f>
        <v>NA</v>
      </c>
    </row>
    <row r="2355" spans="1:15" x14ac:dyDescent="0.45">
      <c r="A2355" t="s">
        <v>2390</v>
      </c>
      <c r="B2355">
        <v>46</v>
      </c>
      <c r="C2355" t="s">
        <v>16</v>
      </c>
      <c r="E2355" t="s">
        <v>37</v>
      </c>
      <c r="N2355" t="str">
        <f>_xlfn.XLOOKUP(A2355,[1]!brca_metabric_clinical_data__2[Patient ID], [1]!brca_metabric_clinical_data__2[Tumor Size])</f>
        <v>NA</v>
      </c>
      <c r="O2355" t="str">
        <f>_xlfn.XLOOKUP(A2355,[1]!brca_metabric_clinical_data__2[Sample ID],[1]!brca_metabric_clinical_data__2[Tumor Stage])</f>
        <v>NA</v>
      </c>
    </row>
    <row r="2356" spans="1:15" x14ac:dyDescent="0.45">
      <c r="A2356" t="s">
        <v>2391</v>
      </c>
      <c r="B2356">
        <v>64</v>
      </c>
      <c r="C2356" t="s">
        <v>16</v>
      </c>
      <c r="E2356" t="s">
        <v>37</v>
      </c>
      <c r="N2356" t="str">
        <f>_xlfn.XLOOKUP(A2356,[1]!brca_metabric_clinical_data__2[Patient ID], [1]!brca_metabric_clinical_data__2[Tumor Size])</f>
        <v>NA</v>
      </c>
      <c r="O2356" t="str">
        <f>_xlfn.XLOOKUP(A2356,[1]!brca_metabric_clinical_data__2[Sample ID],[1]!brca_metabric_clinical_data__2[Tumor Stage])</f>
        <v>NA</v>
      </c>
    </row>
    <row r="2357" spans="1:15" x14ac:dyDescent="0.45">
      <c r="A2357" t="s">
        <v>2392</v>
      </c>
      <c r="B2357">
        <v>47</v>
      </c>
      <c r="C2357" t="s">
        <v>16</v>
      </c>
      <c r="E2357" t="s">
        <v>37</v>
      </c>
      <c r="N2357" t="str">
        <f>_xlfn.XLOOKUP(A2357,[1]!brca_metabric_clinical_data__2[Patient ID], [1]!brca_metabric_clinical_data__2[Tumor Size])</f>
        <v>NA</v>
      </c>
      <c r="O2357" t="str">
        <f>_xlfn.XLOOKUP(A2357,[1]!brca_metabric_clinical_data__2[Sample ID],[1]!brca_metabric_clinical_data__2[Tumor Stage])</f>
        <v>NA</v>
      </c>
    </row>
    <row r="2358" spans="1:15" x14ac:dyDescent="0.45">
      <c r="A2358" t="s">
        <v>2393</v>
      </c>
      <c r="B2358">
        <v>61</v>
      </c>
      <c r="C2358" t="s">
        <v>16</v>
      </c>
      <c r="E2358" t="s">
        <v>37</v>
      </c>
      <c r="N2358" t="str">
        <f>_xlfn.XLOOKUP(A2358,[1]!brca_metabric_clinical_data__2[Patient ID], [1]!brca_metabric_clinical_data__2[Tumor Size])</f>
        <v>NA</v>
      </c>
      <c r="O2358" t="str">
        <f>_xlfn.XLOOKUP(A2358,[1]!brca_metabric_clinical_data__2[Sample ID],[1]!brca_metabric_clinical_data__2[Tumor Stage])</f>
        <v>NA</v>
      </c>
    </row>
    <row r="2359" spans="1:15" x14ac:dyDescent="0.45">
      <c r="A2359" t="s">
        <v>2394</v>
      </c>
      <c r="B2359">
        <v>56</v>
      </c>
      <c r="C2359" t="s">
        <v>16</v>
      </c>
      <c r="E2359" t="s">
        <v>37</v>
      </c>
      <c r="N2359" t="str">
        <f>_xlfn.XLOOKUP(A2359,[1]!brca_metabric_clinical_data__2[Patient ID], [1]!brca_metabric_clinical_data__2[Tumor Size])</f>
        <v>NA</v>
      </c>
      <c r="O2359" t="str">
        <f>_xlfn.XLOOKUP(A2359,[1]!brca_metabric_clinical_data__2[Sample ID],[1]!brca_metabric_clinical_data__2[Tumor Stage])</f>
        <v>NA</v>
      </c>
    </row>
    <row r="2360" spans="1:15" x14ac:dyDescent="0.45">
      <c r="A2360" t="s">
        <v>2395</v>
      </c>
      <c r="B2360">
        <v>37</v>
      </c>
      <c r="C2360" t="s">
        <v>16</v>
      </c>
      <c r="E2360" t="s">
        <v>37</v>
      </c>
      <c r="N2360" t="str">
        <f>_xlfn.XLOOKUP(A2360,[1]!brca_metabric_clinical_data__2[Patient ID], [1]!brca_metabric_clinical_data__2[Tumor Size])</f>
        <v>NA</v>
      </c>
      <c r="O2360" t="str">
        <f>_xlfn.XLOOKUP(A2360,[1]!brca_metabric_clinical_data__2[Sample ID],[1]!brca_metabric_clinical_data__2[Tumor Stage])</f>
        <v>NA</v>
      </c>
    </row>
    <row r="2361" spans="1:15" x14ac:dyDescent="0.45">
      <c r="A2361" t="s">
        <v>2396</v>
      </c>
      <c r="B2361">
        <v>37</v>
      </c>
      <c r="C2361" t="s">
        <v>16</v>
      </c>
      <c r="E2361" t="s">
        <v>37</v>
      </c>
      <c r="N2361" t="str">
        <f>_xlfn.XLOOKUP(A2361,[1]!brca_metabric_clinical_data__2[Patient ID], [1]!brca_metabric_clinical_data__2[Tumor Size])</f>
        <v>NA</v>
      </c>
      <c r="O2361" t="str">
        <f>_xlfn.XLOOKUP(A2361,[1]!brca_metabric_clinical_data__2[Sample ID],[1]!brca_metabric_clinical_data__2[Tumor Stage])</f>
        <v>NA</v>
      </c>
    </row>
    <row r="2362" spans="1:15" x14ac:dyDescent="0.45">
      <c r="A2362" t="s">
        <v>2397</v>
      </c>
      <c r="B2362">
        <v>37</v>
      </c>
      <c r="C2362" t="s">
        <v>16</v>
      </c>
      <c r="E2362" t="s">
        <v>18</v>
      </c>
      <c r="N2362" t="str">
        <f>_xlfn.XLOOKUP(A2362,[1]!brca_metabric_clinical_data__2[Patient ID], [1]!brca_metabric_clinical_data__2[Tumor Size])</f>
        <v>NA</v>
      </c>
      <c r="O2362" t="str">
        <f>_xlfn.XLOOKUP(A2362,[1]!brca_metabric_clinical_data__2[Sample ID],[1]!brca_metabric_clinical_data__2[Tumor Stage])</f>
        <v>NA</v>
      </c>
    </row>
    <row r="2363" spans="1:15" x14ac:dyDescent="0.45">
      <c r="A2363" t="s">
        <v>2398</v>
      </c>
      <c r="B2363">
        <v>55</v>
      </c>
      <c r="C2363" t="s">
        <v>16</v>
      </c>
      <c r="E2363" t="s">
        <v>37</v>
      </c>
      <c r="N2363" t="str">
        <f>_xlfn.XLOOKUP(A2363,[1]!brca_metabric_clinical_data__2[Patient ID], [1]!brca_metabric_clinical_data__2[Tumor Size])</f>
        <v>NA</v>
      </c>
      <c r="O2363" t="str">
        <f>_xlfn.XLOOKUP(A2363,[1]!brca_metabric_clinical_data__2[Sample ID],[1]!brca_metabric_clinical_data__2[Tumor Stage])</f>
        <v>NA</v>
      </c>
    </row>
    <row r="2364" spans="1:15" x14ac:dyDescent="0.45">
      <c r="A2364" t="s">
        <v>2399</v>
      </c>
      <c r="B2364">
        <v>37</v>
      </c>
      <c r="C2364" t="s">
        <v>16</v>
      </c>
      <c r="E2364" t="s">
        <v>18</v>
      </c>
      <c r="N2364" t="str">
        <f>_xlfn.XLOOKUP(A2364,[1]!brca_metabric_clinical_data__2[Patient ID], [1]!brca_metabric_clinical_data__2[Tumor Size])</f>
        <v>NA</v>
      </c>
      <c r="O2364" t="str">
        <f>_xlfn.XLOOKUP(A2364,[1]!brca_metabric_clinical_data__2[Sample ID],[1]!brca_metabric_clinical_data__2[Tumor Stage])</f>
        <v>NA</v>
      </c>
    </row>
    <row r="2365" spans="1:15" x14ac:dyDescent="0.45">
      <c r="A2365" t="s">
        <v>2400</v>
      </c>
      <c r="B2365">
        <v>60</v>
      </c>
      <c r="C2365" t="s">
        <v>16</v>
      </c>
      <c r="E2365" t="s">
        <v>37</v>
      </c>
      <c r="N2365" t="str">
        <f>_xlfn.XLOOKUP(A2365,[1]!brca_metabric_clinical_data__2[Patient ID], [1]!brca_metabric_clinical_data__2[Tumor Size])</f>
        <v>NA</v>
      </c>
      <c r="O2365" t="str">
        <f>_xlfn.XLOOKUP(A2365,[1]!brca_metabric_clinical_data__2[Sample ID],[1]!brca_metabric_clinical_data__2[Tumor Stage])</f>
        <v>NA</v>
      </c>
    </row>
    <row r="2366" spans="1:15" x14ac:dyDescent="0.45">
      <c r="A2366" t="s">
        <v>2401</v>
      </c>
      <c r="B2366">
        <v>49</v>
      </c>
      <c r="C2366" t="s">
        <v>16</v>
      </c>
      <c r="E2366" t="s">
        <v>18</v>
      </c>
      <c r="N2366" t="str">
        <f>_xlfn.XLOOKUP(A2366,[1]!brca_metabric_clinical_data__2[Patient ID], [1]!brca_metabric_clinical_data__2[Tumor Size])</f>
        <v>NA</v>
      </c>
      <c r="O2366" t="str">
        <f>_xlfn.XLOOKUP(A2366,[1]!brca_metabric_clinical_data__2[Sample ID],[1]!brca_metabric_clinical_data__2[Tumor Stage])</f>
        <v>NA</v>
      </c>
    </row>
    <row r="2367" spans="1:15" x14ac:dyDescent="0.45">
      <c r="A2367" t="s">
        <v>2402</v>
      </c>
      <c r="B2367">
        <v>40</v>
      </c>
      <c r="C2367" t="s">
        <v>16</v>
      </c>
      <c r="E2367" t="s">
        <v>37</v>
      </c>
      <c r="N2367" t="str">
        <f>_xlfn.XLOOKUP(A2367,[1]!brca_metabric_clinical_data__2[Patient ID], [1]!brca_metabric_clinical_data__2[Tumor Size])</f>
        <v>NA</v>
      </c>
      <c r="O2367" t="str">
        <f>_xlfn.XLOOKUP(A2367,[1]!brca_metabric_clinical_data__2[Sample ID],[1]!brca_metabric_clinical_data__2[Tumor Stage])</f>
        <v>NA</v>
      </c>
    </row>
    <row r="2368" spans="1:15" x14ac:dyDescent="0.45">
      <c r="A2368" t="s">
        <v>2403</v>
      </c>
      <c r="B2368">
        <v>42</v>
      </c>
      <c r="C2368" t="s">
        <v>16</v>
      </c>
      <c r="E2368" t="s">
        <v>18</v>
      </c>
      <c r="N2368" t="str">
        <f>_xlfn.XLOOKUP(A2368,[1]!brca_metabric_clinical_data__2[Patient ID], [1]!brca_metabric_clinical_data__2[Tumor Size])</f>
        <v>NA</v>
      </c>
      <c r="O2368" t="str">
        <f>_xlfn.XLOOKUP(A2368,[1]!brca_metabric_clinical_data__2[Sample ID],[1]!brca_metabric_clinical_data__2[Tumor Stage])</f>
        <v>NA</v>
      </c>
    </row>
    <row r="2369" spans="1:15" x14ac:dyDescent="0.45">
      <c r="A2369" t="s">
        <v>2404</v>
      </c>
      <c r="B2369">
        <v>30</v>
      </c>
      <c r="C2369" t="s">
        <v>16</v>
      </c>
      <c r="E2369" t="s">
        <v>18</v>
      </c>
      <c r="N2369" t="str">
        <f>_xlfn.XLOOKUP(A2369,[1]!brca_metabric_clinical_data__2[Patient ID], [1]!brca_metabric_clinical_data__2[Tumor Size])</f>
        <v>NA</v>
      </c>
      <c r="O2369" t="str">
        <f>_xlfn.XLOOKUP(A2369,[1]!brca_metabric_clinical_data__2[Sample ID],[1]!brca_metabric_clinical_data__2[Tumor Stage])</f>
        <v>NA</v>
      </c>
    </row>
    <row r="2370" spans="1:15" x14ac:dyDescent="0.45">
      <c r="A2370" t="s">
        <v>2405</v>
      </c>
      <c r="B2370">
        <v>42</v>
      </c>
      <c r="C2370" t="s">
        <v>16</v>
      </c>
      <c r="E2370" t="s">
        <v>18</v>
      </c>
      <c r="N2370" t="str">
        <f>_xlfn.XLOOKUP(A2370,[1]!brca_metabric_clinical_data__2[Patient ID], [1]!brca_metabric_clinical_data__2[Tumor Size])</f>
        <v>NA</v>
      </c>
      <c r="O2370" t="str">
        <f>_xlfn.XLOOKUP(A2370,[1]!brca_metabric_clinical_data__2[Sample ID],[1]!brca_metabric_clinical_data__2[Tumor Stage])</f>
        <v>NA</v>
      </c>
    </row>
    <row r="2371" spans="1:15" x14ac:dyDescent="0.45">
      <c r="A2371" t="s">
        <v>2406</v>
      </c>
      <c r="B2371">
        <v>41</v>
      </c>
      <c r="C2371" t="s">
        <v>16</v>
      </c>
      <c r="E2371" t="s">
        <v>37</v>
      </c>
      <c r="N2371" t="str">
        <f>_xlfn.XLOOKUP(A2371,[1]!brca_metabric_clinical_data__2[Patient ID], [1]!brca_metabric_clinical_data__2[Tumor Size])</f>
        <v>NA</v>
      </c>
      <c r="O2371" t="str">
        <f>_xlfn.XLOOKUP(A2371,[1]!brca_metabric_clinical_data__2[Sample ID],[1]!brca_metabric_clinical_data__2[Tumor Stage])</f>
        <v>NA</v>
      </c>
    </row>
    <row r="2372" spans="1:15" x14ac:dyDescent="0.45">
      <c r="A2372" t="s">
        <v>2407</v>
      </c>
      <c r="B2372">
        <v>58</v>
      </c>
      <c r="C2372" t="s">
        <v>16</v>
      </c>
      <c r="E2372" t="s">
        <v>18</v>
      </c>
      <c r="N2372" t="str">
        <f>_xlfn.XLOOKUP(A2372,[1]!brca_metabric_clinical_data__2[Patient ID], [1]!brca_metabric_clinical_data__2[Tumor Size])</f>
        <v>NA</v>
      </c>
      <c r="O2372" t="str">
        <f>_xlfn.XLOOKUP(A2372,[1]!brca_metabric_clinical_data__2[Sample ID],[1]!brca_metabric_clinical_data__2[Tumor Stage])</f>
        <v>NA</v>
      </c>
    </row>
    <row r="2373" spans="1:15" x14ac:dyDescent="0.45">
      <c r="A2373" t="s">
        <v>2408</v>
      </c>
      <c r="B2373">
        <v>55</v>
      </c>
      <c r="C2373" t="s">
        <v>16</v>
      </c>
      <c r="E2373" t="s">
        <v>37</v>
      </c>
      <c r="N2373" t="str">
        <f>_xlfn.XLOOKUP(A2373,[1]!brca_metabric_clinical_data__2[Patient ID], [1]!brca_metabric_clinical_data__2[Tumor Size])</f>
        <v>NA</v>
      </c>
      <c r="O2373" t="str">
        <f>_xlfn.XLOOKUP(A2373,[1]!brca_metabric_clinical_data__2[Sample ID],[1]!brca_metabric_clinical_data__2[Tumor Stage])</f>
        <v>NA</v>
      </c>
    </row>
    <row r="2374" spans="1:15" x14ac:dyDescent="0.45">
      <c r="A2374" t="s">
        <v>2409</v>
      </c>
      <c r="B2374">
        <v>40</v>
      </c>
      <c r="C2374" t="s">
        <v>16</v>
      </c>
      <c r="E2374" t="s">
        <v>18</v>
      </c>
      <c r="N2374" t="str">
        <f>_xlfn.XLOOKUP(A2374,[1]!brca_metabric_clinical_data__2[Patient ID], [1]!brca_metabric_clinical_data__2[Tumor Size])</f>
        <v>NA</v>
      </c>
      <c r="O2374" t="str">
        <f>_xlfn.XLOOKUP(A2374,[1]!brca_metabric_clinical_data__2[Sample ID],[1]!brca_metabric_clinical_data__2[Tumor Stage])</f>
        <v>NA</v>
      </c>
    </row>
    <row r="2375" spans="1:15" x14ac:dyDescent="0.45">
      <c r="A2375" t="s">
        <v>2410</v>
      </c>
      <c r="B2375">
        <v>27</v>
      </c>
      <c r="C2375" t="s">
        <v>16</v>
      </c>
      <c r="E2375" t="s">
        <v>18</v>
      </c>
      <c r="N2375" t="str">
        <f>_xlfn.XLOOKUP(A2375,[1]!brca_metabric_clinical_data__2[Patient ID], [1]!brca_metabric_clinical_data__2[Tumor Size])</f>
        <v>NA</v>
      </c>
      <c r="O2375" t="str">
        <f>_xlfn.XLOOKUP(A2375,[1]!brca_metabric_clinical_data__2[Sample ID],[1]!brca_metabric_clinical_data__2[Tumor Stage])</f>
        <v>NA</v>
      </c>
    </row>
    <row r="2376" spans="1:15" x14ac:dyDescent="0.45">
      <c r="A2376" t="s">
        <v>2411</v>
      </c>
      <c r="B2376">
        <v>32</v>
      </c>
      <c r="C2376" t="s">
        <v>16</v>
      </c>
      <c r="E2376" t="s">
        <v>18</v>
      </c>
      <c r="N2376" t="str">
        <f>_xlfn.XLOOKUP(A2376,[1]!brca_metabric_clinical_data__2[Patient ID], [1]!brca_metabric_clinical_data__2[Tumor Size])</f>
        <v>NA</v>
      </c>
      <c r="O2376" t="str">
        <f>_xlfn.XLOOKUP(A2376,[1]!brca_metabric_clinical_data__2[Sample ID],[1]!brca_metabric_clinical_data__2[Tumor Stage])</f>
        <v>NA</v>
      </c>
    </row>
    <row r="2377" spans="1:15" x14ac:dyDescent="0.45">
      <c r="A2377" t="s">
        <v>2412</v>
      </c>
      <c r="B2377">
        <v>36</v>
      </c>
      <c r="C2377" t="s">
        <v>16</v>
      </c>
      <c r="E2377" t="s">
        <v>18</v>
      </c>
      <c r="N2377" t="str">
        <f>_xlfn.XLOOKUP(A2377,[1]!brca_metabric_clinical_data__2[Patient ID], [1]!brca_metabric_clinical_data__2[Tumor Size])</f>
        <v>NA</v>
      </c>
      <c r="O2377" t="str">
        <f>_xlfn.XLOOKUP(A2377,[1]!brca_metabric_clinical_data__2[Sample ID],[1]!brca_metabric_clinical_data__2[Tumor Stage])</f>
        <v>NA</v>
      </c>
    </row>
    <row r="2378" spans="1:15" x14ac:dyDescent="0.45">
      <c r="A2378" t="s">
        <v>2413</v>
      </c>
      <c r="B2378">
        <v>59</v>
      </c>
      <c r="C2378" t="s">
        <v>16</v>
      </c>
      <c r="E2378" t="s">
        <v>37</v>
      </c>
      <c r="N2378" t="str">
        <f>_xlfn.XLOOKUP(A2378,[1]!brca_metabric_clinical_data__2[Patient ID], [1]!brca_metabric_clinical_data__2[Tumor Size])</f>
        <v>NA</v>
      </c>
      <c r="O2378" t="str">
        <f>_xlfn.XLOOKUP(A2378,[1]!brca_metabric_clinical_data__2[Sample ID],[1]!brca_metabric_clinical_data__2[Tumor Stage])</f>
        <v>NA</v>
      </c>
    </row>
    <row r="2379" spans="1:15" x14ac:dyDescent="0.45">
      <c r="A2379" t="s">
        <v>2414</v>
      </c>
      <c r="B2379">
        <v>61</v>
      </c>
      <c r="C2379" t="s">
        <v>16</v>
      </c>
      <c r="E2379" t="s">
        <v>18</v>
      </c>
      <c r="N2379" t="str">
        <f>_xlfn.XLOOKUP(A2379,[1]!brca_metabric_clinical_data__2[Patient ID], [1]!brca_metabric_clinical_data__2[Tumor Size])</f>
        <v>NA</v>
      </c>
      <c r="O2379" t="str">
        <f>_xlfn.XLOOKUP(A2379,[1]!brca_metabric_clinical_data__2[Sample ID],[1]!brca_metabric_clinical_data__2[Tumor Stage])</f>
        <v>NA</v>
      </c>
    </row>
    <row r="2380" spans="1:15" x14ac:dyDescent="0.45">
      <c r="A2380" t="s">
        <v>2415</v>
      </c>
      <c r="B2380">
        <v>69</v>
      </c>
      <c r="C2380" t="s">
        <v>16</v>
      </c>
      <c r="E2380" t="s">
        <v>18</v>
      </c>
      <c r="N2380" t="str">
        <f>_xlfn.XLOOKUP(A2380,[1]!brca_metabric_clinical_data__2[Patient ID], [1]!brca_metabric_clinical_data__2[Tumor Size])</f>
        <v>NA</v>
      </c>
      <c r="O2380" t="str">
        <f>_xlfn.XLOOKUP(A2380,[1]!brca_metabric_clinical_data__2[Sample ID],[1]!brca_metabric_clinical_data__2[Tumor Stage])</f>
        <v>NA</v>
      </c>
    </row>
    <row r="2381" spans="1:15" x14ac:dyDescent="0.45">
      <c r="A2381" t="s">
        <v>2416</v>
      </c>
      <c r="B2381">
        <v>70.05</v>
      </c>
      <c r="C2381" t="s">
        <v>16</v>
      </c>
      <c r="E2381" t="s">
        <v>18</v>
      </c>
      <c r="N2381" t="str">
        <f>_xlfn.XLOOKUP(A2381,[1]!brca_metabric_clinical_data__2[Patient ID], [1]!brca_metabric_clinical_data__2[Tumor Size])</f>
        <v>21</v>
      </c>
      <c r="O2381" t="str">
        <f>_xlfn.XLOOKUP(A2381,[1]!brca_metabric_clinical_data__2[Sample ID],[1]!brca_metabric_clinical_data__2[Tumor Stage])</f>
        <v>2</v>
      </c>
    </row>
    <row r="2382" spans="1:15" x14ac:dyDescent="0.45">
      <c r="A2382" t="s">
        <v>2417</v>
      </c>
      <c r="B2382">
        <v>68.48</v>
      </c>
      <c r="C2382" t="s">
        <v>16</v>
      </c>
      <c r="E2382" t="s">
        <v>18</v>
      </c>
      <c r="N2382" t="str">
        <f>_xlfn.XLOOKUP(A2382,[1]!brca_metabric_clinical_data__2[Patient ID], [1]!brca_metabric_clinical_data__2[Tumor Size])</f>
        <v>14</v>
      </c>
      <c r="O2382" t="str">
        <f>_xlfn.XLOOKUP(A2382,[1]!brca_metabric_clinical_data__2[Sample ID],[1]!brca_metabric_clinical_data__2[Tumor Stage])</f>
        <v>1</v>
      </c>
    </row>
    <row r="2383" spans="1:15" x14ac:dyDescent="0.45">
      <c r="A2383" t="s">
        <v>2418</v>
      </c>
      <c r="B2383">
        <v>73.78</v>
      </c>
      <c r="C2383" t="s">
        <v>16</v>
      </c>
      <c r="E2383" t="s">
        <v>18</v>
      </c>
      <c r="N2383" t="str">
        <f>_xlfn.XLOOKUP(A2383,[1]!brca_metabric_clinical_data__2[Patient ID], [1]!brca_metabric_clinical_data__2[Tumor Size])</f>
        <v>21</v>
      </c>
      <c r="O2383" t="str">
        <f>_xlfn.XLOOKUP(A2383,[1]!brca_metabric_clinical_data__2[Sample ID],[1]!brca_metabric_clinical_data__2[Tumor Stage])</f>
        <v>2</v>
      </c>
    </row>
    <row r="2384" spans="1:15" x14ac:dyDescent="0.45">
      <c r="A2384" t="s">
        <v>2419</v>
      </c>
      <c r="B2384">
        <v>60.98</v>
      </c>
      <c r="C2384" t="s">
        <v>16</v>
      </c>
      <c r="E2384" t="s">
        <v>37</v>
      </c>
      <c r="N2384" t="str">
        <f>_xlfn.XLOOKUP(A2384,[1]!brca_metabric_clinical_data__2[Patient ID], [1]!brca_metabric_clinical_data__2[Tumor Size])</f>
        <v>10</v>
      </c>
      <c r="O2384" t="str">
        <f>_xlfn.XLOOKUP(A2384,[1]!brca_metabric_clinical_data__2[Sample ID],[1]!brca_metabric_clinical_data__2[Tumor Stage])</f>
        <v>1</v>
      </c>
    </row>
    <row r="2385" spans="1:15" x14ac:dyDescent="0.45">
      <c r="A2385" t="s">
        <v>2420</v>
      </c>
      <c r="B2385">
        <v>86</v>
      </c>
      <c r="C2385" t="s">
        <v>16</v>
      </c>
      <c r="E2385" t="s">
        <v>18</v>
      </c>
      <c r="N2385" t="str">
        <f>_xlfn.XLOOKUP(A2385,[1]!brca_metabric_clinical_data__2[Patient ID], [1]!brca_metabric_clinical_data__2[Tumor Size])</f>
        <v>30</v>
      </c>
      <c r="O2385" t="str">
        <f>_xlfn.XLOOKUP(A2385,[1]!brca_metabric_clinical_data__2[Sample ID],[1]!brca_metabric_clinical_data__2[Tumor Stage])</f>
        <v>2</v>
      </c>
    </row>
    <row r="2386" spans="1:15" x14ac:dyDescent="0.45">
      <c r="A2386" t="s">
        <v>2421</v>
      </c>
      <c r="B2386">
        <v>54.82</v>
      </c>
      <c r="C2386" t="s">
        <v>16</v>
      </c>
      <c r="E2386" t="s">
        <v>18</v>
      </c>
      <c r="N2386" t="str">
        <f>_xlfn.XLOOKUP(A2386,[1]!brca_metabric_clinical_data__2[Patient ID], [1]!brca_metabric_clinical_data__2[Tumor Size])</f>
        <v>30</v>
      </c>
      <c r="O2386" t="str">
        <f>_xlfn.XLOOKUP(A2386,[1]!brca_metabric_clinical_data__2[Sample ID],[1]!brca_metabric_clinical_data__2[Tumor Stage])</f>
        <v>2</v>
      </c>
    </row>
    <row r="2387" spans="1:15" x14ac:dyDescent="0.45">
      <c r="A2387" t="s">
        <v>2422</v>
      </c>
      <c r="B2387">
        <v>44.11</v>
      </c>
      <c r="C2387" t="s">
        <v>16</v>
      </c>
      <c r="E2387" t="s">
        <v>37</v>
      </c>
      <c r="N2387" t="str">
        <f>_xlfn.XLOOKUP(A2387,[1]!brca_metabric_clinical_data__2[Patient ID], [1]!brca_metabric_clinical_data__2[Tumor Size])</f>
        <v>40</v>
      </c>
      <c r="O2387" t="str">
        <f>_xlfn.XLOOKUP(A2387,[1]!brca_metabric_clinical_data__2[Sample ID],[1]!brca_metabric_clinical_data__2[Tumor Stage])</f>
        <v>2</v>
      </c>
    </row>
    <row r="2388" spans="1:15" x14ac:dyDescent="0.45">
      <c r="A2388" t="s">
        <v>2423</v>
      </c>
      <c r="B2388">
        <v>51.7</v>
      </c>
      <c r="C2388" t="s">
        <v>16</v>
      </c>
      <c r="E2388" t="s">
        <v>37</v>
      </c>
      <c r="N2388" t="str">
        <f>_xlfn.XLOOKUP(A2388,[1]!brca_metabric_clinical_data__2[Patient ID], [1]!brca_metabric_clinical_data__2[Tumor Size])</f>
        <v>15</v>
      </c>
      <c r="O2388" t="str">
        <f>_xlfn.XLOOKUP(A2388,[1]!brca_metabric_clinical_data__2[Sample ID],[1]!brca_metabric_clinical_data__2[Tumor Stage])</f>
        <v>1</v>
      </c>
    </row>
    <row r="2389" spans="1:15" x14ac:dyDescent="0.45">
      <c r="A2389" t="s">
        <v>2424</v>
      </c>
      <c r="B2389">
        <v>76</v>
      </c>
      <c r="C2389" t="s">
        <v>16</v>
      </c>
      <c r="E2389" t="s">
        <v>18</v>
      </c>
      <c r="N2389" t="str">
        <f>_xlfn.XLOOKUP(A2389,[1]!brca_metabric_clinical_data__2[Patient ID], [1]!brca_metabric_clinical_data__2[Tumor Size])</f>
        <v>10</v>
      </c>
      <c r="O2389" t="str">
        <f>_xlfn.XLOOKUP(A2389,[1]!brca_metabric_clinical_data__2[Sample ID],[1]!brca_metabric_clinical_data__2[Tumor Stage])</f>
        <v>1</v>
      </c>
    </row>
    <row r="2390" spans="1:15" x14ac:dyDescent="0.45">
      <c r="A2390" t="s">
        <v>2425</v>
      </c>
      <c r="B2390">
        <v>40.94</v>
      </c>
      <c r="C2390" t="s">
        <v>16</v>
      </c>
      <c r="E2390" t="s">
        <v>18</v>
      </c>
      <c r="N2390" t="str">
        <f>_xlfn.XLOOKUP(A2390,[1]!brca_metabric_clinical_data__2[Patient ID], [1]!brca_metabric_clinical_data__2[Tumor Size])</f>
        <v>20</v>
      </c>
      <c r="O2390" t="str">
        <f>_xlfn.XLOOKUP(A2390,[1]!brca_metabric_clinical_data__2[Sample ID],[1]!brca_metabric_clinical_data__2[Tumor Stage])</f>
        <v>1</v>
      </c>
    </row>
    <row r="2391" spans="1:15" x14ac:dyDescent="0.45">
      <c r="A2391" t="s">
        <v>2426</v>
      </c>
      <c r="B2391">
        <v>43.89</v>
      </c>
      <c r="C2391" t="s">
        <v>16</v>
      </c>
      <c r="E2391" t="s">
        <v>37</v>
      </c>
      <c r="N2391" t="str">
        <f>_xlfn.XLOOKUP(A2391,[1]!brca_metabric_clinical_data__2[Patient ID], [1]!brca_metabric_clinical_data__2[Tumor Size])</f>
        <v>30</v>
      </c>
      <c r="O2391" t="str">
        <f>_xlfn.XLOOKUP(A2391,[1]!brca_metabric_clinical_data__2[Sample ID],[1]!brca_metabric_clinical_data__2[Tumor Stage])</f>
        <v>2</v>
      </c>
    </row>
    <row r="2392" spans="1:15" x14ac:dyDescent="0.45">
      <c r="A2392" t="s">
        <v>2427</v>
      </c>
      <c r="B2392">
        <v>61.55</v>
      </c>
      <c r="C2392" t="s">
        <v>16</v>
      </c>
      <c r="E2392" t="s">
        <v>37</v>
      </c>
      <c r="N2392" t="str">
        <f>_xlfn.XLOOKUP(A2392,[1]!brca_metabric_clinical_data__2[Patient ID], [1]!brca_metabric_clinical_data__2[Tumor Size])</f>
        <v>25</v>
      </c>
      <c r="O2392" t="str">
        <f>_xlfn.XLOOKUP(A2392,[1]!brca_metabric_clinical_data__2[Sample ID],[1]!brca_metabric_clinical_data__2[Tumor Stage])</f>
        <v>2</v>
      </c>
    </row>
    <row r="2393" spans="1:15" x14ac:dyDescent="0.45">
      <c r="A2393" t="s">
        <v>2428</v>
      </c>
      <c r="B2393">
        <v>81.59</v>
      </c>
      <c r="C2393" t="s">
        <v>16</v>
      </c>
      <c r="E2393" t="s">
        <v>18</v>
      </c>
      <c r="N2393" t="str">
        <f>_xlfn.XLOOKUP(A2393,[1]!brca_metabric_clinical_data__2[Patient ID], [1]!brca_metabric_clinical_data__2[Tumor Size])</f>
        <v>60</v>
      </c>
      <c r="O2393" t="str">
        <f>_xlfn.XLOOKUP(A2393,[1]!brca_metabric_clinical_data__2[Sample ID],[1]!brca_metabric_clinical_data__2[Tumor Stage])</f>
        <v>NA</v>
      </c>
    </row>
    <row r="2394" spans="1:15" x14ac:dyDescent="0.45">
      <c r="A2394" t="s">
        <v>2429</v>
      </c>
      <c r="B2394">
        <v>76.180000000000007</v>
      </c>
      <c r="C2394" t="s">
        <v>16</v>
      </c>
      <c r="E2394" t="s">
        <v>18</v>
      </c>
      <c r="N2394" t="str">
        <f>_xlfn.XLOOKUP(A2394,[1]!brca_metabric_clinical_data__2[Patient ID], [1]!brca_metabric_clinical_data__2[Tumor Size])</f>
        <v>25</v>
      </c>
      <c r="O2394" t="str">
        <f>_xlfn.XLOOKUP(A2394,[1]!brca_metabric_clinical_data__2[Sample ID],[1]!brca_metabric_clinical_data__2[Tumor Stage])</f>
        <v>2</v>
      </c>
    </row>
    <row r="2395" spans="1:15" x14ac:dyDescent="0.45">
      <c r="A2395" t="s">
        <v>2430</v>
      </c>
      <c r="B2395">
        <v>35.450000000000003</v>
      </c>
      <c r="C2395" t="s">
        <v>16</v>
      </c>
      <c r="E2395" t="s">
        <v>37</v>
      </c>
      <c r="N2395" t="str">
        <f>_xlfn.XLOOKUP(A2395,[1]!brca_metabric_clinical_data__2[Patient ID], [1]!brca_metabric_clinical_data__2[Tumor Size])</f>
        <v>50</v>
      </c>
      <c r="O2395" t="str">
        <f>_xlfn.XLOOKUP(A2395,[1]!brca_metabric_clinical_data__2[Sample ID],[1]!brca_metabric_clinical_data__2[Tumor Stage])</f>
        <v>2</v>
      </c>
    </row>
    <row r="2396" spans="1:15" x14ac:dyDescent="0.45">
      <c r="A2396" t="s">
        <v>2431</v>
      </c>
      <c r="B2396">
        <v>64.510000000000005</v>
      </c>
      <c r="C2396" t="s">
        <v>16</v>
      </c>
      <c r="E2396" t="s">
        <v>37</v>
      </c>
      <c r="N2396" t="str">
        <f>_xlfn.XLOOKUP(A2396,[1]!brca_metabric_clinical_data__2[Patient ID], [1]!brca_metabric_clinical_data__2[Tumor Size])</f>
        <v>21</v>
      </c>
      <c r="O2396" t="str">
        <f>_xlfn.XLOOKUP(A2396,[1]!brca_metabric_clinical_data__2[Sample ID],[1]!brca_metabric_clinical_data__2[Tumor Stage])</f>
        <v>2</v>
      </c>
    </row>
    <row r="2397" spans="1:15" x14ac:dyDescent="0.45">
      <c r="A2397" t="s">
        <v>2432</v>
      </c>
      <c r="B2397">
        <v>71.88</v>
      </c>
      <c r="C2397" t="s">
        <v>16</v>
      </c>
      <c r="E2397" t="s">
        <v>18</v>
      </c>
      <c r="N2397" t="str">
        <f>_xlfn.XLOOKUP(A2397,[1]!brca_metabric_clinical_data__2[Patient ID], [1]!brca_metabric_clinical_data__2[Tumor Size])</f>
        <v>30</v>
      </c>
      <c r="O2397" t="str">
        <f>_xlfn.XLOOKUP(A2397,[1]!brca_metabric_clinical_data__2[Sample ID],[1]!brca_metabric_clinical_data__2[Tumor Stage])</f>
        <v>NA</v>
      </c>
    </row>
    <row r="2398" spans="1:15" x14ac:dyDescent="0.45">
      <c r="A2398" t="s">
        <v>2433</v>
      </c>
      <c r="B2398">
        <v>37.090000000000003</v>
      </c>
      <c r="C2398" t="s">
        <v>16</v>
      </c>
      <c r="E2398" t="s">
        <v>37</v>
      </c>
      <c r="N2398" t="str">
        <f>_xlfn.XLOOKUP(A2398,[1]!brca_metabric_clinical_data__2[Patient ID], [1]!brca_metabric_clinical_data__2[Tumor Size])</f>
        <v>25</v>
      </c>
      <c r="O2398" t="str">
        <f>_xlfn.XLOOKUP(A2398,[1]!brca_metabric_clinical_data__2[Sample ID],[1]!brca_metabric_clinical_data__2[Tumor Stage])</f>
        <v>2</v>
      </c>
    </row>
    <row r="2399" spans="1:15" x14ac:dyDescent="0.45">
      <c r="A2399" t="s">
        <v>2434</v>
      </c>
      <c r="B2399">
        <v>57.41</v>
      </c>
      <c r="C2399" t="s">
        <v>16</v>
      </c>
      <c r="E2399" t="s">
        <v>18</v>
      </c>
      <c r="N2399" t="str">
        <f>_xlfn.XLOOKUP(A2399,[1]!brca_metabric_clinical_data__2[Patient ID], [1]!brca_metabric_clinical_data__2[Tumor Size])</f>
        <v>18</v>
      </c>
      <c r="O2399" t="str">
        <f>_xlfn.XLOOKUP(A2399,[1]!brca_metabric_clinical_data__2[Sample ID],[1]!brca_metabric_clinical_data__2[Tumor Stage])</f>
        <v>1</v>
      </c>
    </row>
    <row r="2400" spans="1:15" x14ac:dyDescent="0.45">
      <c r="A2400" t="s">
        <v>2435</v>
      </c>
      <c r="B2400">
        <v>53.81</v>
      </c>
      <c r="C2400" t="s">
        <v>16</v>
      </c>
      <c r="E2400" t="s">
        <v>18</v>
      </c>
      <c r="N2400" t="str">
        <f>_xlfn.XLOOKUP(A2400,[1]!brca_metabric_clinical_data__2[Patient ID], [1]!brca_metabric_clinical_data__2[Tumor Size])</f>
        <v>25</v>
      </c>
      <c r="O2400" t="str">
        <f>_xlfn.XLOOKUP(A2400,[1]!brca_metabric_clinical_data__2[Sample ID],[1]!brca_metabric_clinical_data__2[Tumor Stage])</f>
        <v>2</v>
      </c>
    </row>
    <row r="2401" spans="1:15" x14ac:dyDescent="0.45">
      <c r="A2401" t="s">
        <v>2436</v>
      </c>
      <c r="B2401">
        <v>65.040000000000006</v>
      </c>
      <c r="C2401" t="s">
        <v>16</v>
      </c>
      <c r="E2401" t="s">
        <v>18</v>
      </c>
      <c r="N2401" t="str">
        <f>_xlfn.XLOOKUP(A2401,[1]!brca_metabric_clinical_data__2[Patient ID], [1]!brca_metabric_clinical_data__2[Tumor Size])</f>
        <v>30</v>
      </c>
      <c r="O2401" t="str">
        <f>_xlfn.XLOOKUP(A2401,[1]!brca_metabric_clinical_data__2[Sample ID],[1]!brca_metabric_clinical_data__2[Tumor Stage])</f>
        <v>2</v>
      </c>
    </row>
    <row r="2402" spans="1:15" x14ac:dyDescent="0.45">
      <c r="A2402" t="s">
        <v>2437</v>
      </c>
      <c r="B2402">
        <v>78</v>
      </c>
      <c r="C2402" t="s">
        <v>16</v>
      </c>
      <c r="E2402" t="s">
        <v>18</v>
      </c>
      <c r="N2402" t="str">
        <f>_xlfn.XLOOKUP(A2402,[1]!brca_metabric_clinical_data__2[Patient ID], [1]!brca_metabric_clinical_data__2[Tumor Size])</f>
        <v>40</v>
      </c>
      <c r="O2402" t="str">
        <f>_xlfn.XLOOKUP(A2402,[1]!brca_metabric_clinical_data__2[Sample ID],[1]!brca_metabric_clinical_data__2[Tumor Stage])</f>
        <v>2</v>
      </c>
    </row>
    <row r="2403" spans="1:15" x14ac:dyDescent="0.45">
      <c r="A2403" t="s">
        <v>2438</v>
      </c>
      <c r="B2403">
        <v>46.14</v>
      </c>
      <c r="C2403" t="s">
        <v>16</v>
      </c>
      <c r="E2403" t="s">
        <v>37</v>
      </c>
      <c r="N2403" t="str">
        <f>_xlfn.XLOOKUP(A2403,[1]!brca_metabric_clinical_data__2[Patient ID], [1]!brca_metabric_clinical_data__2[Tumor Size])</f>
        <v>13</v>
      </c>
      <c r="O2403" t="str">
        <f>_xlfn.XLOOKUP(A2403,[1]!brca_metabric_clinical_data__2[Sample ID],[1]!brca_metabric_clinical_data__2[Tumor Stage])</f>
        <v>2</v>
      </c>
    </row>
    <row r="2404" spans="1:15" x14ac:dyDescent="0.45">
      <c r="A2404" t="s">
        <v>2439</v>
      </c>
      <c r="B2404">
        <v>71.739999999999995</v>
      </c>
      <c r="C2404" t="s">
        <v>16</v>
      </c>
      <c r="E2404" t="s">
        <v>37</v>
      </c>
      <c r="N2404" t="str">
        <f>_xlfn.XLOOKUP(A2404,[1]!brca_metabric_clinical_data__2[Patient ID], [1]!brca_metabric_clinical_data__2[Tumor Size])</f>
        <v>30</v>
      </c>
      <c r="O2404" t="str">
        <f>_xlfn.XLOOKUP(A2404,[1]!brca_metabric_clinical_data__2[Sample ID],[1]!brca_metabric_clinical_data__2[Tumor Stage])</f>
        <v>2</v>
      </c>
    </row>
    <row r="2405" spans="1:15" x14ac:dyDescent="0.45">
      <c r="A2405" t="s">
        <v>2440</v>
      </c>
      <c r="B2405">
        <v>78.27</v>
      </c>
      <c r="C2405" t="s">
        <v>16</v>
      </c>
      <c r="E2405" t="s">
        <v>18</v>
      </c>
      <c r="N2405" t="str">
        <f>_xlfn.XLOOKUP(A2405,[1]!brca_metabric_clinical_data__2[Patient ID], [1]!brca_metabric_clinical_data__2[Tumor Size])</f>
        <v>25</v>
      </c>
      <c r="O2405" t="str">
        <f>_xlfn.XLOOKUP(A2405,[1]!brca_metabric_clinical_data__2[Sample ID],[1]!brca_metabric_clinical_data__2[Tumor Stage])</f>
        <v>NA</v>
      </c>
    </row>
    <row r="2406" spans="1:15" x14ac:dyDescent="0.45">
      <c r="A2406" t="s">
        <v>2441</v>
      </c>
      <c r="B2406">
        <v>70.680000000000007</v>
      </c>
      <c r="C2406" t="s">
        <v>16</v>
      </c>
      <c r="E2406" t="s">
        <v>18</v>
      </c>
      <c r="N2406" t="str">
        <f>_xlfn.XLOOKUP(A2406,[1]!brca_metabric_clinical_data__2[Patient ID], [1]!brca_metabric_clinical_data__2[Tumor Size])</f>
        <v>45</v>
      </c>
      <c r="O2406" t="str">
        <f>_xlfn.XLOOKUP(A2406,[1]!brca_metabric_clinical_data__2[Sample ID],[1]!brca_metabric_clinical_data__2[Tumor Stage])</f>
        <v>2</v>
      </c>
    </row>
    <row r="2407" spans="1:15" x14ac:dyDescent="0.45">
      <c r="A2407" t="s">
        <v>2442</v>
      </c>
      <c r="B2407">
        <v>71.2</v>
      </c>
      <c r="C2407" t="s">
        <v>16</v>
      </c>
      <c r="E2407" t="s">
        <v>18</v>
      </c>
      <c r="N2407" t="str">
        <f>_xlfn.XLOOKUP(A2407,[1]!brca_metabric_clinical_data__2[Patient ID], [1]!brca_metabric_clinical_data__2[Tumor Size])</f>
        <v>20</v>
      </c>
      <c r="O2407" t="str">
        <f>_xlfn.XLOOKUP(A2407,[1]!brca_metabric_clinical_data__2[Sample ID],[1]!brca_metabric_clinical_data__2[Tumor Stage])</f>
        <v>1</v>
      </c>
    </row>
    <row r="2408" spans="1:15" x14ac:dyDescent="0.45">
      <c r="A2408" t="s">
        <v>2443</v>
      </c>
      <c r="B2408">
        <v>29.96</v>
      </c>
      <c r="C2408" t="s">
        <v>16</v>
      </c>
      <c r="E2408" t="s">
        <v>37</v>
      </c>
      <c r="N2408" t="str">
        <f>_xlfn.XLOOKUP(A2408,[1]!brca_metabric_clinical_data__2[Patient ID], [1]!brca_metabric_clinical_data__2[Tumor Size])</f>
        <v>50</v>
      </c>
      <c r="O2408" t="str">
        <f>_xlfn.XLOOKUP(A2408,[1]!brca_metabric_clinical_data__2[Sample ID],[1]!brca_metabric_clinical_data__2[Tumor Stage])</f>
        <v>2</v>
      </c>
    </row>
    <row r="2409" spans="1:15" x14ac:dyDescent="0.45">
      <c r="A2409" t="s">
        <v>2444</v>
      </c>
      <c r="B2409">
        <v>73.84</v>
      </c>
      <c r="C2409" t="s">
        <v>16</v>
      </c>
      <c r="E2409" t="s">
        <v>18</v>
      </c>
      <c r="N2409" t="str">
        <f>_xlfn.XLOOKUP(A2409,[1]!brca_metabric_clinical_data__2[Patient ID], [1]!brca_metabric_clinical_data__2[Tumor Size])</f>
        <v>70</v>
      </c>
      <c r="O2409" t="str">
        <f>_xlfn.XLOOKUP(A2409,[1]!brca_metabric_clinical_data__2[Sample ID],[1]!brca_metabric_clinical_data__2[Tumor Stage])</f>
        <v>2</v>
      </c>
    </row>
    <row r="2410" spans="1:15" x14ac:dyDescent="0.45">
      <c r="A2410" t="s">
        <v>2445</v>
      </c>
      <c r="B2410">
        <v>63.02</v>
      </c>
      <c r="C2410" t="s">
        <v>16</v>
      </c>
      <c r="E2410" t="s">
        <v>18</v>
      </c>
      <c r="N2410" t="str">
        <f>_xlfn.XLOOKUP(A2410,[1]!brca_metabric_clinical_data__2[Patient ID], [1]!brca_metabric_clinical_data__2[Tumor Size])</f>
        <v>22</v>
      </c>
      <c r="O2410" t="str">
        <f>_xlfn.XLOOKUP(A2410,[1]!brca_metabric_clinical_data__2[Sample ID],[1]!brca_metabric_clinical_data__2[Tumor Stage])</f>
        <v>1</v>
      </c>
    </row>
    <row r="2411" spans="1:15" x14ac:dyDescent="0.45">
      <c r="A2411" t="s">
        <v>2446</v>
      </c>
      <c r="B2411">
        <v>60.55</v>
      </c>
      <c r="C2411" t="s">
        <v>16</v>
      </c>
      <c r="E2411" t="s">
        <v>18</v>
      </c>
      <c r="N2411" t="str">
        <f>_xlfn.XLOOKUP(A2411,[1]!brca_metabric_clinical_data__2[Patient ID], [1]!brca_metabric_clinical_data__2[Tumor Size])</f>
        <v>19.5</v>
      </c>
      <c r="O2411" t="str">
        <f>_xlfn.XLOOKUP(A2411,[1]!brca_metabric_clinical_data__2[Sample ID],[1]!brca_metabric_clinical_data__2[Tumor Stage])</f>
        <v>NA</v>
      </c>
    </row>
    <row r="2412" spans="1:15" x14ac:dyDescent="0.45">
      <c r="A2412" t="s">
        <v>2447</v>
      </c>
      <c r="B2412">
        <v>54.27</v>
      </c>
      <c r="C2412" t="s">
        <v>16</v>
      </c>
      <c r="E2412" t="s">
        <v>37</v>
      </c>
      <c r="N2412" t="str">
        <f>_xlfn.XLOOKUP(A2412,[1]!brca_metabric_clinical_data__2[Patient ID], [1]!brca_metabric_clinical_data__2[Tumor Size])</f>
        <v>21</v>
      </c>
      <c r="O2412" t="str">
        <f>_xlfn.XLOOKUP(A2412,[1]!brca_metabric_clinical_data__2[Sample ID],[1]!brca_metabric_clinical_data__2[Tumor Stage])</f>
        <v>NA</v>
      </c>
    </row>
    <row r="2413" spans="1:15" x14ac:dyDescent="0.45">
      <c r="A2413" t="s">
        <v>2448</v>
      </c>
      <c r="B2413">
        <v>78.290000000000006</v>
      </c>
      <c r="C2413" t="s">
        <v>16</v>
      </c>
      <c r="E2413" t="s">
        <v>18</v>
      </c>
      <c r="N2413" t="str">
        <f>_xlfn.XLOOKUP(A2413,[1]!brca_metabric_clinical_data__2[Patient ID], [1]!brca_metabric_clinical_data__2[Tumor Size])</f>
        <v>30</v>
      </c>
      <c r="O2413" t="str">
        <f>_xlfn.XLOOKUP(A2413,[1]!brca_metabric_clinical_data__2[Sample ID],[1]!brca_metabric_clinical_data__2[Tumor Stage])</f>
        <v>NA</v>
      </c>
    </row>
    <row r="2414" spans="1:15" x14ac:dyDescent="0.45">
      <c r="A2414" t="s">
        <v>2449</v>
      </c>
      <c r="B2414">
        <v>75.92</v>
      </c>
      <c r="C2414" t="s">
        <v>16</v>
      </c>
      <c r="E2414" t="s">
        <v>18</v>
      </c>
      <c r="N2414" t="str">
        <f>_xlfn.XLOOKUP(A2414,[1]!brca_metabric_clinical_data__2[Patient ID], [1]!brca_metabric_clinical_data__2[Tumor Size])</f>
        <v>30</v>
      </c>
      <c r="O2414" t="str">
        <f>_xlfn.XLOOKUP(A2414,[1]!brca_metabric_clinical_data__2[Sample ID],[1]!brca_metabric_clinical_data__2[Tumor Stage])</f>
        <v>NA</v>
      </c>
    </row>
    <row r="2415" spans="1:15" x14ac:dyDescent="0.45">
      <c r="A2415" t="s">
        <v>2450</v>
      </c>
      <c r="B2415">
        <v>82.28</v>
      </c>
      <c r="C2415" t="s">
        <v>16</v>
      </c>
      <c r="E2415" t="s">
        <v>18</v>
      </c>
      <c r="N2415" t="str">
        <f>_xlfn.XLOOKUP(A2415,[1]!brca_metabric_clinical_data__2[Patient ID], [1]!brca_metabric_clinical_data__2[Tumor Size])</f>
        <v>31</v>
      </c>
      <c r="O2415" t="str">
        <f>_xlfn.XLOOKUP(A2415,[1]!brca_metabric_clinical_data__2[Sample ID],[1]!brca_metabric_clinical_data__2[Tumor Stage])</f>
        <v>NA</v>
      </c>
    </row>
    <row r="2416" spans="1:15" x14ac:dyDescent="0.45">
      <c r="A2416" t="s">
        <v>2451</v>
      </c>
      <c r="B2416">
        <v>37.22</v>
      </c>
      <c r="C2416" t="s">
        <v>16</v>
      </c>
      <c r="E2416" t="s">
        <v>18</v>
      </c>
      <c r="N2416" t="str">
        <f>_xlfn.XLOOKUP(A2416,[1]!brca_metabric_clinical_data__2[Patient ID], [1]!brca_metabric_clinical_data__2[Tumor Size])</f>
        <v>20</v>
      </c>
      <c r="O2416" t="str">
        <f>_xlfn.XLOOKUP(A2416,[1]!brca_metabric_clinical_data__2[Sample ID],[1]!brca_metabric_clinical_data__2[Tumor Stage])</f>
        <v>1</v>
      </c>
    </row>
    <row r="2417" spans="1:15" x14ac:dyDescent="0.45">
      <c r="A2417" t="s">
        <v>2452</v>
      </c>
      <c r="B2417">
        <v>42.85</v>
      </c>
      <c r="C2417" t="s">
        <v>16</v>
      </c>
      <c r="E2417" t="s">
        <v>18</v>
      </c>
      <c r="N2417" t="str">
        <f>_xlfn.XLOOKUP(A2417,[1]!brca_metabric_clinical_data__2[Patient ID], [1]!brca_metabric_clinical_data__2[Tumor Size])</f>
        <v>45</v>
      </c>
      <c r="O2417" t="str">
        <f>_xlfn.XLOOKUP(A2417,[1]!brca_metabric_clinical_data__2[Sample ID],[1]!brca_metabric_clinical_data__2[Tumor Stage])</f>
        <v>2</v>
      </c>
    </row>
    <row r="2418" spans="1:15" x14ac:dyDescent="0.45">
      <c r="A2418" t="s">
        <v>2453</v>
      </c>
      <c r="B2418">
        <v>63.72</v>
      </c>
      <c r="C2418" t="s">
        <v>16</v>
      </c>
      <c r="E2418" t="s">
        <v>18</v>
      </c>
      <c r="N2418" t="str">
        <f>_xlfn.XLOOKUP(A2418,[1]!brca_metabric_clinical_data__2[Patient ID], [1]!brca_metabric_clinical_data__2[Tumor Size])</f>
        <v>40</v>
      </c>
      <c r="O2418" t="str">
        <f>_xlfn.XLOOKUP(A2418,[1]!brca_metabric_clinical_data__2[Sample ID],[1]!brca_metabric_clinical_data__2[Tumor Stage])</f>
        <v>2</v>
      </c>
    </row>
    <row r="2419" spans="1:15" x14ac:dyDescent="0.45">
      <c r="A2419" t="s">
        <v>2454</v>
      </c>
      <c r="B2419">
        <v>67.7</v>
      </c>
      <c r="C2419" t="s">
        <v>16</v>
      </c>
      <c r="E2419" t="s">
        <v>18</v>
      </c>
      <c r="N2419" t="str">
        <f>_xlfn.XLOOKUP(A2419,[1]!brca_metabric_clinical_data__2[Patient ID], [1]!brca_metabric_clinical_data__2[Tumor Size])</f>
        <v>40</v>
      </c>
      <c r="O2419" t="str">
        <f>_xlfn.XLOOKUP(A2419,[1]!brca_metabric_clinical_data__2[Sample ID],[1]!brca_metabric_clinical_data__2[Tumor Stage])</f>
        <v>NA</v>
      </c>
    </row>
    <row r="2420" spans="1:15" x14ac:dyDescent="0.45">
      <c r="A2420" t="s">
        <v>2455</v>
      </c>
      <c r="B2420">
        <v>54.02</v>
      </c>
      <c r="C2420" t="s">
        <v>16</v>
      </c>
      <c r="E2420" t="s">
        <v>18</v>
      </c>
      <c r="N2420" t="str">
        <f>_xlfn.XLOOKUP(A2420,[1]!brca_metabric_clinical_data__2[Patient ID], [1]!brca_metabric_clinical_data__2[Tumor Size])</f>
        <v>12</v>
      </c>
      <c r="O2420" t="str">
        <f>_xlfn.XLOOKUP(A2420,[1]!brca_metabric_clinical_data__2[Sample ID],[1]!brca_metabric_clinical_data__2[Tumor Stage])</f>
        <v>NA</v>
      </c>
    </row>
    <row r="2421" spans="1:15" x14ac:dyDescent="0.45">
      <c r="A2421" t="s">
        <v>2456</v>
      </c>
      <c r="B2421">
        <v>76.7</v>
      </c>
      <c r="C2421" t="s">
        <v>16</v>
      </c>
      <c r="E2421" t="s">
        <v>18</v>
      </c>
      <c r="N2421" t="str">
        <f>_xlfn.XLOOKUP(A2421,[1]!brca_metabric_clinical_data__2[Patient ID], [1]!brca_metabric_clinical_data__2[Tumor Size])</f>
        <v>20</v>
      </c>
      <c r="O2421" t="str">
        <f>_xlfn.XLOOKUP(A2421,[1]!brca_metabric_clinical_data__2[Sample ID],[1]!brca_metabric_clinical_data__2[Tumor Stage])</f>
        <v>NA</v>
      </c>
    </row>
    <row r="2422" spans="1:15" x14ac:dyDescent="0.45">
      <c r="A2422" t="s">
        <v>2457</v>
      </c>
      <c r="B2422">
        <v>75.3</v>
      </c>
      <c r="C2422" t="s">
        <v>16</v>
      </c>
      <c r="E2422" t="s">
        <v>18</v>
      </c>
      <c r="N2422" t="str">
        <f>_xlfn.XLOOKUP(A2422,[1]!brca_metabric_clinical_data__2[Patient ID], [1]!brca_metabric_clinical_data__2[Tumor Size])</f>
        <v>39</v>
      </c>
      <c r="O2422" t="str">
        <f>_xlfn.XLOOKUP(A2422,[1]!brca_metabric_clinical_data__2[Sample ID],[1]!brca_metabric_clinical_data__2[Tumor Stage])</f>
        <v>NA</v>
      </c>
    </row>
    <row r="2423" spans="1:15" x14ac:dyDescent="0.45">
      <c r="A2423" t="s">
        <v>2458</v>
      </c>
      <c r="B2423">
        <v>86.69</v>
      </c>
      <c r="C2423" t="s">
        <v>16</v>
      </c>
      <c r="E2423" t="s">
        <v>18</v>
      </c>
      <c r="N2423" t="str">
        <f>_xlfn.XLOOKUP(A2423,[1]!brca_metabric_clinical_data__2[Patient ID], [1]!brca_metabric_clinical_data__2[Tumor Size])</f>
        <v>28</v>
      </c>
      <c r="O2423" t="str">
        <f>_xlfn.XLOOKUP(A2423,[1]!brca_metabric_clinical_data__2[Sample ID],[1]!brca_metabric_clinical_data__2[Tumor Stage])</f>
        <v>NA</v>
      </c>
    </row>
    <row r="2424" spans="1:15" x14ac:dyDescent="0.45">
      <c r="A2424" t="s">
        <v>2459</v>
      </c>
      <c r="B2424">
        <v>62.8</v>
      </c>
      <c r="C2424" t="s">
        <v>16</v>
      </c>
      <c r="E2424" t="s">
        <v>37</v>
      </c>
      <c r="N2424" t="str">
        <f>_xlfn.XLOOKUP(A2424,[1]!brca_metabric_clinical_data__2[Patient ID], [1]!brca_metabric_clinical_data__2[Tumor Size])</f>
        <v>45</v>
      </c>
      <c r="O2424" t="str">
        <f>_xlfn.XLOOKUP(A2424,[1]!brca_metabric_clinical_data__2[Sample ID],[1]!brca_metabric_clinical_data__2[Tumor Stage])</f>
        <v>NA</v>
      </c>
    </row>
    <row r="2425" spans="1:15" x14ac:dyDescent="0.45">
      <c r="A2425" t="s">
        <v>2460</v>
      </c>
      <c r="B2425">
        <v>73.510000000000005</v>
      </c>
      <c r="C2425" t="s">
        <v>16</v>
      </c>
      <c r="E2425" t="s">
        <v>18</v>
      </c>
      <c r="N2425" t="str">
        <f>_xlfn.XLOOKUP(A2425,[1]!brca_metabric_clinical_data__2[Patient ID], [1]!brca_metabric_clinical_data__2[Tumor Size])</f>
        <v>16</v>
      </c>
      <c r="O2425" t="str">
        <f>_xlfn.XLOOKUP(A2425,[1]!brca_metabric_clinical_data__2[Sample ID],[1]!brca_metabric_clinical_data__2[Tumor Stage])</f>
        <v>NA</v>
      </c>
    </row>
    <row r="2426" spans="1:15" x14ac:dyDescent="0.45">
      <c r="A2426" t="s">
        <v>2461</v>
      </c>
      <c r="B2426">
        <v>71.97</v>
      </c>
      <c r="C2426" t="s">
        <v>16</v>
      </c>
      <c r="E2426" t="s">
        <v>18</v>
      </c>
      <c r="N2426" t="str">
        <f>_xlfn.XLOOKUP(A2426,[1]!brca_metabric_clinical_data__2[Patient ID], [1]!brca_metabric_clinical_data__2[Tumor Size])</f>
        <v>12</v>
      </c>
      <c r="O2426" t="str">
        <f>_xlfn.XLOOKUP(A2426,[1]!brca_metabric_clinical_data__2[Sample ID],[1]!brca_metabric_clinical_data__2[Tumor Stage])</f>
        <v>NA</v>
      </c>
    </row>
    <row r="2427" spans="1:15" x14ac:dyDescent="0.45">
      <c r="A2427" t="s">
        <v>2462</v>
      </c>
      <c r="B2427">
        <v>32.950000000000003</v>
      </c>
      <c r="C2427" t="s">
        <v>16</v>
      </c>
      <c r="E2427" t="s">
        <v>37</v>
      </c>
      <c r="N2427" t="str">
        <f>_xlfn.XLOOKUP(A2427,[1]!brca_metabric_clinical_data__2[Patient ID], [1]!brca_metabric_clinical_data__2[Tumor Size])</f>
        <v>30</v>
      </c>
      <c r="O2427" t="str">
        <f>_xlfn.XLOOKUP(A2427,[1]!brca_metabric_clinical_data__2[Sample ID],[1]!brca_metabric_clinical_data__2[Tumor Stage])</f>
        <v>NA</v>
      </c>
    </row>
    <row r="2428" spans="1:15" x14ac:dyDescent="0.45">
      <c r="A2428" t="s">
        <v>2463</v>
      </c>
      <c r="B2428">
        <v>50.69</v>
      </c>
      <c r="C2428" t="s">
        <v>16</v>
      </c>
      <c r="E2428" t="s">
        <v>37</v>
      </c>
      <c r="N2428" t="str">
        <f>_xlfn.XLOOKUP(A2428,[1]!brca_metabric_clinical_data__2[Patient ID], [1]!brca_metabric_clinical_data__2[Tumor Size])</f>
        <v>20</v>
      </c>
      <c r="O2428" t="str">
        <f>_xlfn.XLOOKUP(A2428,[1]!brca_metabric_clinical_data__2[Sample ID],[1]!brca_metabric_clinical_data__2[Tumor Stage])</f>
        <v>NA</v>
      </c>
    </row>
    <row r="2429" spans="1:15" x14ac:dyDescent="0.45">
      <c r="A2429" t="s">
        <v>2464</v>
      </c>
      <c r="B2429">
        <v>47.47</v>
      </c>
      <c r="C2429" t="s">
        <v>16</v>
      </c>
      <c r="E2429" t="s">
        <v>37</v>
      </c>
      <c r="N2429" t="str">
        <f>_xlfn.XLOOKUP(A2429,[1]!brca_metabric_clinical_data__2[Patient ID], [1]!brca_metabric_clinical_data__2[Tumor Size])</f>
        <v>43</v>
      </c>
      <c r="O2429" t="str">
        <f>_xlfn.XLOOKUP(A2429,[1]!brca_metabric_clinical_data__2[Sample ID],[1]!brca_metabric_clinical_data__2[Tumor Stage])</f>
        <v>NA</v>
      </c>
    </row>
    <row r="2430" spans="1:15" x14ac:dyDescent="0.45">
      <c r="A2430" t="s">
        <v>2465</v>
      </c>
      <c r="B2430">
        <v>81.05</v>
      </c>
      <c r="C2430" t="s">
        <v>16</v>
      </c>
      <c r="E2430" t="s">
        <v>18</v>
      </c>
      <c r="N2430" t="str">
        <f>_xlfn.XLOOKUP(A2430,[1]!brca_metabric_clinical_data__2[Patient ID], [1]!brca_metabric_clinical_data__2[Tumor Size])</f>
        <v>27</v>
      </c>
      <c r="O2430" t="str">
        <f>_xlfn.XLOOKUP(A2430,[1]!brca_metabric_clinical_data__2[Sample ID],[1]!brca_metabric_clinical_data__2[Tumor Stage])</f>
        <v>NA</v>
      </c>
    </row>
    <row r="2431" spans="1:15" x14ac:dyDescent="0.45">
      <c r="A2431" t="s">
        <v>2466</v>
      </c>
      <c r="B2431">
        <v>51.29</v>
      </c>
      <c r="C2431" t="s">
        <v>16</v>
      </c>
      <c r="E2431" t="s">
        <v>18</v>
      </c>
      <c r="N2431" t="str">
        <f>_xlfn.XLOOKUP(A2431,[1]!brca_metabric_clinical_data__2[Patient ID], [1]!brca_metabric_clinical_data__2[Tumor Size])</f>
        <v>13</v>
      </c>
      <c r="O2431" t="str">
        <f>_xlfn.XLOOKUP(A2431,[1]!brca_metabric_clinical_data__2[Sample ID],[1]!brca_metabric_clinical_data__2[Tumor Stage])</f>
        <v>1</v>
      </c>
    </row>
    <row r="2432" spans="1:15" x14ac:dyDescent="0.45">
      <c r="A2432" t="s">
        <v>2467</v>
      </c>
      <c r="B2432">
        <v>62.91</v>
      </c>
      <c r="C2432" t="s">
        <v>16</v>
      </c>
      <c r="E2432" t="s">
        <v>18</v>
      </c>
      <c r="N2432" t="str">
        <f>_xlfn.XLOOKUP(A2432,[1]!brca_metabric_clinical_data__2[Patient ID], [1]!brca_metabric_clinical_data__2[Tumor Size])</f>
        <v>15</v>
      </c>
      <c r="O2432" t="str">
        <f>_xlfn.XLOOKUP(A2432,[1]!brca_metabric_clinical_data__2[Sample ID],[1]!brca_metabric_clinical_data__2[Tumor Stage])</f>
        <v>NA</v>
      </c>
    </row>
    <row r="2433" spans="1:15" x14ac:dyDescent="0.45">
      <c r="A2433" t="s">
        <v>2468</v>
      </c>
      <c r="B2433">
        <v>42.08</v>
      </c>
      <c r="C2433" t="s">
        <v>16</v>
      </c>
      <c r="E2433" t="s">
        <v>18</v>
      </c>
      <c r="N2433" t="str">
        <f>_xlfn.XLOOKUP(A2433,[1]!brca_metabric_clinical_data__2[Patient ID], [1]!brca_metabric_clinical_data__2[Tumor Size])</f>
        <v>35</v>
      </c>
      <c r="O2433" t="str">
        <f>_xlfn.XLOOKUP(A2433,[1]!brca_metabric_clinical_data__2[Sample ID],[1]!brca_metabric_clinical_data__2[Tumor Stage])</f>
        <v>2</v>
      </c>
    </row>
    <row r="2434" spans="1:15" x14ac:dyDescent="0.45">
      <c r="A2434" t="s">
        <v>2469</v>
      </c>
      <c r="B2434">
        <v>45.99</v>
      </c>
      <c r="C2434" t="s">
        <v>16</v>
      </c>
      <c r="E2434" t="s">
        <v>37</v>
      </c>
      <c r="N2434" t="str">
        <f>_xlfn.XLOOKUP(A2434,[1]!brca_metabric_clinical_data__2[Patient ID], [1]!brca_metabric_clinical_data__2[Tumor Size])</f>
        <v>30</v>
      </c>
      <c r="O2434" t="str">
        <f>_xlfn.XLOOKUP(A2434,[1]!brca_metabric_clinical_data__2[Sample ID],[1]!brca_metabric_clinical_data__2[Tumor Stage])</f>
        <v>2</v>
      </c>
    </row>
    <row r="2435" spans="1:15" x14ac:dyDescent="0.45">
      <c r="A2435" t="s">
        <v>2470</v>
      </c>
      <c r="B2435">
        <v>48.49</v>
      </c>
      <c r="C2435" t="s">
        <v>16</v>
      </c>
      <c r="E2435" t="s">
        <v>37</v>
      </c>
      <c r="N2435" t="str">
        <f>_xlfn.XLOOKUP(A2435,[1]!brca_metabric_clinical_data__2[Patient ID], [1]!brca_metabric_clinical_data__2[Tumor Size])</f>
        <v>40</v>
      </c>
      <c r="O2435" t="str">
        <f>_xlfn.XLOOKUP(A2435,[1]!brca_metabric_clinical_data__2[Sample ID],[1]!brca_metabric_clinical_data__2[Tumor Stage])</f>
        <v>2</v>
      </c>
    </row>
    <row r="2436" spans="1:15" x14ac:dyDescent="0.45">
      <c r="A2436" t="s">
        <v>2471</v>
      </c>
      <c r="B2436">
        <v>59.35</v>
      </c>
      <c r="C2436" t="s">
        <v>16</v>
      </c>
      <c r="E2436" t="s">
        <v>37</v>
      </c>
      <c r="N2436" t="str">
        <f>_xlfn.XLOOKUP(A2436,[1]!brca_metabric_clinical_data__2[Patient ID], [1]!brca_metabric_clinical_data__2[Tumor Size])</f>
        <v>50</v>
      </c>
      <c r="O2436" t="str">
        <f>_xlfn.XLOOKUP(A2436,[1]!brca_metabric_clinical_data__2[Sample ID],[1]!brca_metabric_clinical_data__2[Tumor Stage])</f>
        <v>2</v>
      </c>
    </row>
    <row r="2437" spans="1:15" x14ac:dyDescent="0.45">
      <c r="A2437" t="s">
        <v>2472</v>
      </c>
      <c r="B2437">
        <v>40.869999999999997</v>
      </c>
      <c r="C2437" t="s">
        <v>16</v>
      </c>
      <c r="E2437" t="s">
        <v>37</v>
      </c>
      <c r="N2437" t="str">
        <f>_xlfn.XLOOKUP(A2437,[1]!brca_metabric_clinical_data__2[Patient ID], [1]!brca_metabric_clinical_data__2[Tumor Size])</f>
        <v>17</v>
      </c>
      <c r="O2437" t="str">
        <f>_xlfn.XLOOKUP(A2437,[1]!brca_metabric_clinical_data__2[Sample ID],[1]!brca_metabric_clinical_data__2[Tumor Stage])</f>
        <v>2</v>
      </c>
    </row>
    <row r="2438" spans="1:15" x14ac:dyDescent="0.45">
      <c r="A2438" t="s">
        <v>2473</v>
      </c>
      <c r="B2438">
        <v>70.92</v>
      </c>
      <c r="C2438" t="s">
        <v>16</v>
      </c>
      <c r="E2438" t="s">
        <v>18</v>
      </c>
      <c r="N2438" t="str">
        <f>_xlfn.XLOOKUP(A2438,[1]!brca_metabric_clinical_data__2[Patient ID], [1]!brca_metabric_clinical_data__2[Tumor Size])</f>
        <v>58</v>
      </c>
      <c r="O2438" t="str">
        <f>_xlfn.XLOOKUP(A2438,[1]!brca_metabric_clinical_data__2[Sample ID],[1]!brca_metabric_clinical_data__2[Tumor Stage])</f>
        <v>2</v>
      </c>
    </row>
    <row r="2439" spans="1:15" x14ac:dyDescent="0.45">
      <c r="A2439" t="s">
        <v>2474</v>
      </c>
      <c r="B2439">
        <v>67.28</v>
      </c>
      <c r="C2439" t="s">
        <v>16</v>
      </c>
      <c r="E2439" t="s">
        <v>18</v>
      </c>
      <c r="N2439" t="str">
        <f>_xlfn.XLOOKUP(A2439,[1]!brca_metabric_clinical_data__2[Patient ID], [1]!brca_metabric_clinical_data__2[Tumor Size])</f>
        <v>20</v>
      </c>
      <c r="O2439" t="str">
        <f>_xlfn.XLOOKUP(A2439,[1]!brca_metabric_clinical_data__2[Sample ID],[1]!brca_metabric_clinical_data__2[Tumor Stage])</f>
        <v>NA</v>
      </c>
    </row>
    <row r="2440" spans="1:15" x14ac:dyDescent="0.45">
      <c r="A2440" t="s">
        <v>2475</v>
      </c>
      <c r="B2440">
        <v>69.72</v>
      </c>
      <c r="C2440" t="s">
        <v>16</v>
      </c>
      <c r="E2440" t="s">
        <v>18</v>
      </c>
      <c r="N2440" t="str">
        <f>_xlfn.XLOOKUP(A2440,[1]!brca_metabric_clinical_data__2[Patient ID], [1]!brca_metabric_clinical_data__2[Tumor Size])</f>
        <v>25</v>
      </c>
      <c r="O2440" t="str">
        <f>_xlfn.XLOOKUP(A2440,[1]!brca_metabric_clinical_data__2[Sample ID],[1]!brca_metabric_clinical_data__2[Tumor Stage])</f>
        <v>2</v>
      </c>
    </row>
    <row r="2441" spans="1:15" x14ac:dyDescent="0.45">
      <c r="A2441" t="s">
        <v>2476</v>
      </c>
      <c r="B2441">
        <v>69.58</v>
      </c>
      <c r="C2441" t="s">
        <v>16</v>
      </c>
      <c r="E2441" t="s">
        <v>18</v>
      </c>
      <c r="N2441" t="str">
        <f>_xlfn.XLOOKUP(A2441,[1]!brca_metabric_clinical_data__2[Patient ID], [1]!brca_metabric_clinical_data__2[Tumor Size])</f>
        <v>50</v>
      </c>
      <c r="O2441" t="str">
        <f>_xlfn.XLOOKUP(A2441,[1]!brca_metabric_clinical_data__2[Sample ID],[1]!brca_metabric_clinical_data__2[Tumor Stage])</f>
        <v>NA</v>
      </c>
    </row>
    <row r="2442" spans="1:15" x14ac:dyDescent="0.45">
      <c r="A2442" t="s">
        <v>2477</v>
      </c>
      <c r="B2442">
        <v>47.87</v>
      </c>
      <c r="C2442" t="s">
        <v>16</v>
      </c>
      <c r="E2442" t="s">
        <v>37</v>
      </c>
      <c r="N2442" t="str">
        <f>_xlfn.XLOOKUP(A2442,[1]!brca_metabric_clinical_data__2[Patient ID], [1]!brca_metabric_clinical_data__2[Tumor Size])</f>
        <v>25</v>
      </c>
      <c r="O2442" t="str">
        <f>_xlfn.XLOOKUP(A2442,[1]!brca_metabric_clinical_data__2[Sample ID],[1]!brca_metabric_clinical_data__2[Tumor Stage])</f>
        <v>3</v>
      </c>
    </row>
    <row r="2443" spans="1:15" x14ac:dyDescent="0.45">
      <c r="A2443" t="s">
        <v>2478</v>
      </c>
      <c r="B2443">
        <v>59.42</v>
      </c>
      <c r="C2443" t="s">
        <v>16</v>
      </c>
      <c r="E2443" t="s">
        <v>18</v>
      </c>
      <c r="N2443" t="str">
        <f>_xlfn.XLOOKUP(A2443,[1]!brca_metabric_clinical_data__2[Patient ID], [1]!brca_metabric_clinical_data__2[Tumor Size])</f>
        <v>25</v>
      </c>
      <c r="O2443" t="str">
        <f>_xlfn.XLOOKUP(A2443,[1]!brca_metabric_clinical_data__2[Sample ID],[1]!brca_metabric_clinical_data__2[Tumor Stage])</f>
        <v>2</v>
      </c>
    </row>
    <row r="2444" spans="1:15" x14ac:dyDescent="0.45">
      <c r="A2444" t="s">
        <v>2479</v>
      </c>
      <c r="B2444">
        <v>46.21</v>
      </c>
      <c r="C2444" t="s">
        <v>16</v>
      </c>
      <c r="E2444" t="s">
        <v>37</v>
      </c>
      <c r="N2444" t="str">
        <f>_xlfn.XLOOKUP(A2444,[1]!brca_metabric_clinical_data__2[Patient ID], [1]!brca_metabric_clinical_data__2[Tumor Size])</f>
        <v>35</v>
      </c>
      <c r="O2444" t="str">
        <f>_xlfn.XLOOKUP(A2444,[1]!brca_metabric_clinical_data__2[Sample ID],[1]!brca_metabric_clinical_data__2[Tumor Stage])</f>
        <v>2</v>
      </c>
    </row>
    <row r="2445" spans="1:15" x14ac:dyDescent="0.45">
      <c r="A2445" t="s">
        <v>2480</v>
      </c>
      <c r="B2445">
        <v>77.97</v>
      </c>
      <c r="C2445" t="s">
        <v>16</v>
      </c>
      <c r="E2445" t="s">
        <v>18</v>
      </c>
      <c r="N2445" t="str">
        <f>_xlfn.XLOOKUP(A2445,[1]!brca_metabric_clinical_data__2[Patient ID], [1]!brca_metabric_clinical_data__2[Tumor Size])</f>
        <v>20</v>
      </c>
      <c r="O2445" t="str">
        <f>_xlfn.XLOOKUP(A2445,[1]!brca_metabric_clinical_data__2[Sample ID],[1]!brca_metabric_clinical_data__2[Tumor Stage])</f>
        <v>1</v>
      </c>
    </row>
    <row r="2446" spans="1:15" x14ac:dyDescent="0.45">
      <c r="A2446" t="s">
        <v>2481</v>
      </c>
      <c r="B2446">
        <v>28.83</v>
      </c>
      <c r="C2446" t="s">
        <v>16</v>
      </c>
      <c r="E2446" t="s">
        <v>18</v>
      </c>
      <c r="N2446" t="str">
        <f>_xlfn.XLOOKUP(A2446,[1]!brca_metabric_clinical_data__2[Patient ID], [1]!brca_metabric_clinical_data__2[Tumor Size])</f>
        <v>21</v>
      </c>
      <c r="O2446" t="str">
        <f>_xlfn.XLOOKUP(A2446,[1]!brca_metabric_clinical_data__2[Sample ID],[1]!brca_metabric_clinical_data__2[Tumor Stage])</f>
        <v>2</v>
      </c>
    </row>
    <row r="2447" spans="1:15" x14ac:dyDescent="0.45">
      <c r="A2447" t="s">
        <v>2482</v>
      </c>
      <c r="B2447">
        <v>44.04</v>
      </c>
      <c r="C2447" t="s">
        <v>16</v>
      </c>
      <c r="E2447" t="s">
        <v>18</v>
      </c>
      <c r="N2447" t="str">
        <f>_xlfn.XLOOKUP(A2447,[1]!brca_metabric_clinical_data__2[Patient ID], [1]!brca_metabric_clinical_data__2[Tumor Size])</f>
        <v>19</v>
      </c>
      <c r="O2447" t="str">
        <f>_xlfn.XLOOKUP(A2447,[1]!brca_metabric_clinical_data__2[Sample ID],[1]!brca_metabric_clinical_data__2[Tumor Stage])</f>
        <v>1</v>
      </c>
    </row>
    <row r="2448" spans="1:15" x14ac:dyDescent="0.45">
      <c r="A2448" t="s">
        <v>2483</v>
      </c>
      <c r="B2448">
        <v>81.42</v>
      </c>
      <c r="C2448" t="s">
        <v>16</v>
      </c>
      <c r="E2448" t="s">
        <v>18</v>
      </c>
      <c r="N2448" t="str">
        <f>_xlfn.XLOOKUP(A2448,[1]!brca_metabric_clinical_data__2[Patient ID], [1]!brca_metabric_clinical_data__2[Tumor Size])</f>
        <v>50</v>
      </c>
      <c r="O2448" t="str">
        <f>_xlfn.XLOOKUP(A2448,[1]!brca_metabric_clinical_data__2[Sample ID],[1]!brca_metabric_clinical_data__2[Tumor Stage])</f>
        <v>NA</v>
      </c>
    </row>
    <row r="2449" spans="1:15" x14ac:dyDescent="0.45">
      <c r="A2449" t="s">
        <v>2484</v>
      </c>
      <c r="B2449">
        <v>52.11</v>
      </c>
      <c r="C2449" t="s">
        <v>16</v>
      </c>
      <c r="E2449" t="s">
        <v>37</v>
      </c>
      <c r="N2449" t="str">
        <f>_xlfn.XLOOKUP(A2449,[1]!brca_metabric_clinical_data__2[Patient ID], [1]!brca_metabric_clinical_data__2[Tumor Size])</f>
        <v>25</v>
      </c>
      <c r="O2449" t="str">
        <f>_xlfn.XLOOKUP(A2449,[1]!brca_metabric_clinical_data__2[Sample ID],[1]!brca_metabric_clinical_data__2[Tumor Stage])</f>
        <v>NA</v>
      </c>
    </row>
    <row r="2450" spans="1:15" x14ac:dyDescent="0.45">
      <c r="A2450" t="s">
        <v>2485</v>
      </c>
      <c r="B2450">
        <v>55.17</v>
      </c>
      <c r="C2450" t="s">
        <v>16</v>
      </c>
      <c r="E2450" t="s">
        <v>37</v>
      </c>
      <c r="N2450" t="str">
        <f>_xlfn.XLOOKUP(A2450,[1]!brca_metabric_clinical_data__2[Patient ID], [1]!brca_metabric_clinical_data__2[Tumor Size])</f>
        <v>50</v>
      </c>
      <c r="O2450" t="str">
        <f>_xlfn.XLOOKUP(A2450,[1]!brca_metabric_clinical_data__2[Sample ID],[1]!brca_metabric_clinical_data__2[Tumor Stage])</f>
        <v>2</v>
      </c>
    </row>
    <row r="2451" spans="1:15" x14ac:dyDescent="0.45">
      <c r="A2451" t="s">
        <v>2486</v>
      </c>
      <c r="B2451">
        <v>57.19</v>
      </c>
      <c r="C2451" t="s">
        <v>16</v>
      </c>
      <c r="E2451" t="s">
        <v>18</v>
      </c>
      <c r="N2451" t="str">
        <f>_xlfn.XLOOKUP(A2451,[1]!brca_metabric_clinical_data__2[Patient ID], [1]!brca_metabric_clinical_data__2[Tumor Size])</f>
        <v>45</v>
      </c>
      <c r="O2451" t="str">
        <f>_xlfn.XLOOKUP(A2451,[1]!brca_metabric_clinical_data__2[Sample ID],[1]!brca_metabric_clinical_data__2[Tumor Stage])</f>
        <v>2</v>
      </c>
    </row>
    <row r="2452" spans="1:15" x14ac:dyDescent="0.45">
      <c r="A2452" t="s">
        <v>2487</v>
      </c>
      <c r="B2452">
        <v>66.83</v>
      </c>
      <c r="C2452" t="s">
        <v>16</v>
      </c>
      <c r="E2452" t="s">
        <v>18</v>
      </c>
      <c r="N2452" t="str">
        <f>_xlfn.XLOOKUP(A2452,[1]!brca_metabric_clinical_data__2[Patient ID], [1]!brca_metabric_clinical_data__2[Tumor Size])</f>
        <v>45</v>
      </c>
      <c r="O2452" t="str">
        <f>_xlfn.XLOOKUP(A2452,[1]!brca_metabric_clinical_data__2[Sample ID],[1]!brca_metabric_clinical_data__2[Tumor Stage])</f>
        <v>2</v>
      </c>
    </row>
    <row r="2453" spans="1:15" x14ac:dyDescent="0.45">
      <c r="A2453" t="s">
        <v>2488</v>
      </c>
      <c r="B2453">
        <v>66.739999999999995</v>
      </c>
      <c r="C2453" t="s">
        <v>16</v>
      </c>
      <c r="E2453" t="s">
        <v>18</v>
      </c>
      <c r="N2453" t="str">
        <f>_xlfn.XLOOKUP(A2453,[1]!brca_metabric_clinical_data__2[Patient ID], [1]!brca_metabric_clinical_data__2[Tumor Size])</f>
        <v>40</v>
      </c>
      <c r="O2453" t="str">
        <f>_xlfn.XLOOKUP(A2453,[1]!brca_metabric_clinical_data__2[Sample ID],[1]!brca_metabric_clinical_data__2[Tumor Stage])</f>
        <v>NA</v>
      </c>
    </row>
    <row r="2454" spans="1:15" x14ac:dyDescent="0.45">
      <c r="A2454" t="s">
        <v>2489</v>
      </c>
      <c r="B2454">
        <v>77.09</v>
      </c>
      <c r="C2454" t="s">
        <v>16</v>
      </c>
      <c r="E2454" t="s">
        <v>18</v>
      </c>
      <c r="N2454" t="str">
        <f>_xlfn.XLOOKUP(A2454,[1]!brca_metabric_clinical_data__2[Patient ID], [1]!brca_metabric_clinical_data__2[Tumor Size])</f>
        <v>50</v>
      </c>
      <c r="O2454" t="str">
        <f>_xlfn.XLOOKUP(A2454,[1]!brca_metabric_clinical_data__2[Sample ID],[1]!brca_metabric_clinical_data__2[Tumor Stage])</f>
        <v>2</v>
      </c>
    </row>
    <row r="2455" spans="1:15" x14ac:dyDescent="0.45">
      <c r="A2455" t="s">
        <v>2490</v>
      </c>
      <c r="B2455">
        <v>53.73</v>
      </c>
      <c r="C2455" t="s">
        <v>16</v>
      </c>
      <c r="E2455" t="s">
        <v>18</v>
      </c>
      <c r="N2455" t="str">
        <f>_xlfn.XLOOKUP(A2455,[1]!brca_metabric_clinical_data__2[Patient ID], [1]!brca_metabric_clinical_data__2[Tumor Size])</f>
        <v>20</v>
      </c>
      <c r="O2455" t="str">
        <f>_xlfn.XLOOKUP(A2455,[1]!brca_metabric_clinical_data__2[Sample ID],[1]!brca_metabric_clinical_data__2[Tumor Stage])</f>
        <v>1</v>
      </c>
    </row>
    <row r="2456" spans="1:15" x14ac:dyDescent="0.45">
      <c r="A2456" t="s">
        <v>2491</v>
      </c>
      <c r="B2456">
        <v>67.010000000000005</v>
      </c>
      <c r="C2456" t="s">
        <v>16</v>
      </c>
      <c r="E2456" t="s">
        <v>18</v>
      </c>
      <c r="N2456" t="str">
        <f>_xlfn.XLOOKUP(A2456,[1]!brca_metabric_clinical_data__2[Patient ID], [1]!brca_metabric_clinical_data__2[Tumor Size])</f>
        <v>30</v>
      </c>
      <c r="O2456" t="str">
        <f>_xlfn.XLOOKUP(A2456,[1]!brca_metabric_clinical_data__2[Sample ID],[1]!brca_metabric_clinical_data__2[Tumor Stage])</f>
        <v>NA</v>
      </c>
    </row>
    <row r="2457" spans="1:15" x14ac:dyDescent="0.45">
      <c r="A2457" t="s">
        <v>2492</v>
      </c>
      <c r="B2457">
        <v>57.83</v>
      </c>
      <c r="C2457" t="s">
        <v>16</v>
      </c>
      <c r="E2457" t="s">
        <v>37</v>
      </c>
      <c r="N2457" t="str">
        <f>_xlfn.XLOOKUP(A2457,[1]!brca_metabric_clinical_data__2[Patient ID], [1]!brca_metabric_clinical_data__2[Tumor Size])</f>
        <v>30</v>
      </c>
      <c r="O2457" t="str">
        <f>_xlfn.XLOOKUP(A2457,[1]!brca_metabric_clinical_data__2[Sample ID],[1]!brca_metabric_clinical_data__2[Tumor Stage])</f>
        <v>2</v>
      </c>
    </row>
    <row r="2458" spans="1:15" x14ac:dyDescent="0.45">
      <c r="A2458" t="s">
        <v>2493</v>
      </c>
      <c r="B2458">
        <v>60.02</v>
      </c>
      <c r="C2458" t="s">
        <v>16</v>
      </c>
      <c r="E2458" t="s">
        <v>37</v>
      </c>
      <c r="N2458" t="str">
        <f>_xlfn.XLOOKUP(A2458,[1]!brca_metabric_clinical_data__2[Patient ID], [1]!brca_metabric_clinical_data__2[Tumor Size])</f>
        <v>40</v>
      </c>
      <c r="O2458" t="str">
        <f>_xlfn.XLOOKUP(A2458,[1]!brca_metabric_clinical_data__2[Sample ID],[1]!brca_metabric_clinical_data__2[Tumor Stage])</f>
        <v>NA</v>
      </c>
    </row>
    <row r="2459" spans="1:15" x14ac:dyDescent="0.45">
      <c r="A2459" t="s">
        <v>2494</v>
      </c>
      <c r="B2459">
        <v>52.25</v>
      </c>
      <c r="C2459" t="s">
        <v>16</v>
      </c>
      <c r="E2459" t="s">
        <v>37</v>
      </c>
      <c r="N2459" t="str">
        <f>_xlfn.XLOOKUP(A2459,[1]!brca_metabric_clinical_data__2[Patient ID], [1]!brca_metabric_clinical_data__2[Tumor Size])</f>
        <v>30</v>
      </c>
      <c r="O2459" t="str">
        <f>_xlfn.XLOOKUP(A2459,[1]!brca_metabric_clinical_data__2[Sample ID],[1]!brca_metabric_clinical_data__2[Tumor Stage])</f>
        <v>2</v>
      </c>
    </row>
    <row r="2460" spans="1:15" x14ac:dyDescent="0.45">
      <c r="A2460" t="s">
        <v>2495</v>
      </c>
      <c r="B2460">
        <v>50.39</v>
      </c>
      <c r="C2460" t="s">
        <v>16</v>
      </c>
      <c r="E2460" t="s">
        <v>37</v>
      </c>
      <c r="N2460" t="str">
        <f>_xlfn.XLOOKUP(A2460,[1]!brca_metabric_clinical_data__2[Patient ID], [1]!brca_metabric_clinical_data__2[Tumor Size])</f>
        <v>20</v>
      </c>
      <c r="O2460" t="str">
        <f>_xlfn.XLOOKUP(A2460,[1]!brca_metabric_clinical_data__2[Sample ID],[1]!brca_metabric_clinical_data__2[Tumor Stage])</f>
        <v>2</v>
      </c>
    </row>
    <row r="2461" spans="1:15" x14ac:dyDescent="0.45">
      <c r="A2461" t="s">
        <v>2496</v>
      </c>
      <c r="B2461">
        <v>72.64</v>
      </c>
      <c r="C2461" t="s">
        <v>16</v>
      </c>
      <c r="E2461" t="s">
        <v>18</v>
      </c>
      <c r="N2461" t="str">
        <f>_xlfn.XLOOKUP(A2461,[1]!brca_metabric_clinical_data__2[Patient ID], [1]!brca_metabric_clinical_data__2[Tumor Size])</f>
        <v>15</v>
      </c>
      <c r="O2461" t="str">
        <f>_xlfn.XLOOKUP(A2461,[1]!brca_metabric_clinical_data__2[Sample ID],[1]!brca_metabric_clinical_data__2[Tumor Stage])</f>
        <v>1</v>
      </c>
    </row>
    <row r="2462" spans="1:15" x14ac:dyDescent="0.45">
      <c r="A2462" t="s">
        <v>2497</v>
      </c>
      <c r="B2462">
        <v>72.900000000000006</v>
      </c>
      <c r="C2462" t="s">
        <v>16</v>
      </c>
      <c r="E2462" t="s">
        <v>37</v>
      </c>
      <c r="N2462" t="str">
        <f>_xlfn.XLOOKUP(A2462,[1]!brca_metabric_clinical_data__2[Patient ID], [1]!brca_metabric_clinical_data__2[Tumor Size])</f>
        <v>30</v>
      </c>
      <c r="O2462" t="str">
        <f>_xlfn.XLOOKUP(A2462,[1]!brca_metabric_clinical_data__2[Sample ID],[1]!brca_metabric_clinical_data__2[Tumor Stage])</f>
        <v>NA</v>
      </c>
    </row>
    <row r="2463" spans="1:15" x14ac:dyDescent="0.45">
      <c r="A2463" t="s">
        <v>2498</v>
      </c>
      <c r="B2463">
        <v>45.24</v>
      </c>
      <c r="C2463" t="s">
        <v>16</v>
      </c>
      <c r="E2463" t="s">
        <v>37</v>
      </c>
      <c r="N2463" t="str">
        <f>_xlfn.XLOOKUP(A2463,[1]!brca_metabric_clinical_data__2[Patient ID], [1]!brca_metabric_clinical_data__2[Tumor Size])</f>
        <v>NA</v>
      </c>
      <c r="O2463" t="str">
        <f>_xlfn.XLOOKUP(A2463,[1]!brca_metabric_clinical_data__2[Sample ID],[1]!brca_metabric_clinical_data__2[Tumor Stage])</f>
        <v>NA</v>
      </c>
    </row>
    <row r="2464" spans="1:15" x14ac:dyDescent="0.45">
      <c r="A2464" t="s">
        <v>2499</v>
      </c>
      <c r="B2464">
        <v>62.36</v>
      </c>
      <c r="C2464" t="s">
        <v>16</v>
      </c>
      <c r="E2464" t="s">
        <v>37</v>
      </c>
      <c r="N2464" t="str">
        <f>_xlfn.XLOOKUP(A2464,[1]!brca_metabric_clinical_data__2[Patient ID], [1]!brca_metabric_clinical_data__2[Tumor Size])</f>
        <v>40</v>
      </c>
      <c r="O2464" t="str">
        <f>_xlfn.XLOOKUP(A2464,[1]!brca_metabric_clinical_data__2[Sample ID],[1]!brca_metabric_clinical_data__2[Tumor Stage])</f>
        <v>2</v>
      </c>
    </row>
    <row r="2465" spans="1:15" x14ac:dyDescent="0.45">
      <c r="A2465" t="s">
        <v>2500</v>
      </c>
      <c r="B2465">
        <v>64.69</v>
      </c>
      <c r="C2465" t="s">
        <v>16</v>
      </c>
      <c r="E2465" t="s">
        <v>18</v>
      </c>
      <c r="N2465" t="str">
        <f>_xlfn.XLOOKUP(A2465,[1]!brca_metabric_clinical_data__2[Patient ID], [1]!brca_metabric_clinical_data__2[Tumor Size])</f>
        <v>22</v>
      </c>
      <c r="O2465" t="str">
        <f>_xlfn.XLOOKUP(A2465,[1]!brca_metabric_clinical_data__2[Sample ID],[1]!brca_metabric_clinical_data__2[Tumor Stage])</f>
        <v>3</v>
      </c>
    </row>
    <row r="2466" spans="1:15" x14ac:dyDescent="0.45">
      <c r="A2466" t="s">
        <v>2501</v>
      </c>
      <c r="B2466">
        <v>67.569999999999993</v>
      </c>
      <c r="C2466" t="s">
        <v>16</v>
      </c>
      <c r="E2466" t="s">
        <v>37</v>
      </c>
      <c r="N2466" t="str">
        <f>_xlfn.XLOOKUP(A2466,[1]!brca_metabric_clinical_data__2[Patient ID], [1]!brca_metabric_clinical_data__2[Tumor Size])</f>
        <v>22</v>
      </c>
      <c r="O2466" t="str">
        <f>_xlfn.XLOOKUP(A2466,[1]!brca_metabric_clinical_data__2[Sample ID],[1]!brca_metabric_clinical_data__2[Tumor Stage])</f>
        <v>1</v>
      </c>
    </row>
    <row r="2467" spans="1:15" x14ac:dyDescent="0.45">
      <c r="A2467" t="s">
        <v>2502</v>
      </c>
      <c r="B2467">
        <v>73.59</v>
      </c>
      <c r="C2467" t="s">
        <v>16</v>
      </c>
      <c r="E2467" t="s">
        <v>37</v>
      </c>
      <c r="N2467" t="str">
        <f>_xlfn.XLOOKUP(A2467,[1]!brca_metabric_clinical_data__2[Patient ID], [1]!brca_metabric_clinical_data__2[Tumor Size])</f>
        <v>26</v>
      </c>
      <c r="O2467" t="str">
        <f>_xlfn.XLOOKUP(A2467,[1]!brca_metabric_clinical_data__2[Sample ID],[1]!brca_metabric_clinical_data__2[Tumor Stage])</f>
        <v>2</v>
      </c>
    </row>
    <row r="2468" spans="1:15" x14ac:dyDescent="0.45">
      <c r="A2468" t="s">
        <v>2503</v>
      </c>
      <c r="B2468">
        <v>61.47</v>
      </c>
      <c r="C2468" t="s">
        <v>16</v>
      </c>
      <c r="E2468" t="s">
        <v>18</v>
      </c>
      <c r="N2468" t="str">
        <f>_xlfn.XLOOKUP(A2468,[1]!brca_metabric_clinical_data__2[Patient ID], [1]!brca_metabric_clinical_data__2[Tumor Size])</f>
        <v>23</v>
      </c>
      <c r="O2468" t="str">
        <f>_xlfn.XLOOKUP(A2468,[1]!brca_metabric_clinical_data__2[Sample ID],[1]!brca_metabric_clinical_data__2[Tumor Stage])</f>
        <v>1</v>
      </c>
    </row>
    <row r="2469" spans="1:15" x14ac:dyDescent="0.45">
      <c r="A2469" t="s">
        <v>2504</v>
      </c>
      <c r="B2469">
        <v>52</v>
      </c>
      <c r="C2469" t="s">
        <v>16</v>
      </c>
      <c r="E2469" t="s">
        <v>18</v>
      </c>
      <c r="N2469" t="str">
        <f>_xlfn.XLOOKUP(A2469,[1]!brca_metabric_clinical_data__2[Patient ID], [1]!brca_metabric_clinical_data__2[Tumor Size])</f>
        <v>22</v>
      </c>
      <c r="O2469" t="str">
        <f>_xlfn.XLOOKUP(A2469,[1]!brca_metabric_clinical_data__2[Sample ID],[1]!brca_metabric_clinical_data__2[Tumor Stage])</f>
        <v>1</v>
      </c>
    </row>
    <row r="2470" spans="1:15" x14ac:dyDescent="0.45">
      <c r="A2470" t="s">
        <v>2505</v>
      </c>
      <c r="B2470">
        <v>47.6</v>
      </c>
      <c r="C2470" t="s">
        <v>16</v>
      </c>
      <c r="E2470" t="s">
        <v>18</v>
      </c>
      <c r="N2470" t="str">
        <f>_xlfn.XLOOKUP(A2470,[1]!brca_metabric_clinical_data__2[Patient ID], [1]!brca_metabric_clinical_data__2[Tumor Size])</f>
        <v>23</v>
      </c>
      <c r="O2470" t="str">
        <f>_xlfn.XLOOKUP(A2470,[1]!brca_metabric_clinical_data__2[Sample ID],[1]!brca_metabric_clinical_data__2[Tumor Stage])</f>
        <v>2</v>
      </c>
    </row>
    <row r="2471" spans="1:15" x14ac:dyDescent="0.45">
      <c r="A2471" t="s">
        <v>2506</v>
      </c>
      <c r="B2471">
        <v>35.78</v>
      </c>
      <c r="C2471" t="s">
        <v>16</v>
      </c>
      <c r="E2471" t="s">
        <v>37</v>
      </c>
      <c r="N2471" t="str">
        <f>_xlfn.XLOOKUP(A2471,[1]!brca_metabric_clinical_data__2[Patient ID], [1]!brca_metabric_clinical_data__2[Tumor Size])</f>
        <v>23</v>
      </c>
      <c r="O2471" t="str">
        <f>_xlfn.XLOOKUP(A2471,[1]!brca_metabric_clinical_data__2[Sample ID],[1]!brca_metabric_clinical_data__2[Tumor Stage])</f>
        <v>2</v>
      </c>
    </row>
    <row r="2472" spans="1:15" x14ac:dyDescent="0.45">
      <c r="A2472" t="s">
        <v>2507</v>
      </c>
      <c r="B2472">
        <v>43.39</v>
      </c>
      <c r="C2472" t="s">
        <v>16</v>
      </c>
      <c r="E2472" t="s">
        <v>18</v>
      </c>
      <c r="N2472" t="str">
        <f>_xlfn.XLOOKUP(A2472,[1]!brca_metabric_clinical_data__2[Patient ID], [1]!brca_metabric_clinical_data__2[Tumor Size])</f>
        <v>NA</v>
      </c>
      <c r="O2472" t="str">
        <f>_xlfn.XLOOKUP(A2472,[1]!brca_metabric_clinical_data__2[Sample ID],[1]!brca_metabric_clinical_data__2[Tumor Stage])</f>
        <v>2</v>
      </c>
    </row>
    <row r="2473" spans="1:15" x14ac:dyDescent="0.45">
      <c r="A2473" t="s">
        <v>2508</v>
      </c>
      <c r="B2473">
        <v>73.45</v>
      </c>
      <c r="C2473" t="s">
        <v>16</v>
      </c>
      <c r="E2473" t="s">
        <v>37</v>
      </c>
      <c r="N2473" t="str">
        <f>_xlfn.XLOOKUP(A2473,[1]!brca_metabric_clinical_data__2[Patient ID], [1]!brca_metabric_clinical_data__2[Tumor Size])</f>
        <v>70</v>
      </c>
      <c r="O2473" t="str">
        <f>_xlfn.XLOOKUP(A2473,[1]!brca_metabric_clinical_data__2[Sample ID],[1]!brca_metabric_clinical_data__2[Tumor Stage])</f>
        <v>2</v>
      </c>
    </row>
    <row r="2474" spans="1:15" x14ac:dyDescent="0.45">
      <c r="A2474" t="s">
        <v>2509</v>
      </c>
      <c r="B2474">
        <v>55.06</v>
      </c>
      <c r="C2474" t="s">
        <v>16</v>
      </c>
      <c r="E2474" t="s">
        <v>18</v>
      </c>
      <c r="N2474" t="str">
        <f>_xlfn.XLOOKUP(A2474,[1]!brca_metabric_clinical_data__2[Patient ID], [1]!brca_metabric_clinical_data__2[Tumor Size])</f>
        <v>40</v>
      </c>
      <c r="O2474" t="str">
        <f>_xlfn.XLOOKUP(A2474,[1]!brca_metabric_clinical_data__2[Sample ID],[1]!brca_metabric_clinical_data__2[Tumor Stage])</f>
        <v>2</v>
      </c>
    </row>
    <row r="2475" spans="1:15" x14ac:dyDescent="0.45">
      <c r="A2475" t="s">
        <v>2510</v>
      </c>
      <c r="B2475">
        <v>33.96</v>
      </c>
      <c r="C2475" t="s">
        <v>16</v>
      </c>
      <c r="E2475" t="s">
        <v>37</v>
      </c>
      <c r="N2475" t="str">
        <f>_xlfn.XLOOKUP(A2475,[1]!brca_metabric_clinical_data__2[Patient ID], [1]!brca_metabric_clinical_data__2[Tumor Size])</f>
        <v>25</v>
      </c>
      <c r="O2475" t="str">
        <f>_xlfn.XLOOKUP(A2475,[1]!brca_metabric_clinical_data__2[Sample ID],[1]!brca_metabric_clinical_data__2[Tumor Stage])</f>
        <v>1</v>
      </c>
    </row>
    <row r="2476" spans="1:15" x14ac:dyDescent="0.45">
      <c r="A2476" t="s">
        <v>2511</v>
      </c>
      <c r="B2476">
        <v>47.28</v>
      </c>
      <c r="C2476" t="s">
        <v>16</v>
      </c>
      <c r="E2476" t="s">
        <v>18</v>
      </c>
      <c r="N2476" t="str">
        <f>_xlfn.XLOOKUP(A2476,[1]!brca_metabric_clinical_data__2[Patient ID], [1]!brca_metabric_clinical_data__2[Tumor Size])</f>
        <v>25</v>
      </c>
      <c r="O2476" t="str">
        <f>_xlfn.XLOOKUP(A2476,[1]!brca_metabric_clinical_data__2[Sample ID],[1]!brca_metabric_clinical_data__2[Tumor Stage])</f>
        <v>1</v>
      </c>
    </row>
    <row r="2477" spans="1:15" x14ac:dyDescent="0.45">
      <c r="A2477" t="s">
        <v>2512</v>
      </c>
      <c r="B2477">
        <v>45.33</v>
      </c>
      <c r="C2477" t="s">
        <v>16</v>
      </c>
      <c r="E2477" t="s">
        <v>37</v>
      </c>
      <c r="N2477" t="str">
        <f>_xlfn.XLOOKUP(A2477,[1]!brca_metabric_clinical_data__2[Patient ID], [1]!brca_metabric_clinical_data__2[Tumor Size])</f>
        <v>13</v>
      </c>
      <c r="O2477" t="str">
        <f>_xlfn.XLOOKUP(A2477,[1]!brca_metabric_clinical_data__2[Sample ID],[1]!brca_metabric_clinical_data__2[Tumor Stage])</f>
        <v>2</v>
      </c>
    </row>
    <row r="2478" spans="1:15" x14ac:dyDescent="0.45">
      <c r="A2478" t="s">
        <v>2513</v>
      </c>
      <c r="B2478">
        <v>43.04</v>
      </c>
      <c r="C2478" t="s">
        <v>16</v>
      </c>
      <c r="E2478" t="s">
        <v>37</v>
      </c>
      <c r="N2478" t="str">
        <f>_xlfn.XLOOKUP(A2478,[1]!brca_metabric_clinical_data__2[Patient ID], [1]!brca_metabric_clinical_data__2[Tumor Size])</f>
        <v>80</v>
      </c>
      <c r="O2478" t="str">
        <f>_xlfn.XLOOKUP(A2478,[1]!brca_metabric_clinical_data__2[Sample ID],[1]!brca_metabric_clinical_data__2[Tumor Stage])</f>
        <v>NA</v>
      </c>
    </row>
    <row r="2479" spans="1:15" x14ac:dyDescent="0.45">
      <c r="A2479" t="s">
        <v>2514</v>
      </c>
      <c r="B2479">
        <v>59.5</v>
      </c>
      <c r="C2479" t="s">
        <v>16</v>
      </c>
      <c r="E2479" t="s">
        <v>18</v>
      </c>
      <c r="N2479" t="str">
        <f>_xlfn.XLOOKUP(A2479,[1]!brca_metabric_clinical_data__2[Patient ID], [1]!brca_metabric_clinical_data__2[Tumor Size])</f>
        <v>15</v>
      </c>
      <c r="O2479" t="str">
        <f>_xlfn.XLOOKUP(A2479,[1]!brca_metabric_clinical_data__2[Sample ID],[1]!brca_metabric_clinical_data__2[Tumor Stage])</f>
        <v>NA</v>
      </c>
    </row>
    <row r="2480" spans="1:15" x14ac:dyDescent="0.45">
      <c r="A2480" t="s">
        <v>2515</v>
      </c>
      <c r="B2480">
        <v>58.7</v>
      </c>
      <c r="C2480" t="s">
        <v>16</v>
      </c>
      <c r="E2480" t="s">
        <v>37</v>
      </c>
      <c r="N2480" t="str">
        <f>_xlfn.XLOOKUP(A2480,[1]!brca_metabric_clinical_data__2[Patient ID], [1]!brca_metabric_clinical_data__2[Tumor Size])</f>
        <v>15</v>
      </c>
      <c r="O2480" t="str">
        <f>_xlfn.XLOOKUP(A2480,[1]!brca_metabric_clinical_data__2[Sample ID],[1]!brca_metabric_clinical_data__2[Tumor Stage])</f>
        <v>1</v>
      </c>
    </row>
    <row r="2481" spans="1:15" x14ac:dyDescent="0.45">
      <c r="A2481" t="s">
        <v>2516</v>
      </c>
      <c r="B2481">
        <v>72.88</v>
      </c>
      <c r="C2481" t="s">
        <v>16</v>
      </c>
      <c r="E2481" t="s">
        <v>18</v>
      </c>
      <c r="N2481" t="str">
        <f>_xlfn.XLOOKUP(A2481,[1]!brca_metabric_clinical_data__2[Patient ID], [1]!brca_metabric_clinical_data__2[Tumor Size])</f>
        <v>15</v>
      </c>
      <c r="O2481" t="str">
        <f>_xlfn.XLOOKUP(A2481,[1]!brca_metabric_clinical_data__2[Sample ID],[1]!brca_metabric_clinical_data__2[Tumor Stage])</f>
        <v>1</v>
      </c>
    </row>
    <row r="2482" spans="1:15" x14ac:dyDescent="0.45">
      <c r="A2482" t="s">
        <v>2517</v>
      </c>
      <c r="B2482">
        <v>77.31</v>
      </c>
      <c r="C2482" t="s">
        <v>16</v>
      </c>
      <c r="E2482" t="s">
        <v>18</v>
      </c>
      <c r="N2482" t="str">
        <f>_xlfn.XLOOKUP(A2482,[1]!brca_metabric_clinical_data__2[Patient ID], [1]!brca_metabric_clinical_data__2[Tumor Size])</f>
        <v>50</v>
      </c>
      <c r="O2482" t="str">
        <f>_xlfn.XLOOKUP(A2482,[1]!brca_metabric_clinical_data__2[Sample ID],[1]!brca_metabric_clinical_data__2[Tumor Stage])</f>
        <v>2</v>
      </c>
    </row>
    <row r="2483" spans="1:15" x14ac:dyDescent="0.45">
      <c r="A2483" t="s">
        <v>2518</v>
      </c>
      <c r="B2483">
        <v>55.77</v>
      </c>
      <c r="C2483" t="s">
        <v>16</v>
      </c>
      <c r="E2483" t="s">
        <v>18</v>
      </c>
      <c r="N2483" t="str">
        <f>_xlfn.XLOOKUP(A2483,[1]!brca_metabric_clinical_data__2[Patient ID], [1]!brca_metabric_clinical_data__2[Tumor Size])</f>
        <v>20</v>
      </c>
      <c r="O2483" t="str">
        <f>_xlfn.XLOOKUP(A2483,[1]!brca_metabric_clinical_data__2[Sample ID],[1]!brca_metabric_clinical_data__2[Tumor Stage])</f>
        <v>1</v>
      </c>
    </row>
    <row r="2484" spans="1:15" x14ac:dyDescent="0.45">
      <c r="A2484" t="s">
        <v>2519</v>
      </c>
      <c r="B2484">
        <v>68.08</v>
      </c>
      <c r="C2484" t="s">
        <v>16</v>
      </c>
      <c r="E2484" t="s">
        <v>18</v>
      </c>
      <c r="N2484" t="str">
        <f>_xlfn.XLOOKUP(A2484,[1]!brca_metabric_clinical_data__2[Patient ID], [1]!brca_metabric_clinical_data__2[Tumor Size])</f>
        <v>15</v>
      </c>
      <c r="O2484" t="str">
        <f>_xlfn.XLOOKUP(A2484,[1]!brca_metabric_clinical_data__2[Sample ID],[1]!brca_metabric_clinical_data__2[Tumor Stage])</f>
        <v>1</v>
      </c>
    </row>
    <row r="2485" spans="1:15" x14ac:dyDescent="0.45">
      <c r="A2485" t="s">
        <v>2520</v>
      </c>
      <c r="B2485">
        <v>71.38</v>
      </c>
      <c r="C2485" t="s">
        <v>16</v>
      </c>
      <c r="E2485" t="s">
        <v>18</v>
      </c>
      <c r="N2485" t="str">
        <f>_xlfn.XLOOKUP(A2485,[1]!brca_metabric_clinical_data__2[Patient ID], [1]!brca_metabric_clinical_data__2[Tumor Size])</f>
        <v>15</v>
      </c>
      <c r="O2485" t="str">
        <f>_xlfn.XLOOKUP(A2485,[1]!brca_metabric_clinical_data__2[Sample ID],[1]!brca_metabric_clinical_data__2[Tumor Stage])</f>
        <v>1</v>
      </c>
    </row>
    <row r="2486" spans="1:15" x14ac:dyDescent="0.45">
      <c r="A2486" t="s">
        <v>2521</v>
      </c>
      <c r="B2486">
        <v>28.05</v>
      </c>
      <c r="C2486" t="s">
        <v>16</v>
      </c>
      <c r="E2486" t="s">
        <v>37</v>
      </c>
      <c r="N2486" t="str">
        <f>_xlfn.XLOOKUP(A2486,[1]!brca_metabric_clinical_data__2[Patient ID], [1]!brca_metabric_clinical_data__2[Tumor Size])</f>
        <v>35</v>
      </c>
      <c r="O2486" t="str">
        <f>_xlfn.XLOOKUP(A2486,[1]!brca_metabric_clinical_data__2[Sample ID],[1]!brca_metabric_clinical_data__2[Tumor Stage])</f>
        <v>2</v>
      </c>
    </row>
    <row r="2487" spans="1:15" x14ac:dyDescent="0.45">
      <c r="A2487" t="s">
        <v>2522</v>
      </c>
      <c r="B2487">
        <v>66.53</v>
      </c>
      <c r="C2487" t="s">
        <v>16</v>
      </c>
      <c r="E2487" t="s">
        <v>18</v>
      </c>
      <c r="N2487" t="str">
        <f>_xlfn.XLOOKUP(A2487,[1]!brca_metabric_clinical_data__2[Patient ID], [1]!brca_metabric_clinical_data__2[Tumor Size])</f>
        <v>20</v>
      </c>
      <c r="O2487" t="str">
        <f>_xlfn.XLOOKUP(A2487,[1]!brca_metabric_clinical_data__2[Sample ID],[1]!brca_metabric_clinical_data__2[Tumor Stage])</f>
        <v>1</v>
      </c>
    </row>
    <row r="2488" spans="1:15" x14ac:dyDescent="0.45">
      <c r="A2488" t="s">
        <v>2523</v>
      </c>
      <c r="B2488">
        <v>73.81</v>
      </c>
      <c r="C2488" t="s">
        <v>16</v>
      </c>
      <c r="E2488" t="s">
        <v>18</v>
      </c>
      <c r="N2488" t="str">
        <f>_xlfn.XLOOKUP(A2488,[1]!brca_metabric_clinical_data__2[Patient ID], [1]!brca_metabric_clinical_data__2[Tumor Size])</f>
        <v>15</v>
      </c>
      <c r="O2488" t="str">
        <f>_xlfn.XLOOKUP(A2488,[1]!brca_metabric_clinical_data__2[Sample ID],[1]!brca_metabric_clinical_data__2[Tumor Stage])</f>
        <v>1</v>
      </c>
    </row>
    <row r="2489" spans="1:15" x14ac:dyDescent="0.45">
      <c r="A2489" t="s">
        <v>2524</v>
      </c>
      <c r="B2489">
        <v>36.04</v>
      </c>
      <c r="C2489" t="s">
        <v>16</v>
      </c>
      <c r="E2489" t="s">
        <v>37</v>
      </c>
      <c r="N2489" t="str">
        <f>_xlfn.XLOOKUP(A2489,[1]!brca_metabric_clinical_data__2[Patient ID], [1]!brca_metabric_clinical_data__2[Tumor Size])</f>
        <v>25</v>
      </c>
      <c r="O2489" t="str">
        <f>_xlfn.XLOOKUP(A2489,[1]!brca_metabric_clinical_data__2[Sample ID],[1]!brca_metabric_clinical_data__2[Tumor Stage])</f>
        <v>2</v>
      </c>
    </row>
    <row r="2490" spans="1:15" x14ac:dyDescent="0.45">
      <c r="A2490" t="s">
        <v>2525</v>
      </c>
      <c r="B2490">
        <v>65.45</v>
      </c>
      <c r="C2490" t="s">
        <v>16</v>
      </c>
      <c r="E2490" t="s">
        <v>18</v>
      </c>
      <c r="N2490" t="str">
        <f>_xlfn.XLOOKUP(A2490,[1]!brca_metabric_clinical_data__2[Patient ID], [1]!brca_metabric_clinical_data__2[Tumor Size])</f>
        <v>26</v>
      </c>
      <c r="O2490" t="str">
        <f>_xlfn.XLOOKUP(A2490,[1]!brca_metabric_clinical_data__2[Sample ID],[1]!brca_metabric_clinical_data__2[Tumor Stage])</f>
        <v>2</v>
      </c>
    </row>
    <row r="2491" spans="1:15" x14ac:dyDescent="0.45">
      <c r="A2491" t="s">
        <v>2526</v>
      </c>
      <c r="B2491">
        <v>64.94</v>
      </c>
      <c r="C2491" t="s">
        <v>16</v>
      </c>
      <c r="E2491" t="s">
        <v>18</v>
      </c>
      <c r="N2491" t="str">
        <f>_xlfn.XLOOKUP(A2491,[1]!brca_metabric_clinical_data__2[Patient ID], [1]!brca_metabric_clinical_data__2[Tumor Size])</f>
        <v>15</v>
      </c>
      <c r="O2491" t="str">
        <f>_xlfn.XLOOKUP(A2491,[1]!brca_metabric_clinical_data__2[Sample ID],[1]!brca_metabric_clinical_data__2[Tumor Stage])</f>
        <v>1</v>
      </c>
    </row>
    <row r="2492" spans="1:15" x14ac:dyDescent="0.45">
      <c r="A2492" t="s">
        <v>2527</v>
      </c>
      <c r="B2492">
        <v>63.22</v>
      </c>
      <c r="C2492" t="s">
        <v>16</v>
      </c>
      <c r="E2492" t="s">
        <v>18</v>
      </c>
      <c r="N2492" t="str">
        <f>_xlfn.XLOOKUP(A2492,[1]!brca_metabric_clinical_data__2[Patient ID], [1]!brca_metabric_clinical_data__2[Tumor Size])</f>
        <v>20</v>
      </c>
      <c r="O2492" t="str">
        <f>_xlfn.XLOOKUP(A2492,[1]!brca_metabric_clinical_data__2[Sample ID],[1]!brca_metabric_clinical_data__2[Tumor Stage])</f>
        <v>1</v>
      </c>
    </row>
    <row r="2493" spans="1:15" x14ac:dyDescent="0.45">
      <c r="A2493" t="s">
        <v>2528</v>
      </c>
      <c r="B2493">
        <v>83.32</v>
      </c>
      <c r="C2493" t="s">
        <v>16</v>
      </c>
      <c r="E2493" t="s">
        <v>18</v>
      </c>
      <c r="N2493" t="str">
        <f>_xlfn.XLOOKUP(A2493,[1]!brca_metabric_clinical_data__2[Patient ID], [1]!brca_metabric_clinical_data__2[Tumor Size])</f>
        <v>20</v>
      </c>
      <c r="O2493" t="str">
        <f>_xlfn.XLOOKUP(A2493,[1]!brca_metabric_clinical_data__2[Sample ID],[1]!brca_metabric_clinical_data__2[Tumor Stage])</f>
        <v>1</v>
      </c>
    </row>
    <row r="2494" spans="1:15" x14ac:dyDescent="0.45">
      <c r="A2494" t="s">
        <v>2529</v>
      </c>
      <c r="B2494">
        <v>64.08</v>
      </c>
      <c r="C2494" t="s">
        <v>16</v>
      </c>
      <c r="E2494" t="s">
        <v>18</v>
      </c>
      <c r="N2494" t="str">
        <f>_xlfn.XLOOKUP(A2494,[1]!brca_metabric_clinical_data__2[Patient ID], [1]!brca_metabric_clinical_data__2[Tumor Size])</f>
        <v>3</v>
      </c>
      <c r="O2494" t="str">
        <f>_xlfn.XLOOKUP(A2494,[1]!brca_metabric_clinical_data__2[Sample ID],[1]!brca_metabric_clinical_data__2[Tumor Stage])</f>
        <v>NA</v>
      </c>
    </row>
    <row r="2495" spans="1:15" x14ac:dyDescent="0.45">
      <c r="A2495" t="s">
        <v>2530</v>
      </c>
      <c r="B2495">
        <v>46.52</v>
      </c>
      <c r="C2495" t="s">
        <v>16</v>
      </c>
      <c r="E2495" t="s">
        <v>18</v>
      </c>
      <c r="N2495" t="str">
        <f>_xlfn.XLOOKUP(A2495,[1]!brca_metabric_clinical_data__2[Patient ID], [1]!brca_metabric_clinical_data__2[Tumor Size])</f>
        <v>10</v>
      </c>
      <c r="O2495" t="str">
        <f>_xlfn.XLOOKUP(A2495,[1]!brca_metabric_clinical_data__2[Sample ID],[1]!brca_metabric_clinical_data__2[Tumor Stage])</f>
        <v>1</v>
      </c>
    </row>
    <row r="2496" spans="1:15" x14ac:dyDescent="0.45">
      <c r="A2496" t="s">
        <v>2531</v>
      </c>
      <c r="B2496">
        <v>52.93</v>
      </c>
      <c r="C2496" t="s">
        <v>16</v>
      </c>
      <c r="E2496" t="s">
        <v>37</v>
      </c>
      <c r="N2496" t="str">
        <f>_xlfn.XLOOKUP(A2496,[1]!brca_metabric_clinical_data__2[Patient ID], [1]!brca_metabric_clinical_data__2[Tumor Size])</f>
        <v>17</v>
      </c>
      <c r="O2496" t="str">
        <f>_xlfn.XLOOKUP(A2496,[1]!brca_metabric_clinical_data__2[Sample ID],[1]!brca_metabric_clinical_data__2[Tumor Stage])</f>
        <v>2</v>
      </c>
    </row>
    <row r="2497" spans="1:15" x14ac:dyDescent="0.45">
      <c r="A2497" t="s">
        <v>2532</v>
      </c>
      <c r="B2497">
        <v>63.16</v>
      </c>
      <c r="C2497" t="s">
        <v>16</v>
      </c>
      <c r="E2497" t="s">
        <v>18</v>
      </c>
      <c r="N2497" t="str">
        <f>_xlfn.XLOOKUP(A2497,[1]!brca_metabric_clinical_data__2[Patient ID], [1]!brca_metabric_clinical_data__2[Tumor Size])</f>
        <v>15</v>
      </c>
      <c r="O2497" t="str">
        <f>_xlfn.XLOOKUP(A2497,[1]!brca_metabric_clinical_data__2[Sample ID],[1]!brca_metabric_clinical_data__2[Tumor Stage])</f>
        <v>2</v>
      </c>
    </row>
    <row r="2498" spans="1:15" x14ac:dyDescent="0.45">
      <c r="A2498" t="s">
        <v>2533</v>
      </c>
      <c r="C2498" t="s">
        <v>16</v>
      </c>
      <c r="N2498" t="str">
        <f>_xlfn.XLOOKUP(A2498,[1]!brca_metabric_clinical_data__2[Patient ID], [1]!brca_metabric_clinical_data__2[Tumor Size])</f>
        <v>NA</v>
      </c>
      <c r="O2498" t="str">
        <f>_xlfn.XLOOKUP(A2498,[1]!brca_metabric_clinical_data__2[Sample ID],[1]!brca_metabric_clinical_data__2[Tumor Stage])</f>
        <v>0</v>
      </c>
    </row>
    <row r="2499" spans="1:15" x14ac:dyDescent="0.45">
      <c r="A2499" t="s">
        <v>2534</v>
      </c>
      <c r="B2499">
        <v>82.56</v>
      </c>
      <c r="C2499" t="s">
        <v>16</v>
      </c>
      <c r="E2499" t="s">
        <v>18</v>
      </c>
      <c r="N2499" t="str">
        <f>_xlfn.XLOOKUP(A2499,[1]!brca_metabric_clinical_data__2[Patient ID], [1]!brca_metabric_clinical_data__2[Tumor Size])</f>
        <v>18</v>
      </c>
      <c r="O2499" t="str">
        <f>_xlfn.XLOOKUP(A2499,[1]!brca_metabric_clinical_data__2[Sample ID],[1]!brca_metabric_clinical_data__2[Tumor Stage])</f>
        <v>2</v>
      </c>
    </row>
    <row r="2500" spans="1:15" x14ac:dyDescent="0.45">
      <c r="A2500" t="s">
        <v>2535</v>
      </c>
      <c r="C2500" t="s">
        <v>16</v>
      </c>
      <c r="N2500" t="str">
        <f>_xlfn.XLOOKUP(A2500,[1]!brca_metabric_clinical_data__2[Patient ID], [1]!brca_metabric_clinical_data__2[Tumor Size])</f>
        <v>NA</v>
      </c>
      <c r="O2500" t="str">
        <f>_xlfn.XLOOKUP(A2500,[1]!brca_metabric_clinical_data__2[Sample ID],[1]!brca_metabric_clinical_data__2[Tumor Stage])</f>
        <v>0</v>
      </c>
    </row>
    <row r="2501" spans="1:15" x14ac:dyDescent="0.45">
      <c r="A2501" t="s">
        <v>2536</v>
      </c>
      <c r="B2501">
        <v>76.22</v>
      </c>
      <c r="C2501" t="s">
        <v>16</v>
      </c>
      <c r="E2501" t="s">
        <v>37</v>
      </c>
      <c r="N2501" t="str">
        <f>_xlfn.XLOOKUP(A2501,[1]!brca_metabric_clinical_data__2[Patient ID], [1]!brca_metabric_clinical_data__2[Tumor Size])</f>
        <v>31</v>
      </c>
      <c r="O2501" t="str">
        <f>_xlfn.XLOOKUP(A2501,[1]!brca_metabric_clinical_data__2[Sample ID],[1]!brca_metabric_clinical_data__2[Tumor Stage])</f>
        <v>2</v>
      </c>
    </row>
    <row r="2502" spans="1:15" x14ac:dyDescent="0.45">
      <c r="A2502" t="s">
        <v>2537</v>
      </c>
      <c r="B2502">
        <v>69</v>
      </c>
      <c r="C2502" t="s">
        <v>16</v>
      </c>
      <c r="E2502" t="s">
        <v>37</v>
      </c>
      <c r="N2502" t="str">
        <f>_xlfn.XLOOKUP(A2502,[1]!brca_metabric_clinical_data__2[Patient ID], [1]!brca_metabric_clinical_data__2[Tumor Size])</f>
        <v>28</v>
      </c>
      <c r="O2502" t="str">
        <f>_xlfn.XLOOKUP(A2502,[1]!brca_metabric_clinical_data__2[Sample ID],[1]!brca_metabric_clinical_data__2[Tumor Stage])</f>
        <v>2</v>
      </c>
    </row>
    <row r="2503" spans="1:15" x14ac:dyDescent="0.45">
      <c r="A2503" t="s">
        <v>2538</v>
      </c>
      <c r="B2503">
        <v>72</v>
      </c>
      <c r="C2503" t="s">
        <v>16</v>
      </c>
      <c r="E2503" t="s">
        <v>37</v>
      </c>
      <c r="N2503" t="str">
        <f>_xlfn.XLOOKUP(A2503,[1]!brca_metabric_clinical_data__2[Patient ID], [1]!brca_metabric_clinical_data__2[Tumor Size])</f>
        <v>23</v>
      </c>
      <c r="O2503" t="str">
        <f>_xlfn.XLOOKUP(A2503,[1]!brca_metabric_clinical_data__2[Sample ID],[1]!brca_metabric_clinical_data__2[Tumor Stage])</f>
        <v>NA</v>
      </c>
    </row>
    <row r="2504" spans="1:15" x14ac:dyDescent="0.45">
      <c r="A2504" t="s">
        <v>2539</v>
      </c>
      <c r="B2504">
        <v>64.349999999999994</v>
      </c>
      <c r="C2504" t="s">
        <v>16</v>
      </c>
      <c r="E2504" t="s">
        <v>18</v>
      </c>
      <c r="N2504" t="str">
        <f>_xlfn.XLOOKUP(A2504,[1]!brca_metabric_clinical_data__2[Patient ID], [1]!brca_metabric_clinical_data__2[Tumor Size])</f>
        <v>19</v>
      </c>
      <c r="O2504" t="str">
        <f>_xlfn.XLOOKUP(A2504,[1]!brca_metabric_clinical_data__2[Sample ID],[1]!brca_metabric_clinical_data__2[Tumor Stage])</f>
        <v>2</v>
      </c>
    </row>
    <row r="2505" spans="1:15" x14ac:dyDescent="0.45">
      <c r="A2505" t="s">
        <v>2540</v>
      </c>
      <c r="B2505">
        <v>67.58</v>
      </c>
      <c r="C2505" t="s">
        <v>16</v>
      </c>
      <c r="E2505" t="s">
        <v>18</v>
      </c>
      <c r="N2505" t="str">
        <f>_xlfn.XLOOKUP(A2505,[1]!brca_metabric_clinical_data__2[Patient ID], [1]!brca_metabric_clinical_data__2[Tumor Size])</f>
        <v>9</v>
      </c>
      <c r="O2505" t="str">
        <f>_xlfn.XLOOKUP(A2505,[1]!brca_metabric_clinical_data__2[Sample ID],[1]!brca_metabric_clinical_data__2[Tumor Stage])</f>
        <v>1</v>
      </c>
    </row>
    <row r="2506" spans="1:15" x14ac:dyDescent="0.45">
      <c r="A2506" t="s">
        <v>2541</v>
      </c>
      <c r="B2506">
        <v>70.05</v>
      </c>
      <c r="C2506" t="s">
        <v>16</v>
      </c>
      <c r="E2506" t="s">
        <v>18</v>
      </c>
      <c r="N2506" t="str">
        <f>_xlfn.XLOOKUP(A2506,[1]!brca_metabric_clinical_data__2[Patient ID], [1]!brca_metabric_clinical_data__2[Tumor Size])</f>
        <v>27</v>
      </c>
      <c r="O2506" t="str">
        <f>_xlfn.XLOOKUP(A2506,[1]!brca_metabric_clinical_data__2[Sample ID],[1]!brca_metabric_clinical_data__2[Tumor Stage])</f>
        <v>1</v>
      </c>
    </row>
    <row r="2507" spans="1:15" x14ac:dyDescent="0.45">
      <c r="A2507" t="s">
        <v>2542</v>
      </c>
      <c r="B2507">
        <v>63.6</v>
      </c>
      <c r="C2507" t="s">
        <v>16</v>
      </c>
      <c r="E2507" t="s">
        <v>18</v>
      </c>
      <c r="N2507" t="str">
        <f>_xlfn.XLOOKUP(A2507,[1]!brca_metabric_clinical_data__2[Patient ID], [1]!brca_metabric_clinical_data__2[Tumor Size])</f>
        <v>28</v>
      </c>
      <c r="O2507" t="str">
        <f>_xlfn.XLOOKUP(A2507,[1]!brca_metabric_clinical_data__2[Sample ID],[1]!brca_metabric_clinical_data__2[Tumor Stage])</f>
        <v>2</v>
      </c>
    </row>
    <row r="2508" spans="1:15" x14ac:dyDescent="0.45">
      <c r="A2508" t="s">
        <v>2543</v>
      </c>
      <c r="C2508" t="s">
        <v>16</v>
      </c>
      <c r="N2508" t="str">
        <f>_xlfn.XLOOKUP(A2508,[1]!brca_metabric_clinical_data__2[Patient ID], [1]!brca_metabric_clinical_data__2[Tumor Size])</f>
        <v>NA</v>
      </c>
      <c r="O2508" t="str">
        <f>_xlfn.XLOOKUP(A2508,[1]!brca_metabric_clinical_data__2[Sample ID],[1]!brca_metabric_clinical_data__2[Tumor Stage])</f>
        <v>0</v>
      </c>
    </row>
    <row r="2509" spans="1:15" x14ac:dyDescent="0.45">
      <c r="A2509" t="s">
        <v>2544</v>
      </c>
      <c r="C2509" t="s">
        <v>16</v>
      </c>
      <c r="N2509" t="str">
        <f>_xlfn.XLOOKUP(A2509,[1]!brca_metabric_clinical_data__2[Patient ID], [1]!brca_metabric_clinical_data__2[Tumor Size])</f>
        <v>NA</v>
      </c>
      <c r="O2509" t="str">
        <f>_xlfn.XLOOKUP(A2509,[1]!brca_metabric_clinical_data__2[Sample ID],[1]!brca_metabric_clinical_data__2[Tumor Stage])</f>
        <v>0</v>
      </c>
    </row>
    <row r="2510" spans="1:15" x14ac:dyDescent="0.45">
      <c r="A2510" t="s">
        <v>2545</v>
      </c>
      <c r="C2510" t="s">
        <v>16</v>
      </c>
      <c r="N2510" t="str">
        <f>_xlfn.XLOOKUP(A2510,[1]!brca_metabric_clinical_data__2[Patient ID], [1]!brca_metabric_clinical_data__2[Tumor Size])</f>
        <v>NA</v>
      </c>
      <c r="O2510" t="str">
        <f>_xlfn.XLOOKUP(A2510,[1]!brca_metabric_clinical_data__2[Sample ID],[1]!brca_metabric_clinical_data__2[Tumor Stage])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chanumi gamage</dc:creator>
  <cp:lastModifiedBy>chanumi gamage</cp:lastModifiedBy>
  <dcterms:created xsi:type="dcterms:W3CDTF">2026-02-17T23:02:47Z</dcterms:created>
  <dcterms:modified xsi:type="dcterms:W3CDTF">2026-02-17T23:03:35Z</dcterms:modified>
</cp:coreProperties>
</file>